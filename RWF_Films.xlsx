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18357f6afba4ea1" /></Relationships>
</file>

<file path=xl/workbook.xml><?xml version="1.0" encoding="utf-8"?>
<x:workbook xmlns:x="http://schemas.openxmlformats.org/spreadsheetml/2006/main">
  <x:sheets>
    <x:sheet xmlns:r="http://schemas.openxmlformats.org/officeDocument/2006/relationships" name="Films" sheetId="1" r:id="Rbdfd621f684e470b"/>
    <x:sheet xmlns:r="http://schemas.openxmlformats.org/officeDocument/2006/relationships" name="Listes" sheetId="2" r:id="R2a07652567114a30"/>
    <x:sheet xmlns:r="http://schemas.openxmlformats.org/officeDocument/2006/relationships" name="Mode_emploi" sheetId="3" r:id="R6dd791b0d8264976"/>
    <x:sheet xmlns:r="http://schemas.openxmlformats.org/officeDocument/2006/relationships" name="Référentiel entourage" sheetId="4" r:id="R4c61e771f8294692"/>
  </x:sheets>
</x:workbook>
</file>

<file path=xl/sharedStrings.xml><?xml version="1.0" encoding="utf-8"?>
<x:sst xmlns:x="http://schemas.openxmlformats.org/spreadsheetml/2006/main">
  <x:si>
    <x:t xml:space="preserve">ID</x:t>
  </x:si>
  <x:si>
    <x:t xml:space="preserve">Titre français</x:t>
  </x:si>
  <x:si>
    <x:t xml:space="preserve">Titre original</x:t>
  </x:si>
  <x:si>
    <x:t xml:space="preserve">Année</x:t>
  </x:si>
  <x:si>
    <x:t xml:space="preserve">Type</x:t>
  </x:si>
  <x:si>
    <x:t xml:space="preserve">Durée (min)</x:t>
  </x:si>
  <x:si>
    <x:t xml:space="preserve">Pays</x:t>
  </x:si>
  <x:si>
    <x:t xml:space="preserve">Réalisation</x:t>
  </x:si>
  <x:si>
    <x:t xml:space="preserve">Scénario</x:t>
  </x:si>
  <x:si>
    <x:t xml:space="preserve">Image</x:t>
  </x:si>
  <x:si>
    <x:t xml:space="preserve">Montage</x:t>
  </x:si>
  <x:si>
    <x:t xml:space="preserve">Décors</x:t>
  </x:si>
  <x:si>
    <x:t xml:space="preserve">Musique</x:t>
  </x:si>
  <x:si>
    <x:t xml:space="preserve">Production</x:t>
  </x:si>
  <x:si>
    <x:t xml:space="preserve">Distribution artistique</x:t>
  </x:si>
  <x:si>
    <x:t xml:space="preserve">Équipe technique</x:t>
  </x:si>
  <x:si>
    <x:t xml:space="preserve">Synopsis</x:t>
  </x:si>
  <x:si>
    <x:t xml:space="preserve">Extraits</x:t>
  </x:si>
  <x:si>
    <x:t xml:space="preserve">Analyse</x:t>
  </x:si>
  <x:si>
    <x:t xml:space="preserve">Bibliographie</x:t>
  </x:si>
  <x:si>
    <x:t xml:space="preserve">Affiche</x:t>
  </x:si>
  <x:si>
    <x:t xml:space="preserve">Légende affiche</x:t>
  </x:si>
  <x:si>
    <x:t xml:space="preserve">Source affiche</x:t>
  </x:si>
  <x:si>
    <x:t xml:space="preserve">Liens chronologie</x:t>
  </x:si>
  <x:si>
    <x:t xml:space="preserve">Mots-clés</x:t>
  </x:si>
  <x:si>
    <x:t xml:space="preserve">Sources</x:t>
  </x:si>
  <x:si>
    <x:t xml:space="preserve">Statut</x:t>
  </x:si>
  <x:si>
    <x:t xml:space="preserve">ID normalisé V22</x:t>
  </x:si>
  <x:si>
    <x:t xml:space="preserve">IDs entourage — distribution artistique</x:t>
  </x:si>
  <x:si>
    <x:t xml:space="preserve">IDs entourage — équipe technique</x:t>
  </x:si>
  <x:si>
    <x:t xml:space="preserve">rwf-1966-le-clochard</x:t>
  </x:si>
  <x:si>
    <x:t xml:space="preserve">Le Clochard</x:t>
  </x:si>
  <x:si>
    <x:t xml:space="preserve">Court-métrage</x:t>
  </x:si>
  <x:si>
    <x:t xml:space="preserve">RFA</x:t>
  </x:si>
  <x:si>
    <x:t xml:space="preserve">Rainer Werner Fassbinder</x:t>
  </x:si>
  <x:si>
    <x:t xml:space="preserve">film-1966-le-clochard</x:t>
  </x:si>
  <x:si>
    <x:t xml:space="preserve">rwf-1967-petit-chaos</x:t>
  </x:si>
  <x:si>
    <x:t xml:space="preserve">Petit chaos</x:t>
  </x:si>
  <x:si>
    <x:t xml:space="preserve">film-1967-petit-chaos</x:t>
  </x:si>
  <x:si>
    <x:t xml:space="preserve">rwf-1969-amour-plus-froid</x:t>
  </x:si>
  <x:si>
    <x:t xml:space="preserve">L’Amour est plus froid que la mort</x:t>
  </x:si>
  <x:si>
    <x:t xml:space="preserve">Liebe ist kälter als der Tod</x:t>
  </x:si>
  <x:si>
    <x:t xml:space="preserve">Long métrage</x:t>
  </x:si>
  <x:si>
    <x:t xml:space="preserve">Films_images/L_Amour_est_plus_froid_que_la_mort.jpg</x:t>
  </x:si>
  <x:si>
    <x:t xml:space="preserve">1969</x:t>
  </x:si>
  <x:si>
    <x:t xml:space="preserve">À compléter</x:t>
  </x:si>
  <x:si>
    <x:t xml:space="preserve">film-1969-l-amour-est-plus-froid-que-la-mort</x:t>
  </x:si>
  <x:si>
    <x:t xml:space="preserve">rwf-1969-katzelmacher</x:t>
  </x:si>
  <x:si>
    <x:t xml:space="preserve">Le Bouc</x:t>
  </x:si>
  <x:si>
    <x:t xml:space="preserve">Katzelmacher</x:t>
  </x:si>
  <x:si>
    <x:r>
      <x:rPr>
        <x:sz val="11"/>
        <x:color theme="1"/>
        <x:rFont val="Carlito"/>
      </x:rPr>
      <x: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x:t>
    </x:r>
    <x:r>
      <x:rPr>
        <x:i/>
        <x:sz val="11"/>
        <x:color theme="1"/>
        <x:rFont val="Carlito"/>
      </x:rPr>
      <x:t xml:space="preserve">Le bouc </x:t>
    </x:r>
    <x:r>
      <x:rPr>
        <x:sz val="11"/>
        <x:color theme="1"/>
        <x:rFont val="Carlito"/>
      </x:rPr>
      <x:t xml:space="preserve">vise un public qui n'est ni restreint et cinéphile, ni populaire.  </x:t>
    </x:r>
  </x:si>
  <x:si>
    <x:t xml:space="preserve">Films_images/Le_Bouc.jpg</x:t>
  </x:si>
  <x:si>
    <x:t xml:space="preserve">film-1969-le-bouc</x:t>
  </x:si>
  <x:si>
    <x:t xml:space="preserve">rwf-1970-les-dieux-de-la-peste</x:t>
  </x:si>
  <x:si>
    <x:t xml:space="preserve">Les Dieux de la peste</x:t>
  </x:si>
  <x:si>
    <x:t xml:space="preserve">Films_images/Les_Dieux_de_la_peste.jpg</x:t>
  </x:si>
  <x:si>
    <x:t xml:space="preserve">1970</x:t>
  </x:si>
  <x:si>
    <x:t xml:space="preserve">film-1970-les-dieux-de-la-peste</x:t>
  </x:si>
  <x:si>
    <x:t xml:space="preserve">rwf-1970-pourquoi-m-r-est-il-atteint-de-folie-meurtriere</x:t>
  </x:si>
  <x:si>
    <x:t xml:space="preserve">Pourquoi M. R. est-il atteint de folie meurtrière ?</x:t>
  </x:si>
  <x:si>
    <x:t xml:space="preserve">Rainer Werner Fassbinder et Michael Fengler</x:t>
  </x:si>
  <x:si>
    <x:t xml:space="preserve">film-1970-pourquoi-m-r-est-il-atteint-de-folie-meurtriere</x:t>
  </x:si>
  <x:si>
    <x:t xml:space="preserve">rwf-1970-le-soldat-americain</x:t>
  </x:si>
  <x:si>
    <x:t xml:space="preserve">Le Soldat américain</x:t>
  </x:si>
  <x:si>
    <x:t xml:space="preserve">Films_images/Le_Soldat_americain.jpg</x:t>
  </x:si>
  <x:si>
    <x:t xml:space="preserve">film-1970-le-soldat-americain</x:t>
  </x:si>
  <x:si>
    <x:t xml:space="preserve">rwf-1970-le-voyage-a-niklashausen</x:t>
  </x:si>
  <x:si>
    <x:t xml:space="preserve">Le Voyage à Niklashausen</x:t>
  </x:si>
  <x:si>
    <x:t xml:space="preserve">Téléfilm</x:t>
  </x:si>
  <x:si>
    <x:t xml:space="preserve">film-1970-le-voyage-a-niklashausen</x:t>
  </x:si>
  <x:si>
    <x:t xml:space="preserve">rwf-1970-rio-das-mortes</x:t>
  </x:si>
  <x:si>
    <x:t xml:space="preserve">Rio das mortes</x:t>
  </x:si>
  <x:si>
    <x:t xml:space="preserve">Film</x:t>
  </x:si>
  <x:si>
    <x:t xml:space="preserve">film-1970-rio-das-mortes</x:t>
  </x:si>
  <x:si>
    <x:t xml:space="preserve">rwf-1971-whity</x:t>
  </x:si>
  <x:si>
    <x:t xml:space="preserve">Whity</x:t>
  </x:si>
  <x:si>
    <x:t xml:space="preserve">1971</x:t>
  </x:si>
  <x:si>
    <x:t xml:space="preserve">film-1971-whity</x:t>
  </x:si>
  <x:si>
    <x:t xml:space="preserve">rwf-1971-prenez-garde-a-la-sainte-putain</x:t>
  </x:si>
  <x:si>
    <x:t xml:space="preserve">Prenez garde à la sainte putain</x:t>
  </x:si>
  <x:si>
    <x:t xml:space="preserve">Films_images/Prenez_garde_a_la_sainte_putain.jpg</x:t>
  </x:si>
  <x:si>
    <x:t xml:space="preserve">film-1971-prenez-garde-a-la-sainte-putain</x:t>
  </x:si>
  <x:si>
    <x:t xml:space="preserve">rwf-1971-pionniers-a-ingolstadt</x:t>
  </x:si>
  <x:si>
    <x:t xml:space="preserve">Pionniers à Ingolstadt</x:t>
  </x:si>
  <x:si>
    <x:t xml:space="preserve">film-1971-pionniers-a-ingolstadt</x:t>
  </x:si>
  <x:si>
    <x:t xml:space="preserve">rwf-1971-marchand-quatre-saisons</x:t>
  </x:si>
  <x:si>
    <x:t xml:space="preserve">Le Marchand des quatre saisons</x:t>
  </x:si>
  <x:si>
    <x:t xml:space="preserve">Händler der vier Jahreszeiten</x:t>
  </x:si>
  <x:si>
    <x:t xml:space="preserve">Films_images/Le_Marchand_des_quatre_saisons.jpg</x:t>
  </x:si>
  <x:si>
    <x:t xml:space="preserve">1972</x:t>
  </x:si>
  <x:si>
    <x:t xml:space="preserve">film-1972-le-marchand-des-quatre-saisons</x:t>
  </x:si>
  <x:si>
    <x:t xml:space="preserve">rwf-1972-larmes-petra-von-kant</x:t>
  </x:si>
  <x:si>
    <x:t xml:space="preserve">Les Larmes amères de Petra von Kant</x:t>
  </x:si>
  <x:si>
    <x:t xml:space="preserve">Die bitteren Tränen der Petra von Kant</x:t>
  </x:si>
  <x:si>
    <x:t xml:space="preserve">Films_images/Les_Larmes_ameres_de_Petra_von_Kant.jpg</x:t>
  </x:si>
  <x:si>
    <x:t xml:space="preserve">film-1972-les-larmes-ameres-de-petra-von-kant</x:t>
  </x:si>
  <x:si>
    <x:t xml:space="preserve">rwf-1972-liberte-a-breme</x:t>
  </x:si>
  <x:si>
    <x:t xml:space="preserve">Liberté à Brême</x:t>
  </x:si>
  <x:si>
    <x:t xml:space="preserve">film-1972-liberte-a-breme</x:t>
  </x:si>
  <x:si>
    <x:t xml:space="preserve">rwf-1972-huit-heures</x:t>
  </x:si>
  <x:si>
    <x:t xml:space="preserve">Huit heures ne font pas un jour</x:t>
  </x:si>
  <x:si>
    <x:t xml:space="preserve">Acht Stunden sind kein Tag</x:t>
  </x:si>
  <x:si>
    <x:t xml:space="preserve">Série télévisée</x:t>
  </x:si>
  <x:si>
    <x:t xml:space="preserve">Dietrich Lohmann</x:t>
  </x:si>
  <x:si>
    <x:t xml:space="preserve">Marie Anne Gerhardt</x:t>
  </x:si>
  <x:si>
    <x:t xml:space="preserve">Kurt Raab</x:t>
  </x:si>
  <x:si>
    <x:t xml:space="preserve">WDR</x:t>
  </x:si>
  <x:si>
    <x:t xml:space="preserve">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x:t>
  </x:si>
  <x:si>
    <x:t xml:space="preserve">Assistants de réalisation : Renate Leiffer, Eberhard Schubert
Format : 16 mm, couleur
Tournage : 105 jours (avril-août 1972), Cologne et environs de Mönchengladbach
Diffusion initiale : 29 octobre 1972 – 18 mars 1973</x:t>
  </x:si>
  <x:si>
    <x:t xml:space="preserve">Feuilleton en cinq épisodes consacré aux amours, aux relations familiales et aux problèmes quotidiens d’un groupe de familles ouvrières. La série suit notamment Jochen et Marion, Grand-mère et Gregor, ainsi que les luttes collectives menées dans l’usine.</x:t>
  </x:si>
  <x:si>
    <x:t xml:space="preserve">1971|1972|1973</x:t>
  </x:si>
  <x:si>
    <x:t xml:space="preserve">monde ouvrier|famille|travail|autogestion|solidarité|télévision</x:t>
  </x:si>
  <x:si>
    <x:t xml:space="preserve">RWF_Notes sur les films.docx</x:t>
  </x:si>
  <x:si>
    <x:t xml:space="preserve">Documenté</x:t>
  </x:si>
  <x:si>
    <x:t xml:space="preserve">film-1972-huit-heures-ne-font-pas-un-jour</x:t>
  </x:si>
  <x:si>
    <x:t xml:space="preserve">rwf-1973-gibier-de-passage</x:t>
  </x:si>
  <x:si>
    <x:t xml:space="preserve">Gibier de passage</x:t>
  </x:si>
  <x:si>
    <x:t xml:space="preserve">1973</x:t>
  </x:si>
  <x:si>
    <x:t xml:space="preserve">film-1973-gibier-de-passage</x:t>
  </x:si>
  <x:si>
    <x:t xml:space="preserve">rwf-1973-monde-sur-fil</x:t>
  </x:si>
  <x:si>
    <x:t xml:space="preserve">Le Monde sur un fil</x:t>
  </x:si>
  <x:si>
    <x:t xml:space="preserve">Welt am Draht</x:t>
  </x:si>
  <x:si>
    <x:t xml:space="preserve">Téléfilm en deux parties</x:t>
  </x:si>
  <x:si>
    <x:t xml:space="preserve">Rainer Werner Fassbinder, d’après Simulacron 3 de Daniel F. Galouye</x:t>
  </x:si>
  <x:si>
    <x:t xml:space="preserve">Diffusion initiale : 14 et 16 octobre 1973
Production télévisuelle de la Westdeutscher Rundfunk (WDR)</x:t>
  </x:si>
  <x:si>
    <x:t xml:space="preserve">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x:t>
  </x:si>
  <x:si>
    <x:t xml:space="preserve">Daniel F. Galouye, Simulacron 3</x:t>
  </x:si>
  <x:si>
    <x:t xml:space="preserve">Films_images/Le_Monde_sur_un_fil.jpg</x:t>
  </x:si>
  <x:si>
    <x:t xml:space="preserve">science-fiction|simulation|réalité virtuelle|identité|cybernétique|télévision</x:t>
  </x:si>
  <x:si>
    <x:t xml:space="preserve">Partiellement documenté</x:t>
  </x:si>
  <x:si>
    <x:t xml:space="preserve">film-1973-le-monde-sur-un-fil</x:t>
  </x:si>
  <x:si>
    <x:t xml:space="preserve">rwf-1974-tous-autres-ali</x:t>
  </x:si>
  <x:si>
    <x:t xml:space="preserve">Tous les autres s’appellent Ali</x:t>
  </x:si>
  <x:si>
    <x:t xml:space="preserve">Angst essen Seele auf</x:t>
  </x:si>
  <x:si>
    <x:t xml:space="preserve">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x:t>
  </x:si>
  <x:si>
    <x:t xml:space="preserve">Langues originales : allemand, arabe
Sortie RFA : 5 mars 1974
Sortie États-Unis : 31 octobre 1974</x:t>
  </x:si>
  <x:si>
    <x:t xml:space="preserve">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x:t>
  </x:si>
  <x:si>
    <x:t xml:space="preserve">Films_images/Tous_les_autres_s_appellent_Ali.jpg</x:t>
  </x:si>
  <x:si>
    <x:t xml:space="preserve">1974</x:t>
  </x:si>
  <x:si>
    <x:t xml:space="preserve">racisme|immigration|amour|solitude|classe sociale|Douglas Sirk</x:t>
  </x:si>
  <x:si>
    <x:t xml:space="preserve">film-1974-tous-les-autres-s-appellent-ali</x:t>
  </x:si>
  <x:si>
    <x:t xml:space="preserve">rwf-1974-effi-briest</x:t>
  </x:si>
  <x:si>
    <x:t xml:space="preserve">Effi Briest</x:t>
  </x:si>
  <x:si>
    <x:t xml:space="preserve">Fontane Effi Briest</x:t>
  </x:si>
  <x:si>
    <x:t xml:space="preserve">Rainer Werner Fassbinder, d’après le roman de Theodor Fontane</x:t>
  </x:si>
  <x:si>
    <x:t xml:space="preserve">Jürgen Jürges ;  Dietrich Lohmann</x:t>
  </x:si>
  <x:si>
    <x:t xml:space="preserve">Thea Eymèsz</x:t>
  </x:si>
  <x:si>
    <x:t xml:space="preserve">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x:t>
  </x:si>
  <x:si>
    <x:t xml:space="preserve">Noir et blanc, 1,37:1, mono
Genre : drame
Sortie : 1974</x:t>
  </x:si>
  <x:si>
    <x:t xml:space="preserve">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x:t>
  </x:si>
  <x:si>
    <x:t xml:space="preserve">Theodor Fontane, Effi Briest</x:t>
  </x:si>
  <x:si>
    <x:t xml:space="preserve">Films_images/Effi_Briest.jpg</x:t>
  </x:si>
  <x:si>
    <x:t xml:space="preserve">adaptation littéraire|mariage|conventions sociales|patriarcat|Theodor Fontane|noir et blanc</x:t>
  </x:si>
  <x:si>
    <x:t xml:space="preserve">film-1974-effi-briest</x:t>
  </x:si>
  <x:si>
    <x:t xml:space="preserve">rwf-1974-nora-helmer</x:t>
  </x:si>
  <x:si>
    <x:t xml:space="preserve">Nora Helmer</x:t>
  </x:si>
  <x:si>
    <x:t xml:space="preserve">film-1974-nora-helmer</x:t>
  </x:si>
  <x:si>
    <x:t xml:space="preserve">rwf-1974-martha</x:t>
  </x:si>
  <x:si>
    <x:t xml:space="preserve">Martha</x:t>
  </x:si>
  <x:si>
    <x:t xml:space="preserve">Rainer Werner Fassbinder, d’après Cornell Woolrich</x:t>
  </x:si>
  <x:si>
    <x:t xml:space="preserve">Michael Ballhaus</x:t>
  </x:si>
  <x:si>
    <x:t xml:space="preserve">Liesgret Schmitt-Klink</x:t>
  </x:si>
  <x:si>
    <x:t xml:space="preserve">Peter Märthesheimer</x:t>
  </x:si>
  <x:si>
    <x:t xml:space="preserve">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x:t>
  </x:si>
  <x:si>
    <x:t xml:space="preserve">Format : couleurs, 1,33:1, mono
Date de diffusion : 1974</x:t>
  </x:si>
  <x:si>
    <x:t xml:space="preserve">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x:t>
  </x:si>
  <x:si>
    <x:t xml:space="preserve">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x:t>
  </x:si>
  <x:si>
    <x:t xml:space="preserve">Cornell Woolrich, source littéraire adaptée</x:t>
  </x:si>
  <x:si>
    <x:t xml:space="preserve">mélodrame|violence conjugale|domination|claustration|Douglas Sirk|Michael Ballhaus</x:t>
  </x:si>
  <x:si>
    <x:t xml:space="preserve">film-1974-martha</x:t>
  </x:si>
  <x:si>
    <x:t xml:space="preserve">rwf-1975-droit-plus-fort</x:t>
  </x:si>
  <x:si>
    <x:t xml:space="preserve">Le Droit du plus fort</x:t>
  </x:si>
  <x:si>
    <x:t xml:space="preserve">Faustrecht der Freiheit</x:t>
  </x:si>
  <x:si>
    <x:t xml:space="preserve">Rainer Werner Fassbinder et Christian Hohoff</x:t>
  </x:si>
  <x:si>
    <x:t xml:space="preserve">Peer Raben</x:t>
  </x:si>
  <x:si>
    <x:t xml:space="preserve">Rainer Werner Fassbinder ; City Film ; Tango Film</x:t>
  </x:si>
  <x:si>
    <x:t xml:space="preserve">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x:t>
  </x:si>
  <x:si>
    <x:t xml:space="preserve">Format : Eastmancolor, 1,66:1, mono
Langues : allemand, français et anglais
Sortie RFA : 6 juin 1975
Sortie France : 17 septembre 1975</x:t>
  </x:si>
  <x:si>
    <x:t xml:space="preserve">Fox, ouvrier de fête foraine sans argent, gagne à la loterie. Il tombe amoureux d’Eugen, bourgeois raffiné dont la famille traverse une crise financière. Introduit dans ce milieu, Fox est progressivement dépouillé de son argent, de ses biens et de son identité sociale.</x:t>
  </x:si>
  <x:si>
    <x:t xml:space="preserve">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x:t>
  </x:si>
  <x:si>
    <x:t xml:space="preserve">Films_images/Le_Droit_du_plus_fort.jpg</x:t>
  </x:si>
  <x:si>
    <x:t xml:space="preserve">1975</x:t>
  </x:si>
  <x:si>
    <x:t xml:space="preserve">homosexualité|classe sociale|argent|exploitation|mélodrame|bourgeoisie</x:t>
  </x:si>
  <x:si>
    <x:t xml:space="preserve">film-1975-le-droit-du-plus-fort</x:t>
  </x:si>
  <x:si>
    <x:t xml:space="preserve">rwf-1975-maman-kusters</x:t>
  </x:si>
  <x:si>
    <x:t xml:space="preserve">Maman Küsters s’en va au ciel</x:t>
  </x:si>
  <x:si>
    <x:t xml:space="preserve">Mutter Küsters' Fahrt zum Himmel</x:t>
  </x:si>
  <x:si>
    <x:t xml:space="preserve">Rainer Werner Fassbinder, Kurt Raab et Heinrich Zille</x:t>
  </x:si>
  <x:si>
    <x:t xml:space="preserve">Filmverlag der Autoren ; Tango Film</x:t>
  </x:si>
  <x:si>
    <x:t xml:space="preserve">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x:t>
  </x:si>
  <x:si>
    <x:t xml:space="preserve">Direction artistique : Ruediger Schmid
Assistant réalisateur : Renate Leiffer
Maquillage : Jo Braun
Son : Wolfgang Hoffmann
Format : couleurs, 1,37:1, mono
Sortie RFA : 7 juillet 1975
Sortie France : 19 janvier 1977</x:t>
  </x:si>
  <x:si>
    <x:t xml:space="preserve">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x:t>
  </x:si>
  <x:si>
    <x:t xml:space="preserve">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x:t>
  </x:si>
  <x:si>
    <x:t xml:space="preserve">Mutter Krausens Fahrt ins Glück (1929), film-source mentionné</x:t>
  </x:si>
  <x:si>
    <x:t xml:space="preserve">Films_images/Maman_Kusters_s_en_va_au_ciel.jpg</x:t>
  </x:si>
  <x:si>
    <x:t xml:space="preserve">presse|classe ouvrière|communisme|anarchisme|distanciation|Brecht|RFA</x:t>
  </x:si>
  <x:si>
    <x:t xml:space="preserve">film-1975-maman-kusters-s-en-va-au-ciel</x:t>
  </x:si>
  <x:si>
    <x:t xml:space="preserve">rwf-1975-comme-un-oiseau-sur-le-fil</x:t>
  </x:si>
  <x:si>
    <x:t xml:space="preserve">Comme un oiseau sur le fil</x:t>
  </x:si>
  <x:si>
    <x:t xml:space="preserve">film-1975-comme-un-oiseau-sur-le-fil</x:t>
  </x:si>
  <x:si>
    <x:t xml:space="preserve">rwf-1975-peur-de-la-peur</x:t>
  </x:si>
  <x:si>
    <x:t xml:space="preserve">Peur de la peur</x:t>
  </x:si>
  <x:si>
    <x:t xml:space="preserve">film-1975-peur-de-la-peur</x:t>
  </x:si>
  <x:si>
    <x:t xml:space="preserve">rwf-1976-lombre-des-anges</x:t>
  </x:si>
  <x:si>
    <x:t xml:space="preserve">L’Ombre des anges</x:t>
  </x:si>
  <x:si>
    <x:t xml:space="preserve">Films_images/L_Ombre_des_anges.jpg</x:t>
  </x:si>
  <x:si>
    <x:t xml:space="preserve">1976</x:t>
  </x:si>
  <x:si>
    <x:t xml:space="preserve">film-1976-l-ombre-des-anges</x:t>
  </x:si>
  <x:si>
    <x:t xml:space="preserve">rwf-1976-roti-satan</x:t>
  </x:si>
  <x:si>
    <x:t xml:space="preserve">Le Rôti de Satan</x:t>
  </x:si>
  <x:si>
    <x:t xml:space="preserve">Satansbraten</x:t>
  </x:si>
  <x:si>
    <x:t xml:space="preserve">Michael Ballhaus et Jürgen Jürges</x:t>
  </x:si>
  <x:si>
    <x:t xml:space="preserve">Hanns Eckelkamp et Michael Fengler</x:t>
  </x:si>
  <x:si>
    <x:t xml:space="preserve">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x:t>
  </x:si>
  <x:si>
    <x:t xml:space="preserve">Format : couleurs, 1,37:1, mono
Genre : comédie noire
Sortie : 1976</x:t>
  </x:si>
  <x:si>
    <x:t xml:space="preserve">Walter Kranz, poète autrefois révolutionnaire, est en panne d’inspiration et d’argent. Convaincu d’être la réincarnation du poète Stefan George, il multiplie mensonges, violences, plagiats et manipulations dans une quête grotesque de reconnaissance et de financement.</x:t>
  </x:si>
  <x:si>
    <x:t xml:space="preserve">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x:t>
  </x:si>
  <x:si>
    <x:t xml:space="preserve">Antonin Artaud, Héliogabale ou l’anarchiste couronné (1934)
Stefan George
Thomas Elsaesser, analyses sur Fassbinder et Despair</x:t>
  </x:si>
  <x:si>
    <x:t xml:space="preserve">Films_images/Le_Roti_de_Satan.jpg</x:t>
  </x:si>
  <x:si>
    <x:t xml:space="preserve">artiste|folie|grotesque|Antonin Artaud|Stefan George|création|comédie noire</x:t>
  </x:si>
  <x:si>
    <x:t xml:space="preserve">film-1976-le-roti-de-satan</x:t>
  </x:si>
  <x:si>
    <x:t xml:space="preserve">rwf-1976-roulette-chinoise</x:t>
  </x:si>
  <x:si>
    <x:t xml:space="preserve">Roulette chinoise</x:t>
  </x:si>
  <x:si>
    <x:t xml:space="preserve">Chinesisches Roulette</x:t>
  </x:si>
  <x:si>
    <x:t xml:space="preserve">RFA / France</x:t>
  </x:si>
  <x:si>
    <x:t xml:space="preserve">Ila von Hasperg</x:t>
  </x:si>
  <x:si>
    <x:t xml:space="preserve">Michael Fengler ; Barbet Schroeder</x:t>
  </x:si>
  <x:si>
    <x:t xml:space="preserve">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x:t>
  </x:si>
  <x:si>
    <x:t xml:space="preserve">Format : couleurs, 1,66:1, mono
Genre : drame, thriller
Sortie : 1976</x:t>
  </x:si>
  <x:si>
    <x:t xml:space="preserve">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x:t>
  </x:si>
  <x:si>
    <x:t xml:space="preserve">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x:t>
  </x:si>
  <x:si>
    <x:t xml:space="preserve">Films_images/Roulette_chinoise.jpg</x:t>
  </x:si>
  <x:si>
    <x:t xml:space="preserve">famille|adultère|huis clos|jeu|cruauté|handicap|nazisme|mémoire|miroirs|surcadrage</x:t>
  </x:si>
  <x:si>
    <x:t xml:space="preserve">film-1976-roulette-chinoise</x:t>
  </x:si>
  <x:si>
    <x:t xml:space="preserve">rwf-1976-je-veux-seulement-que-vous-maimiez</x:t>
  </x:si>
  <x:si>
    <x:t xml:space="preserve">Je veux seulement que vous m’aimiez</x:t>
  </x:si>
  <x:si>
    <x:t xml:space="preserve">Ich will doch nur, daß ihr mich liebt</x:t>
  </x:si>
  <x:si>
    <x:t xml:space="preserve">Bavaria Atelier GmbH pour la WDR</x:t>
  </x:si>
  <x:si>
    <x:t xml:space="preserve">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x:t>
  </x:si>
  <x:si>
    <x:t xml:space="preserve">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x:t>
  </x:si>
  <x:si>
    <x:t xml:space="preserve">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x:t>
  </x:si>
  <x:si>
    <x:t xml:space="preserve">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x:t>
  </x:si>
  <x:si>
    <x:t xml:space="preserve">Films_images/Je_veux_seulement_que_vous_m_aimiez.jpg</x:t>
  </x:si>
  <x:si>
    <x:t xml:space="preserve">amour|famille|travail|argent|crédit|consommation|surtravail|violence|folie|mélodrame|fleurs|miroirs</x:t>
  </x:si>
  <x:si>
    <x:t xml:space="preserve">film-1976-je-veux-seulement-que-vous-m-aimiez</x:t>
  </x:si>
  <x:si>
    <x:t xml:space="preserve">rwf-1977-femmes-a-new-york</x:t>
  </x:si>
  <x:si>
    <x:t xml:space="preserve">Femmes à New York</x:t>
  </x:si>
  <x:si>
    <x:t xml:space="preserve">1977</x:t>
  </x:si>
  <x:si>
    <x:t xml:space="preserve">film-1977-femmes-a-new-york</x:t>
  </x:si>
  <x:si>
    <x:t xml:space="preserve">rwf-1977-la-femme-du-chef-de-gare</x:t>
  </x:si>
  <x:si>
    <x:t xml:space="preserve">La Femme du chef de gare</x:t>
  </x:si>
  <x:si>
    <x:t xml:space="preserve">film-1977-la-femme-du-chef-de-gare</x:t>
  </x:si>
  <x:si>
    <x:t xml:space="preserve">rwf-1978-l-allemagne-en-automne</x:t>
  </x:si>
  <x:si>
    <x:t xml:space="preserve">L’Allemagne en automne</x:t>
  </x:si>
  <x:si>
    <x:t xml:space="preserve">Film collectif</x:t>
  </x:si>
  <x:si>
    <x:t xml:space="preserve">Film collectif : Alf Brustellin ; Bernhard Sinkel ; Rainer Werner Fassbinder ; Alexander Kluge ; Maximiliane Mainka ; Edgar Reitz ; Beate Mainka-Jellinghaus ; Peter Schubert ; Hans Peter Cloos ; Katja Rupé ; Volker Schlöndorff
Format : 1,66:1, mono
Genre : drame, documentaire
Sortie : mars 1978</x:t>
  </x:si>
  <x:si>
    <x:t xml:space="preserve">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x:t>
  </x:si>
  <x:si>
    <x:t xml:space="preserve">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x:t>
  </x:si>
  <x:si>
    <x:t xml:space="preserve">Films_images/L_Allemagne_en_automne.jpg</x:t>
  </x:si>
  <x:si>
    <x:t xml:space="preserve">1978</x:t>
  </x:si>
  <x:si>
    <x:t xml:space="preserve">Fraction armée rouge|terrorisme|autofiction|engagement|démocratie|autorité|mémoire|couple|autoportrait|intime|politique|huis clos</x:t>
  </x:si>
  <x:si>
    <x:t xml:space="preserve">film-1978-l-allemagne-en-automne</x:t>
  </x:si>
  <x:si>
    <x:t xml:space="preserve">rwf-1978-despair</x:t>
  </x:si>
  <x:si>
    <x:t xml:space="preserve">Despair</x:t>
  </x:si>
  <x:si>
    <x:t xml:space="preserve">Despair – Eine Reise ins Licht</x:t>
  </x:si>
  <x:si>
    <x:t xml:space="preserve">Tom Stoppard, d’après La Méprise de Vladimir Nabokov</x:t>
  </x:si>
  <x:si>
    <x:t xml:space="preserve">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x:t>
  </x:si>
  <x:si>
    <x:t xml:space="preserve">Langue : anglais
Format : couleur
Sortie : 19 mai 1978</x:t>
  </x:si>
  <x:si>
    <x:t xml:space="preserve">Dans l’Allemagne des années 1930, Hermann Hermann, magnat du chocolat et émigré russe, s’enfonce lentement dans la folie.</x:t>
  </x:si>
  <x:si>
    <x:t xml:space="preserve">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x:t>
  </x:si>
  <x:si>
    <x:t xml:space="preserve">Films_images/Despair.jpg</x:t>
  </x:si>
  <x:si>
    <x:t xml:space="preserve">double|folie|identité|perception|labyrinthe|miroirs|nazisme|capitalisme|homosexualité|adaptation|Nabokov|cinéma</x:t>
  </x:si>
  <x:si>
    <x:t xml:space="preserve">film-1978-despair</x:t>
  </x:si>
  <x:si>
    <x:t xml:space="preserve">rwf-1978-l-annee-des-treize-lunes</x:t>
  </x:si>
  <x:si>
    <x:t xml:space="preserve">L’Année des treize lunes</x:t>
  </x:si>
  <x:si>
    <x:t xml:space="preserve">Films_images/L_Annee_des_treize_lunes.jpg</x:t>
  </x:si>
  <x:si>
    <x:t xml:space="preserve">film-1978-l-annee-des-treize-lunes</x:t>
  </x:si>
  <x:si>
    <x:t xml:space="preserve">rwf-1978-maria-braun</x:t>
  </x:si>
  <x:si>
    <x:t xml:space="preserve">Le Mariage de Maria Braun</x:t>
  </x:si>
  <x:si>
    <x:t xml:space="preserve">Die Ehe der Maria Braun</x:t>
  </x:si>
  <x:si>
    <x:t xml:space="preserve">Films_images/Le_Mariage_de_Maria_Braun.jpg</x:t>
  </x:si>
  <x:si>
    <x:t xml:space="preserve">film-1978-le-mariage-de-maria-braun</x:t>
  </x:si>
  <x:si>
    <x:t xml:space="preserve">rwf-1979-la-troisieme-generation</x:t>
  </x:si>
  <x:si>
    <x:t xml:space="preserve">La Troisième génération</x:t>
  </x:si>
  <x:si>
    <x:t xml:space="preserve">Films_images/La_Troisieme_generation.jpg</x:t>
  </x:si>
  <x:si>
    <x:t xml:space="preserve">1979</x:t>
  </x:si>
  <x:si>
    <x:t xml:space="preserve">film-1979-la-troisieme-generation</x:t>
  </x:si>
  <x:si>
    <x:t xml:space="preserve">rwf-1980-berlin-alexanderplatz</x:t>
  </x:si>
  <x:si>
    <x:t xml:space="preserve">Berlin Alexanderplatz</x:t>
  </x:si>
  <x:si>
    <x:t xml:space="preserve">Films_images/Berlin_Alexanderplatz.jpg</x:t>
  </x:si>
  <x:si>
    <x:t xml:space="preserve">1980</x:t>
  </x:si>
  <x:si>
    <x:t xml:space="preserve">film-1980-berlin-alexanderplatz</x:t>
  </x:si>
  <x:si>
    <x:t xml:space="preserve">rwf-1981-lili-marleen</x:t>
  </x:si>
  <x:si>
    <x:t xml:space="preserve">Lili Marleen</x:t>
  </x:si>
  <x:si>
    <x:t xml:space="preserve">Films_images/Lili_Marleen.jpg</x:t>
  </x:si>
  <x:si>
    <x:t xml:space="preserve">1981</x:t>
  </x:si>
  <x:si>
    <x:t xml:space="preserve">film-1981-lili-marleen</x:t>
  </x:si>
  <x:si>
    <x:t xml:space="preserve">rwf-1981-theatre-en-transe</x:t>
  </x:si>
  <x:si>
    <x:t xml:space="preserve">Théâtre en transe</x:t>
  </x:si>
  <x:si>
    <x:t xml:space="preserve">Documentaire</x:t>
  </x:si>
  <x:si>
    <x:t xml:space="preserve">film-1981-theatre-en-transe</x:t>
  </x:si>
  <x:si>
    <x:t xml:space="preserve">rwf-1981-lola-une-femme-allemande</x:t>
  </x:si>
  <x:si>
    <x:t xml:space="preserve">Lola, une femme allemande</x:t>
  </x:si>
  <x:si>
    <x:t xml:space="preserve">Films_images/Lola_une_femme_allemande.jpg</x:t>
  </x:si>
  <x:si>
    <x:t xml:space="preserve">film-1981-lola-une-femme-allemande</x:t>
  </x:si>
  <x:si>
    <x:t xml:space="preserve">rwf-1982-veronika-voss</x:t>
  </x:si>
  <x:si>
    <x:t xml:space="preserve">Le Secret de Veronika Voss</x:t>
  </x:si>
  <x:si>
    <x:t xml:space="preserve">Die Sehnsucht der Veronika Voss</x:t>
  </x:si>
  <x:si>
    <x:t xml:space="preserve">Films_images/Le_Secret_de_Veronika_Voss.jpg</x:t>
  </x:si>
  <x:si>
    <x:t xml:space="preserve">film-1981-le-secret-de-veronika-voss</x:t>
  </x:si>
  <x:si>
    <x:t xml:space="preserve">rwf-1982-querelle</x:t>
  </x:si>
  <x:si>
    <x:t xml:space="preserve">Querelle</x:t>
  </x:si>
  <x:si>
    <x:t xml:space="preserve">Films_images/Querelle.jpg</x:t>
  </x:si>
  <x:si>
    <x:t xml:space="preserve">1982</x:t>
  </x:si>
  <x:si>
    <x:t xml:space="preserve">film-1982-querelle</x:t>
  </x:si>
  <x:si>
    <x:t xml:space="preserve">Types</x:t>
  </x:si>
  <x:si>
    <x:t xml:space="preserve">Statuts</x:t>
  </x:si>
  <x:si>
    <x:t xml:space="preserve">Court métrage</x:t>
  </x:si>
  <x:si>
    <x:t xml:space="preserve">En cours</x:t>
  </x:si>
  <x:si>
    <x:t xml:space="preserve">Relu</x:t>
  </x:si>
  <x:si>
    <x:t xml:space="preserve">Publié</x:t>
  </x:si>
  <x:si>
    <x:t xml:space="preserve">Épisode télévisé</x:t>
  </x:si>
  <x:si>
    <x:t xml:space="preserve">Pièce filmée</x:t>
  </x:si>
  <x:si>
    <x:t xml:space="preserve">Autre</x:t>
  </x:si>
  <x:si>
    <x:t xml:space="preserve">RWF_Films.xlsx — mode d’emploi</x:t>
  </x:si>
  <x:si>
    <x:t xml:space="preserve">Principe</x:t>
  </x:si>
  <x:si>
    <x:t xml:space="preserve">Une ligne correspond à un film, téléfilm, série ou autre œuvre audiovisuelle.</x:t>
  </x:si>
  <x:si>
    <x:t xml:space="preserve">Nom du fichier</x:t>
  </x:si>
  <x:si>
    <x:t xml:space="preserve">Conserver exactement le nom RWF_Films.xlsx et placer le fichier à la racine du dépôt GitHub.</x:t>
  </x:si>
  <x:si>
    <x:t xml:space="preserve">Affiches</x:t>
  </x:si>
  <x:si>
    <x:t xml:space="preserve">Placer les images dans le dossier Films_images. Dans la colonne Affiche, saisir seulement le nom du fichier, par exemple maria_braun.jpg. Une URL complète reste possible.</x:t>
  </x:si>
  <x:si>
    <x:t xml:space="preserve">Saisir une URL complète ou un nom de fichier présent dans Frise_extraits. Plusieurs extraits peuvent être séparés par |.</x:t>
  </x:si>
  <x:si>
    <x:t xml:space="preserve">Champs multiples</x:t>
  </x:si>
  <x:si>
    <x:t xml:space="preserve">Séparer plusieurs noms, références ou années par le caractère |. Les retours à la ligne sont également acceptés.</x:t>
  </x:si>
  <x:si>
    <x:t xml:space="preserve">Indiquer les identifiants d’années de la frise, par exemple 1978|1979. Un bouton permettra d’ouvrir directement l’année correspondante.</x:t>
  </x:si>
  <x:si>
    <x:t xml:space="preserve">Saisir une personne par ligne au format Nom canonique : rôle.</x:t>
  </x:si>
  <x:si>
    <x:t xml:space="preserve">Pour les fonctions non couvertes par une colonne spécialisée, saisir Fonction : noms, avec une fonction par ligne.</x:t>
  </x:si>
  <x:si>
    <x:t xml:space="preserve">Une référence par ligne ou séparée par |. Ajouter une URL dans la colonne Sources lorsqu’elle existe.</x:t>
  </x:si>
  <x:si>
    <x:t xml:space="preserve">Identifiant stable, unique et sans espaces. Ne pas le modifier une fois les liens créés.</x:t>
  </x:si>
  <x:si>
    <x:t xml:space="preserve">À compléter, En cours, Relu ou Publié. Ce champ sert au suivi éditorial et n’est pas affiché dans la fiche publique.</x:t>
  </x:si>
  <x:si>
    <x:t xml:space="preserve">Source de l’enrichissement</x:t>
  </x:si>
  <x:si>
    <x:t xml:space="preserve">RWF_Notes sur les films.docx. Les sections intitulées « Notes » n’ont pas été reprises.</x:t>
  </x:si>
  <x:si>
    <x:t xml:space="preserve">Contenu importé</x:t>
  </x:si>
  <x:si>
    <x:t xml:space="preserve">Synopsis, fiches techniques, distributions et analyses explicitement séparées des sections « Notes ».</x:t>
  </x:si>
  <x:si>
    <x:t xml:space="preserve">Liaison automatique</x:t>
  </x:si>
  <x:si>
    <x:t xml:space="preserve">Les colonnes AC et AD sont calculées automatiquement à partir de la feuille Référentiel entourage.</x:t>
  </x:si>
  <x:si>
    <x:t xml:space="preserve">Référentiel entourage</x:t>
  </x:si>
  <x:si>
    <x:t xml:space="preserve">Ne pas modifier un ID existant. Ajouter une personne dans cette feuille si une nouvelle fiche Entourage est créée.</x:t>
  </x:si>
  <x:si>
    <x:t xml:space="preserve">Saisir une personne par ligne au format Nom canonique : rôle. L’ID correspondant apparaît automatiquement en AC.</x:t>
  </x:si>
  <x:si>
    <x:t xml:space="preserve">AD recherche les personnes présentes dans Réalisation, Scénario, Image, Montage, Décors, Musique, Production et Équipe technique.</x:t>
  </x:si>
  <x:si>
    <x:t xml:space="preserve">Noms sans fiche</x:t>
  </x:si>
  <x:si>
    <x:t xml:space="preserve">Une personne absente du référentiel reste sans ID : aucun identifiant n’est inventé.</x:t>
  </x:si>
  <x:si>
    <x:t xml:space="preserve">ID canonique</x:t>
  </x:si>
  <x:si>
    <x:t xml:space="preserve">Nom canonique</x:t>
  </x:si>
  <x:si>
    <x:t xml:space="preserve">Nom source</x:t>
  </x:si>
  <x:si>
    <x:t xml:space="preserve">Prénom source</x:t>
  </x:si>
  <x:si>
    <x:t xml:space="preserve">Surnom</x:t>
  </x:si>
  <x:si>
    <x:t xml:space="preserve">Strate</x:t>
  </x:si>
  <x:si>
    <x:t xml:space="preserve">Fonction dominante</x:t>
  </x:si>
  <x:si>
    <x:t xml:space="preserve">Type de collaboration</x:t>
  </x:si>
  <x:si>
    <x:t xml:space="preserve">Vie privée / lien avec Fassbinder</x:t>
  </x:si>
  <x:si>
    <x:t xml:space="preserve">Œuvres de Fassbinder</x:t>
  </x:si>
  <x:si>
    <x:t xml:space="preserve">IDs films — Œuvres de Fassbinder</x:t>
  </x:si>
  <x:si>
    <x:t xml:space="preserve">Œuvres non rapprochées</x:t>
  </x:si>
  <x:si>
    <x:t xml:space="preserve">Rôle dans l’univers Fassbinder</x:t>
  </x:si>
  <x:si>
    <x:t xml:space="preserve">Portrait</x:t>
  </x:si>
  <x:si>
    <x:t xml:space="preserve">pers-harry-baer</x:t>
  </x:si>
  <x:si>
    <x:t xml:space="preserve">Harry Baer</x:t>
  </x:si>
  <x:si>
    <x:t xml:space="preserve">Baer</x:t>
  </x:si>
  <x:si>
    <x:t xml:space="preserve">Harry</x:t>
  </x:si>
  <x:si>
    <x:t xml:space="preserve">Noyau théâtral / Factory</x:t>
  </x:si>
  <x:si>
    <x:t xml:space="preserve">Acteur, assistant, production</x:t>
  </x:si>
  <x:si>
    <x:t xml:space="preserve">Jeu, soutien de production, présence interne</x:t>
  </x:si>
  <x:si>
    <x:t xml:space="preserve">Proche compagnon de travail et membre du cercle masculin du collectif</x:t>
  </x:si>
  <x:si>
    <x:t xml:space="preserve">Le Bouc; Les Dieux de la peste; Pourquoi M. R. est-il atteint de folie meurtrière ?; Pionniers à Ingolstadt; Whity; Le Marchand des quatre saisons; Despair; La Troisième génération; Le Secret de Veronika Voss; Lili Marleen; Lola, une femme allemande</x:t>
  </x:si>
  <x:si>
    <x:t xml:space="preserve">film-1969-le-bouc; film-1970-les-dieux-de-la-peste; film-1970-pourquoi-m-r-est-il-atteint-de-folie-meurtriere; film-1971-pionniers-a-ingolstadt; film-1971-whity; film-1972-le-marchand-des-quatre-saisons; film-1978-despair; film-1979-la-troisieme-generation; film-1981-le-secret-de-veronika-voss; film-1981-lili-marleen; film-1981-lola-une-femme-allemande</x:t>
  </x:si>
  <x:si>
    <x:t xml:space="preserve">Témoin de l’intérieur du collectif, relais organisationnel</x:t>
  </x:si>
  <x:si>
    <x:t xml:space="preserve">Baer.jpg</x:t>
  </x:si>
  <x:si>
    <x:t xml:space="preserve">pers-michael-ballhaus</x:t>
  </x:si>
  <x:si>
    <x:t xml:space="preserve">Ballhaus</x:t>
  </x:si>
  <x:si>
    <x:t xml:space="preserve">Michael</x:t>
  </x:si>
  <x:si>
    <x:t xml:space="preserve">Factory / période tardive</x:t>
  </x:si>
  <x:si>
    <x:t xml:space="preserve">Directeur de la photographie</x:t>
  </x:si>
  <x:si>
    <x:t xml:space="preserve">Image, mouvement de caméra, style visuel</x:t>
  </x:si>
  <x:si>
    <x:t xml:space="preserve">Collaborateur artistique majeur, mais pas figure de la vie intime au sens fort du premier cercle</x:t>
  </x:si>
  <x:si>
    <x:t xml:space="preserve">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x:t>
  </x:si>
  <x:si>
    <x:t xml:space="preserve">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x:t>
  </x:si>
  <x:si>
    <x:t xml:space="preserve">Formation du grand style visuel tardif</x:t>
  </x:si>
  <x:si>
    <x:t xml:space="preserve">Ballhaus.jpg</x:t>
  </x:si>
  <x:si>
    <x:t xml:space="preserve">pers-el-hedi-ben-salem</x:t>
  </x:si>
  <x:si>
    <x:t xml:space="preserve">El Hedi ben Salem</x:t>
  </x:si>
  <x:si>
    <x:t xml:space="preserve">Ben Salem</x:t>
  </x:si>
  <x:si>
    <x:t xml:space="preserve">El Hedi</x:t>
  </x:si>
  <x:si>
    <x:t xml:space="preserve">Période centrale</x:t>
  </x:si>
  <x:si>
    <x:t xml:space="preserve">Acteur, partenaire</x:t>
  </x:si>
  <x:si>
    <x:t xml:space="preserve">Jeu, présence incarnée, dimension autobiographique</x:t>
  </x:si>
  <x:si>
    <x:t xml:space="preserve">Partenaire intime de Fassbinder au moment de Angst essen Seele auf</x:t>
  </x:si>
  <x:si>
    <x:t xml:space="preserve">Le Marchand des quatre saisons; Le Monde sur un fil; Martha; Tous les autres s’appellent Ali; Le Droit du plus fort</x:t>
  </x:si>
  <x:si>
    <x:t xml:space="preserve">film-1972-le-marchand-des-quatre-saisons; film-1973-le-monde-sur-un-fil; film-1974-martha; film-1974-tous-les-autres-s-appellent-ali; film-1975-le-droit-du-plus-fort</x:t>
  </x:si>
  <x:si>
    <x:t xml:space="preserve">Figure de l’altérité racisée et du désir</x:t>
  </x:si>
  <x:si>
    <x:t xml:space="preserve">Ben_salem.jpg</x:t>
  </x:si>
  <x:si>
    <x:t xml:space="preserve">pers-karlheinz-bohm</x:t>
  </x:si>
  <x:si>
    <x:t xml:space="preserve">Karlheinz Böhm</x:t>
  </x:si>
  <x:si>
    <x:t xml:space="preserve">Böhm</x:t>
  </x:si>
  <x:si>
    <x:t xml:space="preserve">Karlheinz</x:t>
  </x:si>
  <x:si>
    <x:t xml:space="preserve">Acteur</x:t>
  </x:si>
  <x:si>
    <x:t xml:space="preserve">Jeu, contre-emploi :
Sissi et Le Voyeur</x:t>
  </x:si>
  <x:si>
    <x:t xml:space="preserve">Pas lié à l’intimité du groupe ; figure de prestige mobilisé pour des rôles de bourgeoisie ou d’autorité</x:t>
  </x:si>
  <x:si>
    <x:t xml:space="preserve">Effi Briest; Martha; Le Droit du plus fort; Maman Küsters s’en va au ciel</x:t>
  </x:si>
  <x:si>
    <x:t xml:space="preserve">film-1974-effi-briest; film-1974-martha; film-1975-le-droit-du-plus-fort; film-1975-maman-kusters-s-en-va-au-ciel</x:t>
  </x:si>
  <x:si>
    <x:t xml:space="preserve">Représentation des masculinités bourgeoises ou autoritaires</x:t>
  </x:si>
  <x:si>
    <x:t xml:space="preserve">Bohm.jpg</x:t>
  </x:si>
  <x:si>
    <x:t xml:space="preserve">pers-margit-carstensen</x:t>
  </x:si>
  <x:si>
    <x:t xml:space="preserve">Margit Carstensen</x:t>
  </x:si>
  <x:si>
    <x:t xml:space="preserve">Carstensen</x:t>
  </x:si>
  <x:si>
    <x:t xml:space="preserve">Margit</x:t>
  </x:si>
  <x:si>
    <x:t xml:space="preserve">Factory</x:t>
  </x:si>
  <x:si>
    <x:t xml:space="preserve">Actrice</x:t>
  </x:si>
  <x:si>
    <x:t xml:space="preserve">Jeu, intensité dramatique, rapport de pouvoir</x:t>
  </x:si>
  <x:si>
    <x:t xml:space="preserve">Proche du groupe, associée à l’univers affectif et conflictuel du collectif</x:t>
  </x:si>
  <x:si>
    <x:t xml:space="preserve">Les Larmes amères de Petra von Kant; Martha; Maman Küsters s’en va au ciel; Peur de la peur; Le Rôti de Satan; Roulette chinoise; La Troisième génération</x:t>
  </x:si>
  <x:si>
    <x:t xml:space="preserve">film-1972-les-larmes-ameres-de-petra-von-kant; film-1974-martha; film-1975-maman-kusters-s-en-va-au-ciel; film-1975-peur-de-la-peur; film-1976-le-roti-de-satan; film-1976-roulette-chinoise; film-1979-la-troisieme-generation</x:t>
  </x:si>
  <x:si>
    <x:t xml:space="preserve">Grande figure du conflit conjugal, social et psychique</x:t>
  </x:si>
  <x:si>
    <x:t xml:space="preserve">Carstensen.jpg</x:t>
  </x:si>
  <x:si>
    <x:t xml:space="preserve">pers-ingrid-caven</x:t>
  </x:si>
  <x:si>
    <x:t xml:space="preserve">Ingrid Caven</x:t>
  </x:si>
  <x:si>
    <x:t xml:space="preserve">Caven</x:t>
  </x:si>
  <x:si>
    <x:t xml:space="preserve">Ingrid</x:t>
  </x:si>
  <x:si>
    <x:t xml:space="preserve">Actrice, chanteuse</x:t>
  </x:si>
  <x:si>
    <x:t xml:space="preserve">Jeu, performance, chanson, scène</x:t>
  </x:si>
  <x:si>
    <x:t xml:space="preserve">Figure importante du cercle initial, liée au théâtre, à la scène et à la sphère intime du milieu Fassbinder, épouse de RWF</x:t>
  </x:si>
  <x:si>
    <x:t xml:space="preserve">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x:t>
  </x:si>
  <x:si>
    <x:t xml:space="preserve">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x:t>
  </x:si>
  <x:si>
    <x:t xml:space="preserve">Articulation entre théâtre, chanson et cinéma</x:t>
  </x:si>
  <x:si>
    <x:t xml:space="preserve">Caven.jpg</x:t>
  </x:si>
  <x:si>
    <x:t xml:space="preserve">pers-peter-chatel</x:t>
  </x:si>
  <x:si>
    <x:t xml:space="preserve">Peter Chatel</x:t>
  </x:si>
  <x:si>
    <x:t xml:space="preserve">Chatel</x:t>
  </x:si>
  <x:si>
    <x:t xml:space="preserve">Peter</x:t>
  </x:si>
  <x:si>
    <x:t xml:space="preserve">Factory / période centrale</x:t>
  </x:si>
  <x:si>
    <x:t xml:space="preserve">Jeu, théâtre filmé, relation de pouvoir</x:t>
  </x:si>
  <x:si>
    <x:t xml:space="preserve">Proche du milieu artistique, sans statut de relation intime centrale comparable aux membres du noyau fondateur</x:t>
  </x:si>
  <x:si>
    <x:t xml:space="preserve">Le Marchand des quatre saisons; Le Monde sur un fil; Martha; Le Droit du plus fort; Maman Küsters s’en va au ciel; Le Rôti de Satan; Lili Marleen</x:t>
  </x:si>
  <x:si>
    <x:t xml:space="preserve">film-1972-le-marchand-des-quatre-saisons; film-1973-le-monde-sur-un-fil; film-1974-martha; film-1975-le-droit-du-plus-fort; film-1975-maman-kusters-s-en-va-au-ciel; film-1976-le-roti-de-satan; film-1981-lili-marleen</x:t>
  </x:si>
  <x:si>
    <x:t xml:space="preserve">Corps masculin ambigu, souvent lié à la violence sociale</x:t>
  </x:si>
  <x:si>
    <x:t xml:space="preserve">Chatel.jpg</x:t>
  </x:si>
  <x:si>
    <x:t xml:space="preserve">pers-lilo-pempeit</x:t>
  </x:si>
  <x:si>
    <x:t xml:space="preserve">Lilo Pempeit</x:t>
  </x:si>
  <x:si>
    <x:t xml:space="preserve">Eder (Pempeit)</x:t>
  </x:si>
  <x:si>
    <x:t xml:space="preserve">Liselotte</x:t>
  </x:si>
  <x:si>
    <x:t xml:space="preserve">Actrice
Administratrice</x:t>
  </x:si>
  <x:si>
    <x:t xml:space="preserve">Mère de RWF</x:t>
  </x:si>
  <x:si>
    <x:t xml:space="preserve">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x:t>
  </x:si>
  <x:si>
    <x:t xml:space="preserve">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x:t>
  </x:si>
  <x:si>
    <x:t xml:space="preserve">Le Petit Chaos</x:t>
  </x:si>
  <x:si>
    <x:t xml:space="preserve">Petits rôles et personnages antipathiques le plus souvent</x:t>
  </x:si>
  <x:si>
    <x:t xml:space="preserve">Eder.jpg</x:t>
  </x:si>
  <x:si>
    <x:t xml:space="preserve">pers-gottfried-john</x:t>
  </x:si>
  <x:si>
    <x:t xml:space="preserve">Gottfried John</x:t>
  </x:si>
  <x:si>
    <x:t xml:space="preserve">Gottfried</x:t>
  </x:si>
  <x:si>
    <x:t xml:space="preserve">John</x:t>
  </x:si>
  <x:si>
    <x:t xml:space="preserve">Rôles ambigus : méchant absolu
(James Bond !)</x:t>
  </x:si>
  <x:si>
    <x:t xml:space="preserve">Huit heures ne font pas un jour; Maman Küsters s’en va au ciel; Despair; L’Année des treize lunes; Le Mariage de Maria Braun; Berlin Alexanderplatz; Le Secret de Veronika Voss; Lili Marleen; Lola, une femme allemande</x:t>
  </x:si>
  <x:si>
    <x:t xml:space="preserve">film-1972-huit-heures-ne-font-pas-un-jour; film-1975-maman-kusters-s-en-va-au-ciel; film-1978-despair; film-1978-l-annee-des-treize-lunes; film-1979-le-mariage-de-maria-braun; film-1980-berlin-alexanderplatz; film-1981-le-secret-de-veronika-voss; film-1981-lili-marleen; film-1981-lola-une-femme-allemande</x:t>
  </x:si>
  <x:si>
    <x:t xml:space="preserve">Fascination du méchant, journaliste, Reinhold</x:t>
  </x:si>
  <x:si>
    <x:t xml:space="preserve">Gottfried.jpg</x:t>
  </x:si>
  <x:si>
    <x:t xml:space="preserve">pers-irm-hermann</x:t>
  </x:si>
  <x:si>
    <x:t xml:space="preserve">Irm Hermann</x:t>
  </x:si>
  <x:si>
    <x:t xml:space="preserve">Hermann</x:t>
  </x:si>
  <x:si>
    <x:t xml:space="preserve">Irm</x:t>
  </x:si>
  <x:si>
    <x:t xml:space="preserve">Jeu, répétition de rôle, tension sociale</x:t>
  </x:si>
  <x:si>
    <x:t xml:space="preserve">Membre du cercle intime de travail, présence durable du premier collectif, associée à la sphère domestique et quotidienne du groupe</x:t>
  </x:si>
  <x:si>
    <x:t xml:space="preserve">L’Amour est plus froid que la mort; Le Bouc; Les Dieux de la peste; Le Marchand des quatre saisons; Les Larmes amères de Petra von Kant; Effi Briest; Nora Helmer; Tous les autres s’appellent Ali; Le Droit du plus fort; Maman Küsters s’en va au ciel; Lili Marleen</x:t>
  </x:si>
  <x:si>
    <x:t xml:space="preserve">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x:t>
  </x:si>
  <x:si>
    <x:t xml:space="preserve">Corps de la frustration sociale, de l'aliénation et du domestique</x:t>
  </x:si>
  <x:si>
    <x:t xml:space="preserve">Hermann.jpg</x:t>
  </x:si>
  <x:si>
    <x:t xml:space="preserve">pers-gunther-kaufmann</x:t>
  </x:si>
  <x:si>
    <x:t xml:space="preserve">Günther Kaufmann</x:t>
  </x:si>
  <x:si>
    <x:t xml:space="preserve">Kaufmann</x:t>
  </x:si>
  <x:si>
    <x:t xml:space="preserve">Günther</x:t>
  </x:si>
  <x:si>
    <x:t xml:space="preserve">Jeu, masculinité, présence marginale</x:t>
  </x:si>
  <x:si>
    <x:t xml:space="preserve">Présence récurrente du cercle de travail, au croisement du professionnel et du relationnel</x:t>
  </x:si>
  <x:si>
    <x:t xml:space="preserve">Les Dieux de la peste; Whity; L’Année des treize lunes; La Troisième génération; Le Mariage de Maria Braun; Berlin Alexanderplatz; Le Secret de Veronika Voss; Querelle</x:t>
  </x:si>
  <x:si>
    <x:t xml:space="preserve">film-1970-les-dieux-de-la-peste; film-1971-whity; film-1978-l-annee-des-treize-lunes; film-1979-la-troisieme-generation; film-1979-le-mariage-de-maria-braun; film-1980-berlin-alexanderplatz; film-1981-le-secret-de-veronika-voss; film-1982-querelle</x:t>
  </x:si>
  <x:si>
    <x:t xml:space="preserve">Incarnation d’une virilité blessée, souvent périphérique</x:t>
  </x:si>
  <x:si>
    <x:t xml:space="preserve">Kaufmann.jpg</x:t>
  </x:si>
  <x:si>
    <x:t xml:space="preserve">pers-ulli-lommel</x:t>
  </x:si>
  <x:si>
    <x:t xml:space="preserve">Ulli Lommel</x:t>
  </x:si>
  <x:si>
    <x:t xml:space="preserve">Lommel</x:t>
  </x:si>
  <x:si>
    <x:t xml:space="preserve">Ulli</x:t>
  </x:si>
  <x:si>
    <x:t xml:space="preserve">Acteur
Producteur,
Collaborateur technique</x:t>
  </x:si>
  <x:si>
    <x:t xml:space="preserve">L’Amour est plus froid que la mort; Le Soldat américain; Les Dieux de la peste; Prenez garde à la sainte putain; Whity; Effi Briest; Le Rôti de Satan; Roulette chinoise; Despair</x:t>
  </x:si>
  <x:si>
    <x:t xml:space="preserve">film-1969-l-amour-est-plus-froid-que-la-mort; film-1970-le-soldat-americain; film-1970-les-dieux-de-la-peste; film-1971-prenez-garde-a-la-sainte-putain; film-1971-whity; film-1974-effi-briest; film-1976-le-roti-de-satan; film-1976-roulette-chinoise; film-1978-despair</x:t>
  </x:si>
  <x:si>
    <x:t xml:space="preserve">Lommel.jpg</x:t>
  </x:si>
  <x:si>
    <x:t xml:space="preserve">pers-juliane-lorenz</x:t>
  </x:si>
  <x:si>
    <x:t xml:space="preserve">Juliane Lorenz</x:t>
  </x:si>
  <x:si>
    <x:t xml:space="preserve">Lorenz</x:t>
  </x:si>
  <x:si>
    <x:t xml:space="preserve">Juliane</x:t>
  </x:si>
  <x:si>
    <x:t xml:space="preserve">Monteuse, assistante, actrice occasionnelle, productrice assistance à la mise en scène, présence au plateau,</x:t>
  </x:si>
  <x:si>
    <x:t xml:space="preserve">Assistance à la mise en scène, présence au plateau, postproduction</x:t>
  </x:si>
  <x:si>
    <x:t xml:space="preserve">Compagne de Fassbinder à partir de la seconde moitié des années 1970 ; communauté de travail et de vie jusqu’en 1982</x:t>
  </x:si>
  <x:si>
    <x:t xml:space="preserve">Roulette chinoise; La Femme du chef de gare; Despair; La Troisième génération; Berlin Alexanderplatz; Le Secret de Veronika Voss; Lola, une femme allemande</x:t>
  </x:si>
  <x:si>
    <x:t xml:space="preserve">film-1976-roulette-chinoise; film-1977-la-femme-du-chef-de-gare; film-1978-despair; film-1979-la-troisieme-generation; film-1980-berlin-alexanderplatz; film-1981-le-secret-de-veronika-voss; film-1981-lola-une-femme-allemande</x:t>
  </x:si>
  <x:si>
    <x:t xml:space="preserve">Fig essentielle de la dernière période, à la fois techniquement indispensable et historiquement décisive pour la conservation de l’héritage Fassbinder</x:t>
  </x:si>
  <x:si>
    <x:t xml:space="preserve">Lorenz.jpg</x:t>
  </x:si>
  <x:si>
    <x:t xml:space="preserve">pers-armin-meier</x:t>
  </x:si>
  <x:si>
    <x:t xml:space="preserve">Armin Meier</x:t>
  </x:si>
  <x:si>
    <x:t xml:space="preserve">Meier</x:t>
  </x:si>
  <x:si>
    <x:t xml:space="preserve">Armin</x:t>
  </x:si>
  <x:si>
    <x:t xml:space="preserve">Jeu, relation intime, présence biographique</x:t>
  </x:si>
  <x:si>
    <x:t xml:space="preserve">Compagnon de Fassbinder, figure de la dimension autobiographique et affective la plus douloureuse</x:t>
  </x:si>
  <x:si>
    <x:t xml:space="preserve">Maman Küsters s’en va au ciel; Peur de la peur; Je veux seulement que vous m’aimiez; Roulette chinoise; La Femme du chef de gare; L’Allemagne en automne</x:t>
  </x:si>
  <x:si>
    <x:t xml:space="preserve">film-1975-maman-kusters-s-en-va-au-ciel; film-1975-peur-de-la-peur; film-1976-je-veux-seulement-que-vous-m-aimiez; film-1976-roulette-chinoise; film-1977-la-femme-du-chef-de-gare; film-1978-l-allemagne-en-automne</x:t>
  </x:si>
  <x:si>
    <x:t xml:space="preserve">Dimension intime et tragique du cinéma fassbinderien</x:t>
  </x:si>
  <x:si>
    <x:t xml:space="preserve">Meier.jpg</x:t>
  </x:si>
  <x:si>
    <x:t xml:space="preserve">pers-brigitte-mira</x:t>
  </x:si>
  <x:si>
    <x:t xml:space="preserve">Brigitte Mira</x:t>
  </x:si>
  <x:si>
    <x:t xml:space="preserve">Mira</x:t>
  </x:si>
  <x:si>
    <x:t xml:space="preserve">Brigitte</x:t>
  </x:si>
  <x:si>
    <x:t xml:space="preserve">Période centrale / tardive</x:t>
  </x:si>
  <x:si>
    <x:t xml:space="preserve">Jeu, décalage social, figure populaire</x:t>
  </x:si>
  <x:si>
    <x:t xml:space="preserve">Plutôt collaboratrice d’âge et de trajectoire, moins liée au premier cercle intime que les figures de l’antiteater</x:t>
  </x:si>
  <x:si>
    <x:t xml:space="preserve">Effi Briest; Tous les autres s’appellent Ali; Maman Küsters s’en va au ciel; Le Rôti de Satan; Le Mariage de Maria Braun; Berlin Alexanderplatz</x:t>
  </x:si>
  <x:si>
    <x:t xml:space="preserve">film-1974-effi-briest; film-1974-tous-les-autres-s-appellent-ali; film-1975-maman-kusters-s-en-va-au-ciel; film-1976-le-roti-de-satan; film-1979-le-mariage-de-maria-braun; film-1980-berlin-alexanderplatz</x:t>
  </x:si>
  <x:si>
    <x:t xml:space="preserve">Ancrage populaire et critique sociale</x:t>
  </x:si>
  <x:si>
    <x:t xml:space="preserve">Mira.jpg</x:t>
  </x:si>
  <x:si>
    <x:t xml:space="preserve">pers-kurt-raab</x:t>
  </x:si>
  <x:si>
    <x:t xml:space="preserve">Raab</x:t>
  </x:si>
  <x:si>
    <x:t xml:space="preserve">Kurt</x:t>
  </x:si>
  <x:si>
    <x:t xml:space="preserve">Acteur, scénariste, costumier</x:t>
  </x:si>
  <x:si>
    <x:t xml:space="preserve">Jeu, écriture, conception plastique</x:t>
  </x:si>
  <x:si>
    <x:t xml:space="preserve">Ami proche, membre central du collectif, très intégré à la vie quotidienne du groupe Fassbinder</x:t>
  </x:si>
  <x:si>
    <x:t xml:space="preserve">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x:t>
  </x:si>
  <x:si>
    <x:t xml:space="preserve">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x:t>
  </x:si>
  <x:si>
    <x:t xml:space="preserve">Collaborateur total, à la frontière du jeu et de la fabrication matérielle, Chef Décorateur , identité visuelle des films de RWF</x:t>
  </x:si>
  <x:si>
    <x:t xml:space="preserve">Raab.jpg</x:t>
  </x:si>
  <x:si>
    <x:t xml:space="preserve">pers-peer-raben</x:t>
  </x:si>
  <x:si>
    <x:t xml:space="preserve">Raben</x:t>
  </x:si>
  <x:si>
    <x:t xml:space="preserve">Peer</x:t>
  </x:si>
  <x:si>
    <x:t xml:space="preserve">Compositeur</x:t>
  </x:si>
  <x:si>
    <x:t xml:space="preserve">Musique, ambiance, structure émotionnelle</x:t>
  </x:si>
  <x:si>
    <x:t xml:space="preserve">Ami intime et partenaire artistique central, l’une des présences les plus constantes du cercle Fassbinder</x:t>
  </x:si>
  <x:si>
    <x:t xml:space="preserve">Architecte sonore de la mélancolie fassbinderienne</x:t>
  </x:si>
  <x:si>
    <x:t xml:space="preserve">Raben.jpg</x:t>
  </x:si>
  <x:si>
    <x:t xml:space="preserve">pers-daniel-schmid</x:t>
  </x:si>
  <x:si>
    <x:t xml:space="preserve">Daniel Schmid</x:t>
  </x:si>
  <x:si>
    <x:t xml:space="preserve">Schmid</x:t>
  </x:si>
  <x:si>
    <x:t xml:space="preserve">Daniel</x:t>
  </x:si>
  <x:si>
    <x:t xml:space="preserve">Réseau élargi / tardif</x:t>
  </x:si>
  <x:si>
    <x:t xml:space="preserve">Cinéaste, monteur, collaborateur</x:t>
  </x:si>
  <x:si>
    <x:t xml:space="preserve">Montage, relais artistique</x:t>
  </x:si>
  <x:si>
    <x:t xml:space="preserve">Compagnonnage artistique plus que vie privée centrale</x:t>
  </x:si>
  <x:si>
    <x:t xml:space="preserve">Collaborateur du cinéma européen d’auteur, au voisinage de Fassbinder</x:t>
  </x:si>
  <x:si>
    <x:t xml:space="preserve">Schmid.jpg</x:t>
  </x:si>
  <x:si>
    <x:t xml:space="preserve">pers-hanna-schygulla</x:t>
  </x:si>
  <x:si>
    <x:t xml:space="preserve">Hanna Schygulla</x:t>
  </x:si>
  <x:si>
    <x:t xml:space="preserve">Schygulla</x:t>
  </x:si>
  <x:si>
    <x:t xml:space="preserve">Hanna</x:t>
  </x:si>
  <x:si>
    <x:t xml:space="preserve">Atrice, muse</x:t>
  </x:si>
  <x:si>
    <x:t xml:space="preserve">Jeu, présence, incarnation, image publique</x:t>
  </x:si>
  <x:si>
    <x:t xml:space="preserve">Proche collaboratrice de longue durée, liée au noyau fondateur du groupe et à l’intimité artistique de Fassbinder</x:t>
  </x:si>
  <x:si>
    <x:t xml:space="preserve">L’Amour est plus froid que la mort; Le Bouc; Les Dieux de la peste; Prenez garde à la sainte putain; Huit heures ne font pas un jour; Le Marchand des quatre saisons; Les Larmes amères de Petra von Kant; Effi Briest; La Troisième génération; Le Mariage de Maria Braun; Berlin Alexanderplatz; Lili Marleen</x:t>
  </x:si>
  <x:si>
    <x:t xml:space="preserve">film-1969-l-amour-est-plus-froid-que-la-mort; film-1969-le-bouc; film-1970-les-dieux-de-la-peste; film-1971-prenez-garde-a-la-sainte-putain; film-1972-huit-heures-ne-font-pas-un-jour; film-1972-le-marchand-des-quatre-saisons; film-1972-les-larmes-ameres-de-petra-von-kant; film-1974-effi-briest; film-1979-la-troisieme-generation; film-1979-le-mariage-de-maria-braun; film-1980-berlin-alexanderplatz; film-1981-lili-marleen</x:t>
  </x:si>
  <x:si>
    <x:t xml:space="preserve">Rio das Mortes</x:t>
  </x:si>
  <x:si>
    <x:t xml:space="preserve">Figure centrale de la féminité fassbinderienne, du naturalisme au mélodrame historique</x:t>
  </x:si>
  <x:si>
    <x:t xml:space="preserve">Schygulla.jpg</x:t>
  </x:si>
  <x:si>
    <x:t xml:space="preserve">pers-ursula-stratz</x:t>
  </x:si>
  <x:si>
    <x:t xml:space="preserve">Ursula Strätz</x:t>
  </x:si>
  <x:si>
    <x:t xml:space="preserve">Strätz</x:t>
  </x:si>
  <x:si>
    <x:t xml:space="preserve">Ursula</x:t>
  </x:si>
  <x:si>
    <x:t xml:space="preserve">Noyau théâtral</x:t>
  </x:si>
  <x:si>
    <x:t xml:space="preserve">Jeu, ancrage scénique</x:t>
  </x:si>
  <x:si>
    <x:t xml:space="preserve">Proche du milieu théâtral des débuts, sans précision biographique intime forte dans la source de départ</x:t>
  </x:si>
  <x:si>
    <x:t xml:space="preserve">L’Amour est plus froid que la mort; Le Voyage à Niklashausen; Les Dieux de la peste; Effi Briest</x:t>
  </x:si>
  <x:si>
    <x:t xml:space="preserve">film-1969-l-amour-est-plus-froid-que-la-mort; film-1970-le-voyage-a-niklashausen; film-1970-les-dieux-de-la-peste; film-1974-effi-briest</x:t>
  </x:si>
  <x:si>
    <x:t xml:space="preserve">Lien entre théâtre et premiers essais filmiques</x:t>
  </x:si>
  <x:si>
    <x:t xml:space="preserve">Strätz.jpg</x:t>
  </x:si>
  <x:si>
    <x:t xml:space="preserve">pers-lilith-ungerer</x:t>
  </x:si>
  <x:si>
    <x:t xml:space="preserve">Lilith Ungerer</x:t>
  </x:si>
  <x:si>
    <x:t xml:space="preserve">Ungerer</x:t>
  </x:si>
  <x:si>
    <x:t xml:space="preserve">Lilith</x:t>
  </x:si>
  <x:si>
    <x:t xml:space="preserve">Jeu</x:t>
  </x:si>
  <x:si>
    <x:t xml:space="preserve">Collaboratrice du cercle, sanns information forte de vie privée dans le tableau de départ</x:t>
  </x:si>
  <x:si>
    <x:t xml:space="preserve">Le Bouc; Les Dieux de la peste; Pourquoi M. R. est-il atteint de folie meurtrière ?</x:t>
  </x:si>
  <x:si>
    <x:t xml:space="preserve">film-1969-le-bouc; film-1970-les-dieux-de-la-peste; film-1970-pourquoi-m-r-est-il-atteint-de-folie-meurtriere</x:t>
  </x:si>
  <x:si>
    <x:t xml:space="preserve">Présence latérale mais significative dans le collectif</x:t>
  </x:si>
  <x:si>
    <x:t xml:space="preserve">Ungerer.jpg</x:t>
  </x:si>
  <x:si>
    <x:t xml:space="preserve">pers-barbara-valentin</x:t>
  </x:si>
  <x:si>
    <x:t xml:space="preserve">Barbara Valentin</x:t>
  </x:si>
  <x:si>
    <x:t xml:space="preserve">Valentin</x:t>
  </x:si>
  <x:si>
    <x:t xml:space="preserve">Barbara</x:t>
  </x:si>
  <x:si>
    <x:t xml:space="preserve">« Brigitte Bardot allemande »</x:t>
  </x:si>
  <x:si>
    <x:t xml:space="preserve">Les Dieux de la peste; Le Monde sur un fil; Martha; Tous les autres s’appellent Ali; Maman Küsters s’en va au ciel</x:t>
  </x:si>
  <x:si>
    <x:t xml:space="preserve">film-1970-les-dieux-de-la-peste; film-1973-le-monde-sur-un-fil; film-1974-martha; film-1974-tous-les-autres-s-appellent-ali; film-1975-maman-kusters-s-en-va-au-ciel</x:t>
  </x:si>
  <x:si>
    <x:t xml:space="preserve">Figure sensuelle et populaire</x:t>
  </x:si>
  <x:si>
    <x:t xml:space="preserve">Valentin.jpg</x:t>
  </x:si>
  <x:si>
    <x:t xml:space="preserve">pers-volker-spengler</x:t>
  </x:si>
  <x:si>
    <x:t xml:space="preserve">Volker Spengler</x:t>
  </x:si>
  <x:si>
    <x:t xml:space="preserve">Volker</x:t>
  </x:si>
  <x:si>
    <x:t xml:space="preserve">Spengler</x:t>
  </x:si>
  <x:si>
    <x:t xml:space="preserve">Collaboration ponctuelle et opportuniste</x:t>
  </x:si>
  <x:si>
    <x:t xml:space="preserve">Maman Küsters s’en va au ciel; Le Rôti de Satan; Roulette chinoise; Despair; L’Année des treize lunes; La Troisième génération; Le Mariage de Maria Braun; Berlin Alexanderplatz</x:t>
  </x:si>
  <x:si>
    <x:t xml:space="preserve">film-1975-maman-kusters-s-en-va-au-ciel; film-1976-le-roti-de-satan; film-1976-roulette-chinoise; film-1978-despair; film-1978-l-annee-des-treize-lunes; film-1979-la-troisieme-generation; film-1979-le-mariage-de-maria-braun; film-1980-berlin-alexanderplatz</x:t>
  </x:si>
  <x:si>
    <x:t xml:space="preserve">Incarne souvent des personnages de travestis ou qui se déguisent, il incarne une inquiétante étrangeté.</x:t>
  </x:si>
  <x:si>
    <x:t xml:space="preserve">Volker.jpg</x:t>
  </x:si>
</x:sst>
</file>

<file path=xl/styles.xml><?xml version="1.0" encoding="utf-8"?>
<x:styleSheet xmlns:x="http://schemas.openxmlformats.org/spreadsheetml/2006/main">
  <x:fonts count="9">
    <x:font>
      <x:sz val="11"/>
      <x:name val="Carlito"/>
    </x:font>
    <x:font>
      <x:b/>
      <x:sz val="11"/>
      <x:color rgb="FFFFFFFF"/>
      <x:name val="Carlito"/>
    </x:font>
    <x:font>
      <x:b/>
      <x:sz val="16"/>
      <x:color rgb="FFFFFFFF"/>
      <x:name val="Carlito"/>
    </x:font>
    <x:font>
      <x:b/>
      <x:sz val="11"/>
      <x:color rgb="FFB84213"/>
      <x:name val="Carlito"/>
    </x:font>
    <x:font>
      <x:b/>
      <x:sz val="11"/>
      <x:name val="Carlito"/>
    </x:font>
    <x:font>
      <x:sz val="11"/>
      <x:color rgb="FF1F4E78"/>
      <x:name val="Carlito"/>
    </x:font>
    <x:font>
      <x:b/>
      <x:sz val="11"/>
      <x:color rgb="FF1F4E78"/>
      <x:name val="Carlito"/>
    </x:font>
    <x:font>
      <x:sz val="11"/>
      <x:color theme="1"/>
      <x:name val="Carlito"/>
    </x:font>
    <x:font>
      <x:i/>
      <x:sz val="11"/>
      <x:color theme="1"/>
      <x:name val="Carlito"/>
    </x:font>
  </x:fonts>
  <x:fills count="10">
    <x:fill>
      <x:patternFill patternType="none"/>
    </x:fill>
    <x:fill>
      <x:patternFill patternType="gray125"/>
    </x:fill>
    <x:fill>
      <x:patternFill patternType="solid">
        <x:fgColor rgb="FF182B3A"/>
      </x:patternFill>
    </x:fill>
    <x:fill>
      <x:patternFill patternType="solid">
        <x:fgColor rgb="FFF06424"/>
      </x:patternFill>
    </x:fill>
    <x:fill>
      <x:patternFill patternType="solid">
        <x:fgColor rgb="FFFFF4ED"/>
      </x:patternFill>
    </x:fill>
    <x:fill>
      <x:patternFill patternType="solid">
        <x:fgColor rgb="FFE8EEF2"/>
      </x:patternFill>
    </x:fill>
    <x:fill>
      <x:patternFill patternType="solid">
        <x:fgColor rgb="FF1F4E78"/>
      </x:patternFill>
    </x:fill>
    <x:fill>
      <x:patternFill patternType="solid">
        <x:fgColor rgb="FFF2F7FB"/>
      </x:patternFill>
    </x:fill>
    <x:fill>
      <x:patternFill patternType="solid">
        <x:fgColor rgb="FFEEF5FA"/>
      </x:patternFill>
    </x:fill>
    <x:fill>
      <x:patternFill patternType="solid">
        <x:fgColor theme="2"/>
      </x:patternFill>
    </x:fill>
  </x:fills>
  <x:borders count="1">
    <x:border/>
  </x:borders>
  <x:cellStyleXfs count="1">
    <x:xf numFmtId="0" fontId="0" fillId="0" borderId="0"/>
  </x:cellStyleXfs>
  <x:cellXfs count="15">
    <x:xf numFmtId="0" fontId="0" fillId="0" borderId="0" xfId="0"/>
    <x:xf numFmtId="0" fontId="0" fillId="0" borderId="0" xfId="0" applyAlignment="1">
      <x:alignment wrapText="1"/>
    </x:xf>
    <x:xf numFmtId="0" fontId="1" fillId="3" borderId="0" xfId="0" applyFont="1" applyFill="1"/>
    <x:xf numFmtId="0" fontId="3" fillId="4" borderId="0" xfId="0" applyFont="1" applyFill="1" applyAlignment="1">
      <x:alignment wrapText="1"/>
    </x:xf>
    <x:xf numFmtId="0" fontId="4" fillId="5" borderId="0" xfId="0" applyFont="1" applyFill="1" applyAlignment="1">
      <x:alignment wrapText="1"/>
    </x:xf>
    <x:xf numFmtId="0" fontId="1" fillId="6" borderId="0" xfId="0" applyFont="1" applyFill="1" applyAlignment="1">
      <x:alignment horizontal="center" vertical="center" wrapText="1"/>
    </x:xf>
    <x:xf numFmtId="0" fontId="0" fillId="7" borderId="0" xfId="0" applyFill="1" applyAlignment="1">
      <x:alignment wrapText="1"/>
    </x:xf>
    <x:xf numFmtId="0" fontId="5" fillId="8" borderId="0" xfId="0" applyFont="1" applyFill="1" applyAlignment="1">
      <x:alignment wrapText="1"/>
    </x:xf>
    <x:xf numFmtId="0" fontId="6" fillId="0" borderId="0" xfId="0" applyFont="1" applyAlignment="1">
      <x:alignment wrapText="1"/>
    </x:xf>
    <x:xf numFmtId="0" fontId="0" fillId="0" borderId="0" xfId="0" applyAlignment="1">
      <x:alignment vertical="top" wrapText="1"/>
    </x:xf>
    <x:xf numFmtId="1" fontId="0" fillId="0" borderId="0" xfId="0" applyNumberFormat="1" applyAlignment="1">
      <x:alignment vertical="top" wrapText="1"/>
    </x:xf>
    <x:xf numFmtId="0" fontId="7" fillId="9" borderId="0" xfId="0" applyFont="1" applyFill="1" applyAlignment="1">
      <x:alignment horizontal="left" vertical="top" wrapText="1"/>
    </x:xf>
    <x:xf numFmtId="0" fontId="7" fillId="9" borderId="0" xfId="0" applyFont="1" applyFill="1" applyAlignment="1">
      <x:alignment horizontal="left" vertical="top"/>
    </x:xf>
    <x:xf numFmtId="0" fontId="2" fillId="2" borderId="0" xfId="0" applyFont="1" applyFill="1" applyAlignment="1">
      <x:alignment horizontal="left" vertical="center" wrapText="1"/>
    </x:xf>
    <x:xf numFmtId="49" fontId="0" fillId="0" borderId="0" xfId="0" applyNumberFormat="1" applyAlignment="1">
      <x:alignment horizontal="left" vertical="top" wrapText="1"/>
    </x:xf>
  </x:cellXfs>
  <x:cellStyles count="1">
    <x:cellStyle name="Normal" xfId="0"/>
  </x:cellStyles>
  <x:dxfs count="32">
    <x:dxf>
      <x:fill>
        <x:patternFill>
          <x:bgColor rgb="FFF3F6F8"/>
        </x:patternFill>
      </x:fill>
    </x:dxf>
    <x:dxf>
      <x:fill>
        <x:patternFill>
          <x:bgColor rgb="FFF3F6F8"/>
        </x:patternFill>
      </x:fill>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
      <x:font>
        <x:u val="none"/>
        <x:sz val="11"/>
        <x:name val="Carlito"/>
        <x:scheme val="none"/>
      </x:font>
    </x:dxf>
  </x:dxfs>
</x:styleSheet>
</file>

<file path=xl/_rels/workbook.xml.rels>&#65279;<?xml version="1.0" encoding="utf-8"?><Relationships xmlns="http://schemas.openxmlformats.org/package/2006/relationships"><Relationship Type="http://schemas.openxmlformats.org/officeDocument/2006/relationships/styles" Target="/xl/styles.xml" Id="R2a40c7a511b64083" /><Relationship Type="http://schemas.openxmlformats.org/officeDocument/2006/relationships/theme" Target="/xl/theme/theme1.xml" Id="Re8adb562758945e0" /><Relationship Type="http://schemas.openxmlformats.org/officeDocument/2006/relationships/sharedStrings" Target="/xl/sharedStrings.xml" Id="R7cd5a38e1d2a459e" /><Relationship Type="http://schemas.openxmlformats.org/officeDocument/2006/relationships/worksheet" Target="/xl/worksheets/sheet1.xml" Id="Rbdfd621f684e470b" /><Relationship Type="http://schemas.openxmlformats.org/officeDocument/2006/relationships/worksheet" Target="/xl/worksheets/sheet2.xml" Id="R2a07652567114a30" /><Relationship Type="http://schemas.openxmlformats.org/officeDocument/2006/relationships/worksheet" Target="/xl/worksheets/sheet3.xml" Id="R6dd791b0d8264976" /><Relationship Type="http://schemas.openxmlformats.org/officeDocument/2006/relationships/worksheet" Target="/xl/worksheets/sheet4.xml" Id="R4c61e771f8294692" /></Relationships>
</file>

<file path=xl/tables/table1.xml><?xml version="1.0" encoding="utf-8"?>
<x:table xmlns:x="http://schemas.openxmlformats.org/spreadsheetml/2006/main" id="1" name="FilmsTable" displayName="FilmsTable" ref="A1:AA44" dataDxfId="30">
  <x:tableColumns count="27">
    <x:tableColumn id="1" name="ID" dataDxfId="28"/>
    <x:tableColumn id="2" name="Titre français" dataDxfId="27"/>
    <x:tableColumn id="3" name="Titre original" dataDxfId="26"/>
    <x:tableColumn id="4" name="Année" dataDxfId="25"/>
    <x:tableColumn id="5" name="Type" dataDxfId="24"/>
    <x:tableColumn id="6" name="Durée (min)" dataDxfId="23"/>
    <x:tableColumn id="7" name="Pays" dataDxfId="22"/>
    <x:tableColumn id="8" name="Réalisation" dataDxfId="21"/>
    <x:tableColumn id="9" name="Scénario" dataDxfId="20"/>
    <x:tableColumn id="10" name="Image" dataDxfId="19"/>
    <x:tableColumn id="11" name="Montage" dataDxfId="18"/>
    <x:tableColumn id="28" name="Décors" dataDxfId="17"/>
    <x:tableColumn id="12" name="Musique" dataDxfId="16"/>
    <x:tableColumn id="13" name="Production" dataDxfId="15"/>
    <x:tableColumn id="14" name="Distribution artistique" dataDxfId="14"/>
    <x:tableColumn id="15" name="Équipe technique" dataDxfId="13"/>
    <x:tableColumn id="16" name="Synopsis" dataDxfId="12"/>
    <x:tableColumn id="17" name="Extraits" dataDxfId="11"/>
    <x:tableColumn id="18" name="Analyse" dataDxfId="10"/>
    <x:tableColumn id="19" name="Bibliographie" dataDxfId="9"/>
    <x:tableColumn id="20" name="Affiche" dataDxfId="8"/>
    <x:tableColumn id="21" name="Légende affiche" dataDxfId="7"/>
    <x:tableColumn id="22" name="Source affiche" dataDxfId="6"/>
    <x:tableColumn id="23" name="Liens chronologie" dataDxfId="5"/>
    <x:tableColumn id="24" name="Mots-clés" dataDxfId="4"/>
    <x:tableColumn id="25" name="Sources" dataDxfId="3"/>
    <x:tableColumn id="26" name="Statut" dataDxfId="2"/>
  </x:tableColumns>
  <x:tableStyleInfo name="TableStyleMedium2" showFirstColumn="0" showLastColumn="0" showRowStripes="1" showColumnStripes="0"/>
</x:table>
</file>

<file path=xl/tables/table2.xml><?xml version="1.0" encoding="utf-8"?>
<x:table xmlns:x="http://schemas.openxmlformats.org/spreadsheetml/2006/main" id="2" name="ReferentielEntourage" displayName="ReferentielEntourage" ref="A1:N24" totalsRowShown="0">
  <x:tableColumns count="14">
    <x:tableColumn id="1" name="ID canonique"/>
    <x:tableColumn id="2" name="Nom canonique"/>
    <x:tableColumn id="3" name="Nom source"/>
    <x:tableColumn id="4" name="Prénom source"/>
    <x:tableColumn id="5" name="Surnom"/>
    <x:tableColumn id="6" name="Strate"/>
    <x:tableColumn id="7" name="Fonction dominante"/>
    <x:tableColumn id="8" name="Type de collaboration"/>
    <x:tableColumn id="9" name="Vie privée / lien avec Fassbinder"/>
    <x:tableColumn id="10" name="Œuvres de Fassbinder"/>
    <x:tableColumn id="11" name="IDs films — Œuvres de Fassbinder"/>
    <x:tableColumn id="12" name="Œuvres non rapprochées"/>
    <x:tableColumn id="13" name="Rôle dans l’univers Fassbinder"/>
    <x:tableColumn id="14" name="Portrai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b8de15d59f44232" /></Relationships>
</file>

<file path=xl/worksheets/_rels/sheet4.xml.rels>&#65279;<?xml version="1.0" encoding="utf-8"?><Relationships xmlns="http://schemas.openxmlformats.org/package/2006/relationships"><Relationship Type="http://schemas.openxmlformats.org/officeDocument/2006/relationships/table" Target="/xl/tables/table2.xml" Id="R62a8a3ea099a4184" /></Relationships>
</file>

<file path=xl/worksheets/sheet1.xml><?xml version="1.0" encoding="utf-8"?>
<x:worksheet xmlns:x="http://schemas.openxmlformats.org/spreadsheetml/2006/main">
  <x:sheetFormatPr baseColWidth="10" defaultColWidth="8.83203125" defaultRowHeight="14"/>
  <x:cols>
    <x:col min="1" max="1" width="24" customWidth="1"/>
    <x:col min="2" max="2" width="34" customWidth="1"/>
    <x:col min="3" max="3" width="32" customWidth="1"/>
    <x:col min="4" max="4" width="10" customWidth="1"/>
    <x:col min="5" max="5" width="24" customWidth="1"/>
    <x:col min="6" max="6" width="12" customWidth="1"/>
    <x:col min="7" max="7" width="14" customWidth="1"/>
    <x:col min="8" max="8" width="24" customWidth="1"/>
    <x:col min="9" max="9" width="34" customWidth="1"/>
    <x:col min="10" max="12" width="24" customWidth="1"/>
    <x:col min="13" max="13" width="20" customWidth="1"/>
    <x:col min="14" max="14" width="26" customWidth="1"/>
    <x:col min="15" max="16" width="42" customWidth="1"/>
    <x:col min="17" max="17" width="50" customWidth="1"/>
    <x:col min="18" max="18" width="35" customWidth="1"/>
    <x:col min="19" max="19" width="50" customWidth="1"/>
    <x:col min="20" max="20" width="35" customWidth="1"/>
    <x:col min="21" max="21" width="24" customWidth="1"/>
    <x:col min="22" max="23" width="30" customWidth="1"/>
    <x:col min="24" max="24" width="18" customWidth="1"/>
    <x:col min="25" max="25" width="34" customWidth="1"/>
    <x:col min="26" max="26" width="30" customWidth="1"/>
    <x:col min="27" max="27" width="22" customWidth="1"/>
    <x:col min="28" max="28" width="16" customWidth="1"/>
    <x:col min="29" max="30" width="42" customWidth="1"/>
    <x:col min="31" max="31" width="38" customWidth="1"/>
  </x:cols>
  <x:sheetData>
    <x:row r="1" ht="80.25" customHeight="1">
      <x:c r="A1" s="5" t="s">
        <x:v>0</x:v>
      </x:c>
      <x:c r="B1" s="5" t="s">
        <x:v>1</x:v>
      </x:c>
      <x:c r="C1" s="5" t="s">
        <x:v>2</x:v>
      </x:c>
      <x:c r="D1" s="5" t="s">
        <x:v>3</x:v>
      </x:c>
      <x:c r="E1" s="5" t="s">
        <x:v>4</x:v>
      </x:c>
      <x:c r="F1" s="5" t="s">
        <x:v>5</x:v>
      </x:c>
      <x:c r="G1" s="5" t="s">
        <x:v>6</x:v>
      </x:c>
      <x:c r="H1" s="5" t="s">
        <x:v>7</x:v>
      </x:c>
      <x:c r="I1" s="5" t="s">
        <x:v>8</x:v>
      </x:c>
      <x:c r="J1" s="5" t="s">
        <x:v>9</x:v>
      </x:c>
      <x:c r="K1" s="5" t="s">
        <x:v>10</x:v>
      </x:c>
      <x:c r="L1" s="5" t="s">
        <x:v>11</x:v>
      </x:c>
      <x:c r="M1" s="5" t="s">
        <x:v>12</x:v>
      </x:c>
      <x:c r="N1" s="5" t="s">
        <x:v>13</x:v>
      </x:c>
      <x:c r="O1" s="5" t="s">
        <x:v>14</x:v>
      </x:c>
      <x:c r="P1" s="5" t="s">
        <x:v>15</x:v>
      </x:c>
      <x:c r="Q1" s="5" t="s">
        <x:v>16</x:v>
      </x:c>
      <x:c r="R1" s="5" t="s">
        <x:v>17</x:v>
      </x:c>
      <x:c r="S1" s="5" t="s">
        <x:v>18</x:v>
      </x:c>
      <x:c r="T1" s="5" t="s">
        <x:v>19</x:v>
      </x:c>
      <x:c r="U1" s="5" t="s">
        <x:v>20</x:v>
      </x:c>
      <x:c r="V1" s="5" t="s">
        <x:v>21</x:v>
      </x:c>
      <x:c r="W1" s="5" t="s">
        <x:v>22</x:v>
      </x:c>
      <x:c r="X1" s="5" t="s">
        <x:v>23</x:v>
      </x:c>
      <x:c r="Y1" s="5" t="s">
        <x:v>24</x:v>
      </x:c>
      <x:c r="Z1" s="5" t="s">
        <x:v>25</x:v>
      </x:c>
      <x:c r="AA1" s="5" t="s">
        <x:v>26</x:v>
      </x:c>
      <x:c r="AB1" s="1" t="s">
        <x:v>27</x:v>
      </x:c>
      <x:c r="AC1" s="1" t="s">
        <x:v>28</x:v>
      </x:c>
      <x:c r="AD1" s="1" t="s">
        <x:v>29</x:v>
      </x:c>
    </x:row>
    <x:row r="2" s="12" customFormat="1" ht="80.25" customHeight="1">
      <x:c r="A2" s="11" t="s">
        <x:v>30</x:v>
      </x:c>
      <x:c r="B2" s="11" t="s">
        <x:v>31</x:v>
      </x:c>
      <x:c r="C2" s="11" t="str">
        <x:v>Der Stadtstreicher</x:v>
      </x:c>
      <x:c r="D2" s="11">
        <x:v>1966</x:v>
      </x:c>
      <x:c r="E2" s="11" t="s">
        <x:v>32</x:v>
      </x:c>
      <x:c r="F2" s="11" t="n">
        <x:v>10</x:v>
      </x:c>
      <x:c r="G2" s="11" t="s">
        <x:v>33</x:v>
      </x:c>
      <x:c r="H2" s="9" t="s">
        <x:v>34</x:v>
      </x:c>
      <x:c r="I2" s="11" t="str">
        <x:v>Rainer Werner Fassbinder</x:v>
      </x:c>
      <x:c r="J2" s="11" t="str">
        <x:v>Michael Fengler ; Josef Jung</x:v>
      </x:c>
      <x:c r="K2" s="11"/>
      <x:c r="L2" s="11"/>
      <x:c r="M2" s="11"/>
      <x:c r="N2" s="11" t="str">
        <x:v>Roser Film</x:v>
      </x:c>
      <x:c r="O2" s="11" t="str">
        <x:v>Christoph Roser : le clochard
Susanne Schimkus : la serveuse
Michael Fengler : un homme
Thomas Fengler : un homme
Irm Hermann : Frau Pigue</x:v>
      </x:c>
      <x:c r="P2" s="11" t="str">
        <x:v>Format : noir et blanc, mono
Genre : court métrage dramatique
Sortie : 1966</x:v>
      </x:c>
      <x:c r="Q2" s="11" t="str">
        <x:v>Un clochard trouve un pistolet dans la rue.</x:v>
      </x:c>
      <x:c r="R2" s="11"/>
      <x:c r="S2" s="11"/>
      <x:c r="T2" s="11"/>
      <x:c r="U2" s="11"/>
      <x:c r="V2" s="11"/>
      <x:c r="W2" s="11"/>
      <x:c r="X2" s="11"/>
      <x:c r="Y2" s="11"/>
      <x:c r="Z2" s="11" t="str">
        <x:v>Wikipédia : https://fr.wikipedia.org/wiki/Le_Clochard</x:v>
      </x:c>
      <x:c r="AA2" s="11"/>
      <x:c r="AB2" s="1" t="s">
        <x:v>35</x:v>
      </x:c>
      <x:c r="AC2" s="11"/>
      <x:c r="AD2" s="11"/>
    </x:row>
    <x:row r="3" s="12" customFormat="1" ht="80.25" customHeight="1">
      <x:c r="A3" s="11" t="s">
        <x:v>36</x:v>
      </x:c>
      <x:c r="B3" s="11" t="s">
        <x:v>37</x:v>
      </x:c>
      <x:c r="C3" s="11" t="str">
        <x:v>Das kleine Chaos</x:v>
      </x:c>
      <x:c r="D3" s="11">
        <x:v>1967</x:v>
      </x:c>
      <x:c r="E3" s="11" t="s">
        <x:v>32</x:v>
      </x:c>
      <x:c r="F3" s="11" t="n">
        <x:v>9</x:v>
      </x:c>
      <x:c r="G3" s="11" t="s">
        <x:v>33</x:v>
      </x:c>
      <x:c r="H3" s="9" t="s">
        <x:v>34</x:v>
      </x:c>
      <x:c r="I3" s="11" t="str">
        <x:v>Rainer Werner Fassbinder</x:v>
      </x:c>
      <x:c r="J3" s="11" t="str">
        <x:v>Michael Fengler</x:v>
      </x:c>
      <x:c r="K3" s="11"/>
      <x:c r="L3" s="11"/>
      <x:c r="M3" s="11"/>
      <x:c r="N3" s="11" t="str">
        <x:v>Roser Film</x:v>
      </x:c>
      <x:c r="O3" s="11" t="str">
        <x:v>Christoph Roser : Theo
Marite Greiselis : Marite
Rainer Werner Fassbinder : Franz
Lilo Pempeit : Mme Eder</x:v>
      </x:c>
      <x:c r="P3" s="11" t="str">
        <x:v>Format : noir et blanc, 1,37:1, mono
Genre : court métrage de comédie
Sortie : 1967</x:v>
      </x:c>
      <x:c r="Q3" s="11" t="str">
        <x:v>Theo, Marite et Franz tentent de gagner de l’argent en vendant des revues en porte-à-porte. Après leurs échecs répétés, ils décident de commettre de petits vols.</x:v>
      </x:c>
      <x:c r="R3" s="11"/>
      <x:c r="S3" s="11"/>
      <x:c r="T3" s="11"/>
      <x:c r="U3" s="11"/>
      <x:c r="V3" s="11"/>
      <x:c r="W3" s="11"/>
      <x:c r="X3" s="11"/>
      <x:c r="Y3" s="11"/>
      <x:c r="Z3" s="11" t="str">
        <x:v>Wikipédia : https://fr.wikipedia.org/wiki/Le_Petit_Chaos</x:v>
      </x:c>
      <x:c r="AA3" s="11"/>
      <x:c r="AB3" s="11" t="s">
        <x:v>38</x:v>
      </x:c>
      <x:c r="AC3" s="11"/>
      <x:c r="AD3" s="11"/>
    </x:row>
    <x:row r="4" ht="170.75" customHeight="1">
      <x:c r="A4" s="9" t="s">
        <x:v>39</x:v>
      </x:c>
      <x:c r="B4" s="9" t="s">
        <x:v>40</x:v>
      </x:c>
      <x:c r="C4" s="9" t="s">
        <x:v>41</x:v>
      </x:c>
      <x:c r="D4" s="10">
        <x:v>1969</x:v>
      </x:c>
      <x:c r="E4" s="9" t="s">
        <x:v>42</x:v>
      </x:c>
      <x:c r="F4" s="10" t="n">
        <x:v>88</x:v>
      </x:c>
      <x:c r="G4" s="9" t="s">
        <x:v>33</x:v>
      </x:c>
      <x:c r="H4" s="9" t="s">
        <x:v>34</x:v>
      </x:c>
      <x:c r="I4" s="9" t="str">
        <x:v>Rainer Werner Fassbinder</x:v>
      </x:c>
      <x:c r="J4" s="9"/>
      <x:c r="K4" s="9" t="str">
        <x:v>Franz Walsch (pseudonyme de Rainer Werner Fassbinder)</x:v>
      </x:c>
      <x:c r="L4" s="9" t="str">
        <x:v>Ulli Lommel ; Rainer Werner Fassbinder</x:v>
      </x:c>
      <x:c r="M4" s="9" t="str">
        <x:v>Peer Raben ; Holga Münzer</x:v>
      </x:c>
      <x:c r="N4" s="9" t="str">
        <x:v>Antiteater-X-Film</x:v>
      </x:c>
      <x:c r="O4" s="9" t="str">
        <x:v>Rainer Werner Fassbinder : Franz
Ulli Lommel : Bruno
Hanna Schygulla : Joanna
Hans Hirschmüller : Peter
Katrin Schaake : la jeune femme dans le train
Peter Berling : le cordonnier
Irm Hermann : la vendeuse de lunettes
Hannes Gromball : le client de Joanna
Gisela Otto : une prostituée
Ingrid Caven : une prostituée
Ursula Strätz : une prostituée
Les Olvides : Georges
Peer Raben : Jürgen
Peter Moland : un homme du syndicat
Anastassios Karalas : le Turc
Kurt Raab : le surveillant du supermarché
Rudolf Waldemar Brem : le motard policier
Yaak Karsunke : le commissaire
Monoka Stadler : la jeune fille</x:v>
      </x:c>
      <x:c r="P4" s="9" t="str">
        <x:v>Son : Gottfried Hüngsberg
Format : noir et blanc, 35 mm
Tournage : 24 jours en avril 1969, Munich et environs
Sortie RFA : 26 juin 1969 (Berlinale), puis 16 janvier 1970</x:v>
      </x:c>
      <x:c r="Q4" s="9" t="str">
        <x:v>Franz, souteneur de petite envergure, refuse de s’allier à un syndicat du crime. Celui-ci lui envoie Bruno, qui forme avec Franz et sa compagne Joanna un trio de jeunes criminels. Bruno commet des crimes que la police impute à Franz, puis les deux hommes décident d’attaquer une banque.</x:v>
      </x:c>
      <x:c r="R4" s="9"/>
      <x:c r="S4" s="9"/>
      <x:c r="T4" s="9"/>
      <x:c r="U4" s="9" t="s">
        <x:v>43</x:v>
      </x:c>
      <x:c r="V4" s="9"/>
      <x:c r="W4" s="9"/>
      <x:c r="X4" s="9" t="s">
        <x:v>44</x:v>
      </x:c>
      <x:c r="Y4" s="9"/>
      <x:c r="Z4" s="9" t="str">
        <x:v>Wikipédia : https://fr.wikipedia.org/wiki/L%27amour_est_plus_froid_que_la_mort</x:v>
      </x:c>
      <x:c r="AA4" s="9" t="s">
        <x:v>45</x:v>
      </x:c>
      <x:c r="AB4" s="1" t="s">
        <x:v>46</x:v>
      </x:c>
      <x:c r="AC4" s="7" t="str">
        <x: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x:f>
        <x:v>pers-ingrid-caven; pers-irm-hermann; pers-ulli-lommel; pers-kurt-raab; pers-peer-raben; pers-hanna-schygulla; pers-ursula-stratz</x:v>
      </x:c>
      <x:c r="AD4" s="7" t="str">
        <x: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pers-ulli-lommel; pers-peer-raben</x:v>
      </x:c>
    </x:row>
    <x:row r="5" ht="170.75" customHeight="1">
      <x:c r="A5" s="9" t="s">
        <x:v>47</x:v>
      </x:c>
      <x:c r="B5" s="9" t="s">
        <x:v>48</x:v>
      </x:c>
      <x:c r="C5" s="9" t="s">
        <x:v>49</x:v>
      </x:c>
      <x:c r="D5" s="10">
        <x:v>1969</x:v>
      </x:c>
      <x:c r="E5" s="9" t="s">
        <x:v>42</x:v>
      </x:c>
      <x:c r="F5" s="10" t="n">
        <x:v>88</x:v>
      </x:c>
      <x:c r="G5" s="9" t="s">
        <x:v>33</x:v>
      </x:c>
      <x:c r="H5" s="9" t="s">
        <x:v>34</x:v>
      </x:c>
      <x:c r="I5" s="9" t="str">
        <x:v>Rainer Werner Fassbinder</x:v>
      </x:c>
      <x:c r="J5" s="9" t="str">
        <x:v>Dietrich Lohmann</x:v>
      </x:c>
      <x:c r="K5" s="9" t="str">
        <x:v>Rainer Werner Fassbinder</x:v>
      </x:c>
      <x:c r="L5" s="9"/>
      <x:c r="M5" s="9" t="str">
        <x:v>Peer Raben</x:v>
      </x:c>
      <x:c r="N5" s="9" t="str">
        <x:v>Peer Raben ; Antiteater-X-Film</x:v>
      </x:c>
      <x:c r="O5" s="9" t="str">
        <x:v>Hanna Schygulla : Marie
Lilith Ungerer : Helga
Rudolf Waldemar Brem : Paul
Elga Sorbas : Rosy
Doris Mattes : Gunda
Irm Hermann : Elisabeth
Peter Moland : Peter
Rainer Werner Fassbinder : Jorgos
Hans Hirschmüller : Erich
Harry Baer : Franz
Hannes Gromball : Klaus
Katrin Schaake : la femme sur la route</x:v>
      </x:c>
      <x:c r="P5" s="9" t="str">
        <x:v>Format : noir et blanc, 1,37:1, mono
Genre : drame, romance
Sortie : 1969</x:v>
      </x:c>
      <x:c r="Q5" s="9" t="str">
        <x:v>Jorgos, travailleur immigré grec, rejoint un groupe de jeunes gens à Munich. Son arrivée suscite hostilité et jalousie ; insulté, il confie à Marie son désir de rentrer chez lui.</x:v>
      </x:c>
      <x:c r="R5" s="9"/>
      <x:c r="S5" s="9" t="s">
        <x:v>50</x:v>
      </x:c>
      <x:c r="T5" s="9"/>
      <x:c r="U5" s="9" t="s">
        <x:v>51</x:v>
      </x:c>
      <x:c r="V5" s="9"/>
      <x:c r="W5" s="9"/>
      <x:c r="X5" s="9" t="s">
        <x:v>44</x:v>
      </x:c>
      <x:c r="Y5" s="9"/>
      <x:c r="Z5" s="9" t="str">
        <x:v>Wikipédia : https://fr.wikipedia.org/wiki/Le_Bouc</x:v>
      </x:c>
      <x:c r="AA5" s="9" t="s">
        <x:v>45</x:v>
      </x:c>
      <x:c r="AB5" s="1" t="s">
        <x:v>52</x:v>
      </x:c>
      <x:c r="AC5" s="7" t="str">
        <x: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x:f>
        <x:v>pers-harry-baer; pers-irm-hermann; pers-hanna-schygulla; pers-lilith-ungerer</x:v>
      </x:c>
      <x:c r="AD5" s="7" t="str">
        <x: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pers-peer-raben</x:v>
      </x:c>
    </x:row>
    <x:row r="6" ht="170.75" customHeight="1">
      <x:c r="A6" s="9" t="s">
        <x:v>53</x:v>
      </x:c>
      <x:c r="B6" s="9" t="s">
        <x:v>54</x:v>
      </x:c>
      <x:c r="C6" s="9" t="str">
        <x:v>Götter der Pest</x:v>
      </x:c>
      <x:c r="D6" s="10">
        <x:v>1970</x:v>
      </x:c>
      <x:c r="E6" s="9" t="s">
        <x:v>42</x:v>
      </x:c>
      <x:c r="F6" s="10" t="n">
        <x:v>91</x:v>
      </x:c>
      <x:c r="G6" s="9" t="s">
        <x:v>33</x:v>
      </x:c>
      <x:c r="H6" s="9" t="s">
        <x:v>34</x:v>
      </x:c>
      <x:c r="I6" s="9" t="str">
        <x:v>Rainer Werner Fassbinder</x:v>
      </x:c>
      <x:c r="J6" s="9" t="str">
        <x:v>Dietrich Lohmann</x:v>
      </x:c>
      <x:c r="K6" s="9" t="str">
        <x:v>Rainer Werner Fassbinder</x:v>
      </x:c>
      <x:c r="L6" s="9" t="str">
        <x:v>Kurt Raab</x:v>
      </x:c>
      <x:c r="M6" s="9" t="str">
        <x:v>Peer Raben</x:v>
      </x:c>
      <x:c r="N6" s="9" t="str">
        <x:v>Rainer Werner Fassbinder ; Michael Fengler</x:v>
      </x:c>
      <x:c r="O6" s="9" t="str">
        <x:v>Hanna Schygulla : Johanna Reiher
Margarethe von Trotta : Margarethe
Harry Baer : Franz Walsch
Günther Kaufmann : Günther
Carla Aulalu : Carla
Ingrid Caven : Magdalena Fuller
Lilith Ungerer : la jeune fille du premier café
Katrin Schaake : la propriétaire du deuxième café
Hannes Gromball : le directeur du supermarché
Jan George : un policier
Micha Cochina : Joe
Lilo Pempeit : la mère
Marian Seidowski : Marian
Yaak Karsunke : le commissaire
Rainer Werner Fassbinder : l’homme qui achète des revues pornographiques</x:v>
      </x:c>
      <x:c r="P6" s="9" t="str">
        <x:v>Format : noir et blanc, 35 mm, 1,37:1, mono
Genre : drame
Sortie : 1970</x:v>
      </x:c>
      <x:c r="Q6" s="9" t="str">
        <x:v>À sa sortie de prison, le petit escroc Franz Walsch retrouve Joanna. Il recherche le « gorille », vieux gangster qui a assassiné son frère, mais décide néanmoins de refaire équipe avec lui pour un dernier braquage.</x:v>
      </x:c>
      <x:c r="R6" s="9"/>
      <x:c r="S6" s="9"/>
      <x:c r="T6" s="9"/>
      <x:c r="U6" s="9" t="s">
        <x:v>55</x:v>
      </x:c>
      <x:c r="V6" s="9"/>
      <x:c r="W6" s="9"/>
      <x:c r="X6" s="9" t="s">
        <x:v>56</x:v>
      </x:c>
      <x:c r="Y6" s="9"/>
      <x:c r="Z6" s="9" t="str">
        <x:v>Wikipédia : https://fr.wikipedia.org/wiki/Les_Dieux_de_la_peste</x:v>
      </x:c>
      <x:c r="AA6" s="9" t="s">
        <x:v>45</x:v>
      </x:c>
      <x:c r="AB6" s="1" t="s">
        <x:v>57</x:v>
      </x:c>
      <x:c r="AC6" s="7" t="str">
        <x: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x:f>
        <x:v>pers-harry-baer; pers-ingrid-caven; pers-lilo-pempeit; pers-gunther-kaufmann; pers-hanna-schygulla; pers-lilith-ungerer</x:v>
      </x:c>
      <x:c r="AD6" s="7" t="str">
        <x: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 pers-peer-raben</x:v>
      </x:c>
    </x:row>
    <x:row r="7" ht="170.75" customHeight="1">
      <x:c r="A7" s="9" t="s">
        <x:v>58</x:v>
      </x:c>
      <x:c r="B7" s="9" t="s">
        <x:v>59</x:v>
      </x:c>
      <x:c r="C7" s="9" t="str">
        <x:v>Warum läuft Herr R. Amok?</x:v>
      </x:c>
      <x:c r="D7" s="10">
        <x:v>1970</x:v>
      </x:c>
      <x:c r="E7" s="9" t="s">
        <x:v>42</x:v>
      </x:c>
      <x:c r="F7" s="10" t="n">
        <x:v>88</x:v>
      </x:c>
      <x:c r="G7" s="9" t="s">
        <x:v>33</x:v>
      </x:c>
      <x:c r="H7" s="9" t="s">
        <x:v>60</x:v>
      </x:c>
      <x:c r="I7" s="9" t="str">
        <x:v>Rainer Werner Fassbinder ; Michael Fengler</x:v>
      </x:c>
      <x:c r="J7" s="9" t="str">
        <x:v>Dietrich Lohmann</x:v>
      </x:c>
      <x:c r="K7" s="9" t="str">
        <x:v>Rainer Werner Fassbinder ; Michael Fengler</x:v>
      </x:c>
      <x:c r="L7" s="9" t="str">
        <x:v>Kurt Raab</x:v>
      </x:c>
      <x:c r="M7" s="9" t="str">
        <x:v>Peer Raben</x:v>
      </x:c>
      <x:c r="N7" s="9" t="str">
        <x:v>Michael Fengler ; Peer Raben</x:v>
      </x:c>
      <x:c r="O7" s="9" t="str">
        <x:v>Kurt Raab : Monsieur R.
Lilith Ungerer : Madame R.
Lilo Pempeit : une collègue de bureau
Franz Maron : le chef
Harry Baer : un collègue de bureau
Peter Moland : un collègue de bureau
Hanna Schygulla : l’amie dans le bar
Ingrid Caven : une voisine
Peer Raben : un ami
Doris Mattes : une voisine
Irm Hermann : une voisine
Amadeus Fengler : Amadeus, le fils
Carla Aulalu : une vendeuse du magasin de disques
Eva Pampusch : une vendeuse du magasin de disques
Peter Hamm : un commissaire
Jochen Pinkert : un commissaire</x:v>
      </x:c>
      <x:c r="P7" s="9" t="str">
        <x:v>Format : couleur, 35 mm, 1,37:1, mono
Genre : drame
Sortie : 1970</x:v>
      </x:c>
      <x:c r="Q7" s="9" t="str">
        <x:v>Le film montre la vie quotidienne de Monsieur R., dessinateur industriel quadragénaire, mari et père de famille.</x:v>
      </x:c>
      <x:c r="R7" s="9"/>
      <x:c r="S7" s="9"/>
      <x:c r="T7" s="9"/>
      <x:c r="U7" s="9"/>
      <x:c r="V7" s="9"/>
      <x:c r="W7" s="9"/>
      <x:c r="X7" s="9" t="s">
        <x:v>56</x:v>
      </x:c>
      <x:c r="Y7" s="9"/>
      <x:c r="Z7" s="9" t="str">
        <x:v>Wikipédia : https://fr.wikipedia.org/wiki/Pourquoi_monsieur_R._est-il_atteint_de_folie_meurtri%C3%A8re_%3F</x:v>
      </x:c>
      <x:c r="AA7" s="9" t="s">
        <x:v>45</x:v>
      </x:c>
      <x:c r="AB7" s="1" t="s">
        <x:v>61</x:v>
      </x:c>
      <x:c r="AC7" s="7" t="str">
        <x: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x:f>
        <x:v>pers-harry-baer; pers-ingrid-caven; pers-lilo-pempeit; pers-irm-hermann; pers-kurt-raab; pers-peer-raben; pers-hanna-schygulla; pers-lilith-ungerer</x:v>
      </x:c>
      <x:c r="AD7" s="7" t="str">
        <x: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 pers-peer-raben</x:v>
      </x:c>
    </x:row>
    <x:row r="8" ht="170.75" customHeight="1">
      <x:c r="A8" s="9" t="s">
        <x:v>62</x:v>
      </x:c>
      <x:c r="B8" s="9" t="s">
        <x:v>63</x:v>
      </x:c>
      <x:c r="C8" s="9" t="str">
        <x:v>Der amerikanische Soldat</x:v>
      </x:c>
      <x:c r="D8" s="10">
        <x:v>1970</x:v>
      </x:c>
      <x:c r="E8" s="9" t="s">
        <x:v>42</x:v>
      </x:c>
      <x:c r="F8" s="10" t="n">
        <x:v>80</x:v>
      </x:c>
      <x:c r="G8" s="9" t="s">
        <x:v>33</x:v>
      </x:c>
      <x:c r="H8" s="9" t="s">
        <x:v>34</x:v>
      </x:c>
      <x:c r="I8" s="9" t="str">
        <x:v>Rainer Werner Fassbinder</x:v>
      </x:c>
      <x:c r="J8" s="9" t="str">
        <x:v>Dietrich Lohmann</x:v>
      </x:c>
      <x:c r="K8" s="9" t="str">
        <x:v>Thea Eymèsz</x:v>
      </x:c>
      <x:c r="L8" s="9" t="str">
        <x:v>Kurt Raab ; Rainer Werner Fassbinder</x:v>
      </x:c>
      <x:c r="M8" s="9" t="str">
        <x:v>Peer Raben</x:v>
      </x:c>
      <x:c r="N8" s="9" t="str">
        <x:v>Antiteater-X-Film</x:v>
      </x:c>
      <x:c r="O8" s="9" t="str">
        <x:v>Karl Scheydt : Richard Murphy, dit Ricky
Elga Sorbas : Rosa
Jan George : Jan
Margarethe von Trotta : la femme de chambre
Hark Bohm : Doc
Ingrid Caven : la chanteuse
Eva Ingeborg Scholz : la mère de Ricky
Kurt Raab : le frère de Ricky
Marius Aicher : un policier
Gustl Datz : le chef de la police
Marquard Bohm : le détective privé
Rainer Werner Fassbinder : Franz
Katrin Schaake : Magdalena Fuller
Ulli Lommel : un Tzigane
Irm Hermann : une prostituée</x:v>
      </x:c>
      <x:c r="P8" s="9" t="str">
        <x:v>Langue : allemand
Format : noir et blanc, 35 mm, 1,33:1, mono
Tournage : 15 jours en août 1970, Munich
Sortie RFA : 9 octobre 1970 (festival), puis 27 novembre 1970</x:v>
      </x:c>
      <x:c r="Q8" s="9" t="str">
        <x:v>À Munich, trois policiers recrutent Ricky, tueur à gages natif de la ville revenu du Vietnam, afin d’éliminer plusieurs personnes.</x:v>
      </x:c>
      <x:c r="R8" s="9"/>
      <x:c r="S8" s="9"/>
      <x:c r="T8" s="9"/>
      <x:c r="U8" s="9" t="s">
        <x:v>64</x:v>
      </x:c>
      <x:c r="V8" s="9"/>
      <x:c r="W8" s="9"/>
      <x:c r="X8" s="9" t="s">
        <x:v>56</x:v>
      </x:c>
      <x:c r="Y8" s="9"/>
      <x:c r="Z8" s="9" t="str">
        <x:v>Wikipédia : https://fr.wikipedia.org/wiki/Le_Soldat_am%C3%A9ricain</x:v>
      </x:c>
      <x:c r="AA8" s="9" t="s">
        <x:v>45</x:v>
      </x:c>
      <x:c r="AB8" s="1" t="s">
        <x:v>65</x:v>
      </x:c>
      <x:c r="AC8" s="7" t="str">
        <x: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x:f>
        <x:v>pers-ingrid-caven; pers-irm-hermann; pers-ulli-lommel; pers-kurt-raab</x:v>
      </x:c>
      <x:c r="AD8" s="7" t="str">
        <x: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 pers-peer-raben</x:v>
      </x:c>
    </x:row>
    <x:row r="9" ht="170.75" customHeight="1">
      <x:c r="A9" s="9" t="s">
        <x:v>66</x:v>
      </x:c>
      <x:c r="B9" s="9" t="s">
        <x:v>67</x:v>
      </x:c>
      <x:c r="C9" s="9" t="str">
        <x:v>Die Niklashauser Fart</x:v>
      </x:c>
      <x:c r="D9" s="10">
        <x:v>1970</x:v>
      </x:c>
      <x:c r="E9" s="9" t="s">
        <x:v>68</x:v>
      </x:c>
      <x:c r="F9" s="10" t="n">
        <x:v>90</x:v>
      </x:c>
      <x:c r="G9" s="9" t="s">
        <x:v>33</x:v>
      </x:c>
      <x:c r="H9" s="9" t="s">
        <x:v>34</x:v>
      </x:c>
      <x:c r="I9" s="9" t="str">
        <x:v>Rainer Werner Fassbinder ; Michael Fengler</x:v>
      </x:c>
      <x:c r="J9" s="9" t="str">
        <x:v>Dietrich Lohmann</x:v>
      </x:c>
      <x:c r="K9" s="9" t="str">
        <x:v>Thea Eymèsz ; Rainer Werner Fassbinder</x:v>
      </x:c>
      <x:c r="L9" s="9" t="str">
        <x:v>Kurt Raab</x:v>
      </x:c>
      <x:c r="M9" s="9" t="str">
        <x:v>Peer Raben</x:v>
      </x:c>
      <x:c r="N9" s="9" t="str">
        <x:v>Janus Film und Fernsehen</x:v>
      </x:c>
      <x:c r="O9" s="9" t="str">
        <x:v>Michael König : Hans Boehm
Hanna Schygulla : Johanna
Margit Carstensen : Margarethe
Franz Maron : le mari de Margarethe
Michael Gordon : Antonio
Günther Kaufmann : le chef des fermiers
Siggi Graue : le premier paysan
Michael Fengler : le deuxième paysan
Elga Sorbas : la jeune fille évanouie
Carla Aulalu : la jeune fille épileptique
Kurt Raab : l’évêque
Peter Berling : le bourreau
Ingrid Caven : la fille qui crie
Peer Raben : Monseigneur
Rainer Werner Fassbinder : le moine noir
Walter Sedlmayr : le prêtre
Günther Rupp : le conseiller
Karl Scheydt : un bourgeois de Niklashausen
Magdalena Montezuma : Penthésilée</x:v>
      </x:c>
      <x:c r="P9" s="9" t="str">
        <x:v>Format : couleur, mono
Genre : drame
Diffusion : 1970</x:v>
      </x:c>
      <x:c r="Q9" s="9"/>
      <x:c r="R9" s="9"/>
      <x:c r="S9" s="9"/>
      <x:c r="T9" s="9"/>
      <x:c r="U9" s="9"/>
      <x:c r="V9" s="9"/>
      <x:c r="W9" s="9"/>
      <x:c r="X9" s="9" t="s">
        <x:v>56</x:v>
      </x:c>
      <x:c r="Y9" s="9"/>
      <x:c r="Z9" s="9" t="str">
        <x:v>Wikipédia : https://fr.wikipedia.org/wiki/Le_Voyage_%C3%A0_Niklashausen</x:v>
      </x:c>
      <x:c r="AA9" s="9" t="s">
        <x:v>45</x:v>
      </x:c>
      <x:c r="AB9" s="1" t="s">
        <x:v>69</x:v>
      </x:c>
      <x:c r="AC9" s="7" t="str">
        <x: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x:f>
        <x:v>pers-margit-carstensen; pers-ingrid-caven; pers-gunther-kaufmann; pers-kurt-raab; pers-peer-raben; pers-hanna-schygulla</x:v>
      </x:c>
      <x:c r="AD9" s="7" t="str">
        <x: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 pers-peer-raben</x:v>
      </x:c>
    </x:row>
    <x:row r="10" ht="170.75" customHeight="1">
      <x:c r="A10" s="9" t="s">
        <x:v>70</x:v>
      </x:c>
      <x:c r="B10" s="9" t="s">
        <x:v>71</x:v>
      </x:c>
      <x:c r="C10" s="9"/>
      <x:c r="D10" s="10">
        <x:v>1970</x:v>
      </x:c>
      <x:c r="E10" s="9" t="s">
        <x:v>72</x:v>
      </x:c>
      <x:c r="F10" s="10" t="n">
        <x:v>84</x:v>
      </x:c>
      <x:c r="G10" s="9" t="s">
        <x:v>33</x:v>
      </x:c>
      <x:c r="H10" s="9" t="s">
        <x:v>34</x:v>
      </x:c>
      <x:c r="I10" s="9" t="str">
        <x:v>Rainer Werner Fassbinder</x:v>
      </x:c>
      <x:c r="J10" s="9" t="str">
        <x:v>Dietrich Lohmann</x:v>
      </x:c>
      <x:c r="K10" s="9" t="str">
        <x:v>Thea Eymèsz ; Rainer Werner Fassbinder</x:v>
      </x:c>
      <x:c r="L10" s="9" t="str">
        <x:v>Kurt Raab</x:v>
      </x:c>
      <x:c r="M10" s="9" t="str">
        <x:v>Peer Raben</x:v>
      </x:c>
      <x:c r="N10" s="9" t="str">
        <x:v>Klaus Hellwig ; Peer Raben</x:v>
      </x:c>
      <x:c r="O10" s="9" t="str">
        <x:v>Hanna Schygulla : Hanna
Michael König : Michel
Günther Kaufmann : Günther
Katrin Schaake : Katrin
Harry Baer : le collègue de Michel
Ulli Lommel : le vendeur de voitures
Ingrid Caven : une collègue de Hanna
Magdalena Montezuma : une collègue de Hanna
Kurt Raab : le pompiste
Joachim von Mengershausen : Joachim
Lilo Pempeit : la mère de Günther
Walter Sedlmayr : le secrétaire
Rainer Werner Fassbinder : le partenaire de danse de Hanna</x:v>
      </x:c>
      <x:c r="P10" s="9" t="str">
        <x:v>Costumes : Kurt Raab
Format : couleur, mono
Genre : comédie
Diffusion : 15 février 1971</x:v>
      </x:c>
      <x:c r="Q10" s="9" t="str">
        <x:v>Michel et Günther, lassés de leur vie monotone, projettent de partir au Pérou et tentent de réunir l’argent nécessaire au voyage.</x:v>
      </x:c>
      <x:c r="R10" s="9"/>
      <x:c r="S10" s="9"/>
      <x:c r="T10" s="9"/>
      <x:c r="U10" s="9"/>
      <x:c r="V10" s="9"/>
      <x:c r="W10" s="9"/>
      <x:c r="X10" s="9">
        <x:v>1970</x:v>
      </x:c>
      <x:c r="Y10" s="9"/>
      <x:c r="Z10" s="9" t="str">
        <x:v>Wikipédia : https://fr.wikipedia.org/wiki/Rio_das_Mortes</x:v>
      </x:c>
      <x:c r="AA10" s="9"/>
      <x:c r="AB10" s="1" t="s">
        <x:v>73</x:v>
      </x:c>
      <x:c r="AC10" s="7"/>
      <x:c r="AD10" s="7"/>
    </x:row>
    <x:row r="11" ht="170.75" customHeight="1">
      <x:c r="A11" s="9" t="s">
        <x:v>74</x:v>
      </x:c>
      <x:c r="B11" s="9" t="s">
        <x:v>75</x:v>
      </x:c>
      <x:c r="C11" s="9"/>
      <x:c r="D11" s="10">
        <x:v>1971</x:v>
      </x:c>
      <x:c r="E11" s="9" t="s">
        <x:v>42</x:v>
      </x:c>
      <x:c r="F11" s="10" t="n">
        <x:v>95</x:v>
      </x:c>
      <x:c r="G11" s="9" t="s">
        <x:v>33</x:v>
      </x:c>
      <x:c r="H11" s="9" t="s">
        <x:v>34</x:v>
      </x:c>
      <x:c r="I11" s="9" t="str">
        <x:v>Rainer Werner Fassbinder</x:v>
      </x:c>
      <x:c r="J11" s="9" t="str">
        <x:v>Michael Ballhaus</x:v>
      </x:c>
      <x:c r="K11" s="9" t="str">
        <x:v>Thea Eymèsz ; Rainer Werner Fassbinder</x:v>
      </x:c>
      <x:c r="L11" s="9" t="str">
        <x:v>Kurt Raab</x:v>
      </x:c>
      <x:c r="M11" s="9" t="str">
        <x:v>Peer Raben</x:v>
      </x:c>
      <x:c r="N11" s="9" t="str">
        <x:v>Peter Berling ; Ulli Lommel ; Peer Raben ; Antiteater-X-Film ; Atlantis Film</x:v>
      </x:c>
      <x:c r="O11" s="9" t="str">
        <x:v>Günther Kaufmann : Whity
Ron Randell : Benjamin Nicholson
Hanna Schygulla : Hanna
Katrin Schaake : Katherine Nicholson
Harry Baer : Davy Nicholson
Ulli Lommel : Frank Nicholson
Thomas Blanco : le faux médecin mexicain
Stefano Capriati : le juge
Helga Ballhaus : la femme du juge
Elaine Baker : la mère de Whity
Mark Salvage : le shérif
Kurt Raab : le pianiste
Rainer Werner Fassbinder : le client du saloon</x:v>
      </x:c>
      <x:c r="P11" s="9" t="str">
        <x:v>Format : couleur, 2,35:1, mono
Genre : drame, western
Sortie : 1971</x:v>
      </x:c>
      <x:c r="Q11" s="9" t="str">
        <x:v>Dans le sud des États-Unis à la fin du XIXe siècle, Whity, fils illégitime métis du riche Ben Nicholson, vit en esclave dans sa propre famille. Humilié par son père, ses demi-frères et l’épouse de celui-ci, il aspire pourtant à une autre condition et fréquente une danseuse de cabaret.</x:v>
      </x:c>
      <x:c r="R11" s="9"/>
      <x:c r="S11" s="9"/>
      <x:c r="T11" s="9"/>
      <x:c r="U11" s="9"/>
      <x:c r="V11" s="9"/>
      <x:c r="W11" s="9"/>
      <x:c r="X11" s="9" t="s">
        <x:v>76</x:v>
      </x:c>
      <x:c r="Y11" s="9"/>
      <x:c r="Z11" s="9" t="str">
        <x:v>Wikipédia : https://fr.wikipedia.org/wiki/Whity</x:v>
      </x:c>
      <x:c r="AA11" s="9" t="s">
        <x:v>45</x:v>
      </x:c>
      <x:c r="AB11" s="1" t="s">
        <x:v>77</x:v>
      </x:c>
      <x:c r="AC11" s="7" t="str">
        <x: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x:f>
        <x:v>pers-harry-baer; pers-gunther-kaufmann; pers-ulli-lommel; pers-kurt-raab; pers-hanna-schygulla</x:v>
      </x:c>
      <x:c r="AD11" s="7" t="str">
        <x: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pers-ulli-lommel; pers-kurt-raab; pers-peer-raben</x:v>
      </x:c>
    </x:row>
    <x:row r="12" ht="170.75" customHeight="1">
      <x:c r="A12" s="9" t="s">
        <x:v>78</x:v>
      </x:c>
      <x:c r="B12" s="9" t="s">
        <x:v>79</x:v>
      </x:c>
      <x:c r="C12" s="9" t="str">
        <x:v>Warnung vor einer heiligen Nutte</x:v>
      </x:c>
      <x:c r="D12" s="10">
        <x:v>1971</x:v>
      </x:c>
      <x:c r="E12" s="9" t="s">
        <x:v>42</x:v>
      </x:c>
      <x:c r="F12" s="10" t="n">
        <x:v>103</x:v>
      </x:c>
      <x:c r="G12" s="9" t="s">
        <x:v>33</x:v>
      </x:c>
      <x:c r="H12" s="9" t="s">
        <x:v>34</x:v>
      </x:c>
      <x:c r="I12" s="9" t="str">
        <x:v>Rainer Werner Fassbinder</x:v>
      </x:c>
      <x:c r="J12" s="9" t="str">
        <x:v>Michael Ballhaus</x:v>
      </x:c>
      <x:c r="K12" s="9" t="str">
        <x:v>Thea Eymèsz ; Rainer Werner Fassbinder (sous le nom de Franz Walsch)</x:v>
      </x:c>
      <x:c r="L12" s="9" t="str">
        <x:v>Kurt Raab</x:v>
      </x:c>
      <x:c r="M12" s="9" t="str">
        <x:v>Peer Raben</x:v>
      </x:c>
      <x:c r="N12" s="9" t="str">
        <x:v>Peter Berling ; Antiteater-X-Film ; Nova International Films</x:v>
      </x:c>
      <x:c r="O12" s="9" t="str">
        <x:v>Lou Castel : Jeff, le metteur en scène
Eddie Constantine : lui-même
Marquard Bohm : Ricky
Hanna Schygulla : Hanna
Rainer Werner Fassbinder : Sascha
Margarethe von Trotta : la secrétaire de production
Katrin Schaake : la script
Hannes Fuchs : David
Marcella Michelangeli : Margret
Karl Scheydt : Manfred
Ulli Lommel : Korbinian
Kurt Raab : Fred
Herb Andress : Coach
Benjamin Lev : Candy
Monika Teuber : Billi
Gianni di Luigi : le caméraman
Rudolf Waldemar Brem : le chef éclairagiste
Thomas Schieder : Jesus
Ingrid Caven : une figurante
Harry Baer : le mari de la figurante
Magdalena Montezuma : Irm
Werner Schroeter : Deiters</x:v>
      </x:c>
      <x:c r="P12" s="9" t="str">
        <x:v>Langues : allemand, anglais, français, espagnol
Format : couleur
Genre : comédie dramatique
Sortie : 1971</x:v>
      </x:c>
      <x:c r="Q12" s="9" t="str">
        <x:v>Une équipe de cinéma réunie pour un tournage affronte des difficultés multiples : retard du réalisateur, matériel manquant, jalousies et conflits.</x:v>
      </x:c>
      <x:c r="R12" s="9"/>
      <x:c r="S12" s="9"/>
      <x:c r="T12" s="9"/>
      <x:c r="U12" s="9" t="s">
        <x:v>80</x:v>
      </x:c>
      <x:c r="V12" s="9"/>
      <x:c r="W12" s="9"/>
      <x:c r="X12" s="9" t="s">
        <x:v>76</x:v>
      </x:c>
      <x:c r="Y12" s="9"/>
      <x:c r="Z12" s="9" t="str">
        <x:v>Wikipédia : https://fr.wikipedia.org/wiki/Prenez_garde_%C3%A0_la_sainte_putain</x:v>
      </x:c>
      <x:c r="AA12" s="9" t="s">
        <x:v>45</x:v>
      </x:c>
      <x:c r="AB12" s="1" t="s">
        <x:v>81</x:v>
      </x:c>
      <x:c r="AC12" s="7" t="str">
        <x: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x:f>
        <x:v>pers-harry-baer; pers-ingrid-caven; pers-ulli-lommel; pers-kurt-raab; pers-hanna-schygulla</x:v>
      </x:c>
      <x:c r="AD12" s="7" t="str">
        <x: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pers-kurt-raab; pers-peer-raben</x:v>
      </x:c>
    </x:row>
    <x:row r="13" ht="170.75" customHeight="1">
      <x:c r="A13" s="9" t="s">
        <x:v>82</x:v>
      </x:c>
      <x:c r="B13" s="9" t="s">
        <x:v>83</x:v>
      </x:c>
      <x:c r="C13" s="9" t="str">
        <x:v>Pioniere in Ingolstadt</x:v>
      </x:c>
      <x:c r="D13" s="10">
        <x:v>1971</x:v>
      </x:c>
      <x:c r="E13" s="9" t="s">
        <x:v>68</x:v>
      </x:c>
      <x:c r="F13" s="10" t="n">
        <x:v>84</x:v>
      </x:c>
      <x:c r="G13" s="9" t="s">
        <x:v>33</x:v>
      </x:c>
      <x:c r="H13" s="9" t="s">
        <x:v>34</x:v>
      </x:c>
      <x:c r="I13" s="9" t="str">
        <x:v>Rainer Werner Fassbinder, d’après la pièce de Marieluise Fleisser</x:v>
      </x:c>
      <x:c r="J13" s="9" t="str">
        <x:v>Dietrich Lohmann</x:v>
      </x:c>
      <x:c r="K13" s="9" t="str">
        <x:v>Thea Eymèsz</x:v>
      </x:c>
      <x:c r="L13" s="9" t="str">
        <x:v>Kurt Raab</x:v>
      </x:c>
      <x:c r="M13" s="9" t="str">
        <x:v>Peer Raben</x:v>
      </x:c>
      <x:c r="N13" s="9" t="str">
        <x:v>Janus Film und Fernsehen ; Antiteater pour la ZDF</x:v>
      </x:c>
      <x:c r="O13" s="9" t="str">
        <x:v>Hanna Schygulla : Berta
Harry Baer : Karl
Irm Hermann : Alma
Rudolf Waldemar Brem : Fabian
Walter Sedlmayr : le sergent-major
Klaus Löwitsch : le sergent
Günther Kaufmann : Max
Carla Aulalu : Frida
Elga Sorbas : Marie
Burghard Schlicht : Klaus
Günther Krää : Gottfried</x:v>
      </x:c>
      <x:c r="P13" s="9" t="str">
        <x:v>Assistant de réalisation : Günther Krää
Tournage : 25 jours en novembre 1970, Landsberg-Lech et Munich
Diffusion RFA : 8 mai 1973 ; présentation à Cannes : 19 mai 1971</x:v>
      </x:c>
      <x:c r="Q13" s="9" t="str">
        <x:v>Une compagnie de soldats du génie arrive à Ingolstadt pour réparer un pont de bois. Les jeunes femmes de la ville, qui s’ennuient, sont attirées par les soldats et s’engagent avec eux dans des jeux de désir et de sexe.</x:v>
      </x:c>
      <x:c r="R13" s="9"/>
      <x:c r="S13" s="9"/>
      <x:c r="T13" s="9"/>
      <x:c r="U13" s="9"/>
      <x:c r="V13" s="9"/>
      <x:c r="W13" s="9"/>
      <x:c r="X13" s="9" t="s">
        <x:v>76</x:v>
      </x:c>
      <x:c r="Y13" s="9"/>
      <x:c r="Z13" s="9" t="str">
        <x:v>Wikipédia : https://fr.wikipedia.org/wiki/Pionniers_%C3%A0_Ingolstadt</x:v>
      </x:c>
      <x:c r="AA13" s="9" t="s">
        <x:v>45</x:v>
      </x:c>
      <x:c r="AB13" s="1" t="s">
        <x:v>84</x:v>
      </x:c>
      <x:c r="AC13" s="7" t="str">
        <x: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x:f>
        <x:v>pers-harry-baer; pers-irm-hermann; pers-gunther-kaufmann; pers-hanna-schygulla</x:v>
      </x:c>
      <x:c r="AD13" s="7" t="str">
        <x: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 pers-peer-raben</x:v>
      </x:c>
    </x:row>
    <x:row r="14" ht="170.75" customHeight="1">
      <x:c r="A14" s="9" t="s">
        <x:v>85</x:v>
      </x:c>
      <x:c r="B14" s="9" t="s">
        <x:v>86</x:v>
      </x:c>
      <x:c r="C14" s="9" t="s">
        <x:v>87</x:v>
      </x:c>
      <x:c r="D14" s="10">
        <x:v>1972</x:v>
      </x:c>
      <x:c r="E14" s="9" t="s">
        <x:v>42</x:v>
      </x:c>
      <x:c r="F14" s="10" t="n">
        <x:v>88</x:v>
      </x:c>
      <x:c r="G14" s="9" t="s">
        <x:v>33</x:v>
      </x:c>
      <x:c r="H14" s="9" t="s">
        <x:v>34</x:v>
      </x:c>
      <x:c r="I14" s="9" t="str">
        <x:v>Rainer Werner Fassbinder</x:v>
      </x:c>
      <x:c r="J14" s="9" t="str">
        <x:v>Dietrich Lohmann</x:v>
      </x:c>
      <x:c r="K14" s="9" t="str">
        <x:v>Thea Eymèsz</x:v>
      </x:c>
      <x:c r="L14" s="9" t="str">
        <x:v>Kurt Raab</x:v>
      </x:c>
      <x:c r="M14" s="9"/>
      <x:c r="N14" s="9" t="str">
        <x:v>Tango Film</x:v>
      </x:c>
      <x:c r="O14" s="9" t="str">
        <x:v>Hans Hirschmüller : Hans Epp
Irm Hermann : Irmgard Epp
Hanna Schygulla : Anna Epp
Heide Simon : Heide
Kurt Raab : Kurt
Andrea Schober : Renate Epp
Gusti Kreissl : la mère de Hans
Ingrid Caven : le grand amour de Hans
Peter Chatel : le docteur Harlach
Klaus Löwitsch : Harry Radek
Karl Scheydt : Anzell
Elga Sorbas : Mariele Kosemund
Lilo Pempeit : une cliente
Walter Sedlmayr : le vendeur
Daniel Schmid : premier candidat
Harry Baer : deuxième candidat
Michael Fengler : le playboy
Hark Bohm : le chef de la police</x:v>
      </x:c>
      <x:c r="P14" s="9" t="str">
        <x:v>Format : couleur, 1,37:1, mono
Genre : drame
Sortie : 1972</x:v>
      </x:c>
      <x:c r="Q14" s="9" t="str">
        <x:v>Méprisé par sa famille, Hans a connu la Légion étrangère puis la police. Il vend désormais des fruits avec sa femme, qu’il brutalise. Après un infarctus et la reprise de leur activité avec du personnel, les affaires prospèrent mais Hans sombre dans une profonde dépression.</x:v>
      </x:c>
      <x:c r="R14" s="9"/>
      <x:c r="S14" s="9"/>
      <x:c r="T14" s="9"/>
      <x:c r="U14" s="9" t="s">
        <x:v>88</x:v>
      </x:c>
      <x:c r="V14" s="9"/>
      <x:c r="W14" s="9"/>
      <x:c r="X14" s="9" t="s">
        <x:v>89</x:v>
      </x:c>
      <x:c r="Y14" s="9"/>
      <x:c r="Z14" s="9" t="str">
        <x:v>Wikipédia : https://fr.wikipedia.org/wiki/Le_Marchand_des_quatre_saisons</x:v>
      </x:c>
      <x:c r="AA14" s="9" t="s">
        <x:v>45</x:v>
      </x:c>
      <x:c r="AB14" s="1" t="s">
        <x:v>90</x:v>
      </x:c>
      <x:c r="AC14" s="7" t="str">
        <x: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x:f>
        <x:v>pers-harry-baer; pers-ingrid-caven; pers-peter-chatel; pers-lilo-pempeit; pers-irm-hermann; pers-kurt-raab; pers-daniel-schmid; pers-hanna-schygulla</x:v>
      </x:c>
      <x:c r="AD14" s="7" t="str">
        <x: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x:v>
      </x:c>
    </x:row>
    <x:row r="15" ht="170.75" customHeight="1">
      <x:c r="A15" s="9" t="s">
        <x:v>91</x:v>
      </x:c>
      <x:c r="B15" s="9" t="s">
        <x:v>92</x:v>
      </x:c>
      <x:c r="C15" s="9" t="s">
        <x:v>93</x:v>
      </x:c>
      <x:c r="D15" s="10">
        <x:v>1972</x:v>
      </x:c>
      <x:c r="E15" s="9" t="s">
        <x:v>42</x:v>
      </x:c>
      <x:c r="F15" s="10" t="n">
        <x:v>124</x:v>
      </x:c>
      <x:c r="G15" s="9" t="s">
        <x:v>33</x:v>
      </x:c>
      <x:c r="H15" s="9" t="s">
        <x:v>34</x:v>
      </x:c>
      <x:c r="I15" s="9" t="str">
        <x:v>Rainer Werner Fassbinder, d’après sa pièce</x:v>
      </x:c>
      <x:c r="J15" s="9" t="str">
        <x:v>Michael Ballhaus</x:v>
      </x:c>
      <x:c r="K15" s="9" t="str">
        <x:v>Thea Eymèsz</x:v>
      </x:c>
      <x:c r="L15" s="9" t="str">
        <x:v>Kurt Raab</x:v>
      </x:c>
      <x:c r="M15" s="9"/>
      <x:c r="N15" s="9" t="str">
        <x:v>Filmverlag der Autoren ; Tango Film</x:v>
      </x:c>
      <x:c r="O15" s="9" t="str">
        <x:v>Margit Carstensen : Petra von Kant
Hanna Schygulla : Karin Thimm
Katrin Schaake : Sidonie von Grasenabb
Eva Mattes : Gabriele von Kant
Gisela Fackeldey : Valerie von Kant
Irm Hermann : Marlene</x:v>
      </x:c>
      <x:c r="P15" s="9" t="str">
        <x:v>Costumes : Maja Lemcke
Langue : allemand
Genre : drame, romance
Sortie : 1972</x:v>
      </x:c>
      <x:c r="Q15" s="9" t="str">
        <x:v>Petra von Kant, célèbre créatrice de mode, vit avec Marlene, assistante qu’elle humilie et traite en esclave. Elle s’éprend de Karin, jeune femme d’origine modeste, qu’elle invite à partager son appartement et qu’elle aide à entrer dans le mannequinat.</x:v>
      </x:c>
      <x:c r="R15" s="9"/>
      <x:c r="S15" s="9"/>
      <x:c r="T15" s="9"/>
      <x:c r="U15" s="9" t="s">
        <x:v>94</x:v>
      </x:c>
      <x:c r="V15" s="9"/>
      <x:c r="W15" s="9"/>
      <x:c r="X15" s="9" t="s">
        <x:v>89</x:v>
      </x:c>
      <x:c r="Y15" s="9"/>
      <x:c r="Z15" s="9" t="str">
        <x:v>Wikipédia : https://fr.wikipedia.org/wiki/Les_Larmes_am%C3%A8res_de_Petra_von_Kant</x:v>
      </x:c>
      <x:c r="AA15" s="9" t="s">
        <x:v>45</x:v>
      </x:c>
      <x:c r="AB15" s="1" t="s">
        <x:v>95</x:v>
      </x:c>
      <x:c r="AC15" s="7" t="str">
        <x: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x:f>
        <x:v>pers-margit-carstensen; pers-irm-hermann; pers-hanna-schygulla</x:v>
      </x:c>
      <x:c r="AD15" s="7" t="str">
        <x: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pers-kurt-raab</x:v>
      </x:c>
    </x:row>
    <x:row r="16" ht="170.75" customHeight="1">
      <x:c r="A16" s="9" t="s">
        <x:v>96</x:v>
      </x:c>
      <x:c r="B16" s="9" t="s">
        <x:v>97</x:v>
      </x:c>
      <x:c r="C16" s="9" t="str">
        <x:v>Bremer Freiheit</x:v>
      </x:c>
      <x:c r="D16" s="10">
        <x:v>1972</x:v>
      </x:c>
      <x:c r="E16" s="9" t="s">
        <x:v>68</x:v>
      </x:c>
      <x:c r="F16" s="10" t="n">
        <x:v>87</x:v>
      </x:c>
      <x:c r="G16" s="9" t="s">
        <x:v>33</x:v>
      </x:c>
      <x:c r="H16" s="9" t="s">
        <x:v>34</x:v>
      </x:c>
      <x:c r="I16" s="9" t="str">
        <x:v>Rainer Werner Fassbinder ; Dietrich Lohmann</x:v>
      </x:c>
      <x:c r="J16" s="9" t="str">
        <x:v>Dietrich Lohmann ; Hans Schugg ; Peter Weyrich</x:v>
      </x:c>
      <x:c r="K16" s="9" t="str">
        <x:v>Friedrich Niquet ; Monica Solzbacher</x:v>
      </x:c>
      <x:c r="L16" s="9" t="str">
        <x:v>Kurt Raab</x:v>
      </x:c>
      <x:c r="M16" s="9"/>
      <x:c r="N16" s="9" t="str">
        <x:v>Telefilm Saar pour la SR</x:v>
      </x:c>
      <x:c r="O16" s="9" t="str">
        <x:v>Margit Carstensen : Geesche
Ulli Lommel : Miltenberger
Wolfgang Schenck : Gottfried
Walter Sedlmayr : le prêtre
Wolfgang Kieling : Timm
Rudolf Waldemar Brem : le cousin Bohm
Kurt Raab : Zimmermann
Fritz Schediwy : Johann
Hanna Schygulla : Luise Maurer
Rainer Werner Fassbinder : Rumpf
Lilo Pempeit : la mère</x:v>
      </x:c>
      <x:c r="P16" s="9" t="str">
        <x:v>Assistant de réalisation : Fritz Müller-Scherz
Tournage : 9 jours en septembre 1972, en studio à Sarrebruck
Diffusion : 27 décembre 1972</x:v>
      </x:c>
      <x:c r="Q16" s="9" t="str">
        <x:v>Au début du XIXe siècle à Brême, Geesche est tyrannisée par son mari Miltenberger.</x:v>
      </x:c>
      <x:c r="R16" s="9"/>
      <x:c r="S16" s="9"/>
      <x:c r="T16" s="9"/>
      <x:c r="U16" s="9"/>
      <x:c r="V16" s="9"/>
      <x:c r="W16" s="9"/>
      <x:c r="X16" s="9" t="s">
        <x:v>89</x:v>
      </x:c>
      <x:c r="Y16" s="9"/>
      <x:c r="Z16" s="9" t="str">
        <x:v>Wikipédia : https://fr.wikipedia.org/wiki/Libert%C3%A9_%C3%A0_Br%C3%AAme</x:v>
      </x:c>
      <x:c r="AA16" s="9" t="s">
        <x:v>45</x:v>
      </x:c>
      <x:c r="AB16" s="1" t="s">
        <x:v>98</x:v>
      </x:c>
      <x:c r="AC16" s="7" t="str">
        <x: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x:f>
        <x:v>pers-margit-carstensen; pers-lilo-pempeit; pers-ulli-lommel; pers-kurt-raab; pers-hanna-schygulla</x:v>
      </x:c>
      <x:c r="AD16" s="7" t="str">
        <x: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x:v>
      </x:c>
    </x:row>
    <x:row r="17" ht="170.75" customHeight="1">
      <x:c r="A17" s="9" t="s">
        <x:v>99</x:v>
      </x:c>
      <x:c r="B17" s="9" t="s">
        <x:v>100</x:v>
      </x:c>
      <x:c r="C17" s="9" t="s">
        <x:v>101</x:v>
      </x:c>
      <x:c r="D17" s="10">
        <x:v>1972</x:v>
      </x:c>
      <x:c r="E17" s="9" t="s">
        <x:v>102</x:v>
      </x:c>
      <x:c r="F17" s="10">
        <x:v>467</x:v>
      </x:c>
      <x:c r="G17" s="9" t="s">
        <x:v>33</x:v>
      </x:c>
      <x:c r="H17" s="9" t="s">
        <x:v>34</x:v>
      </x:c>
      <x:c r="I17" s="9" t="s">
        <x:v>34</x:v>
      </x:c>
      <x:c r="J17" s="9" t="s">
        <x:v>103</x:v>
      </x:c>
      <x:c r="K17" s="9" t="s">
        <x:v>104</x:v>
      </x:c>
      <x:c r="L17" s="9" t="s">
        <x:v>105</x:v>
      </x:c>
      <x:c r="M17" s="9"/>
      <x:c r="N17" s="9" t="s">
        <x:v>106</x:v>
      </x:c>
      <x:c r="O17" s="9" t="s">
        <x:v>107</x:v>
      </x:c>
      <x:c r="P17" s="9" t="s">
        <x:v>108</x:v>
      </x:c>
      <x:c r="Q17" s="9" t="s">
        <x:v>109</x:v>
      </x:c>
      <x:c r="R17" s="9"/>
      <x:c r="S17" s="9"/>
      <x:c r="T17" s="9"/>
      <x:c r="U17" s="9"/>
      <x:c r="V17" s="9"/>
      <x:c r="W17" s="9"/>
      <x:c r="X17" s="9" t="s">
        <x:v>110</x:v>
      </x:c>
      <x:c r="Y17" s="9" t="s">
        <x:v>111</x:v>
      </x:c>
      <x:c r="Z17" s="9" t="s">
        <x:v>112</x:v>
      </x:c>
      <x:c r="AA17" s="9" t="s">
        <x:v>113</x:v>
      </x:c>
      <x:c r="AB17" s="1" t="s">
        <x:v>114</x:v>
      </x:c>
      <x:c r="AC17" s="7" t="str">
        <x: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x:f>
        <x:v>pers-gottfried-john; pers-irm-hermann; pers-kurt-raab; pers-hanna-schygulla</x:v>
      </x:c>
      <x:c r="AD17" s="7" t="str">
        <x: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x:v>
      </x:c>
    </x:row>
    <x:row r="18" ht="170.75" customHeight="1">
      <x:c r="A18" s="9" t="s">
        <x:v>115</x:v>
      </x:c>
      <x:c r="B18" s="9" t="s">
        <x:v>116</x:v>
      </x:c>
      <x:c r="C18" s="9" t="str">
        <x:v>Wildwechsel</x:v>
      </x:c>
      <x:c r="D18" s="10">
        <x:v>1973</x:v>
      </x:c>
      <x:c r="E18" s="9" t="s">
        <x:v>68</x:v>
      </x:c>
      <x:c r="F18" s="10" t="n">
        <x:v>102</x:v>
      </x:c>
      <x:c r="G18" s="9" t="s">
        <x:v>33</x:v>
      </x:c>
      <x:c r="H18" s="9" t="s">
        <x:v>34</x:v>
      </x:c>
      <x:c r="I18" s="9" t="str">
        <x:v>Rainer Werner Fassbinder, d’après la pièce de Franz Xaver Kroetz</x:v>
      </x:c>
      <x:c r="J18" s="9" t="str">
        <x:v>Dietrich Lohmann</x:v>
      </x:c>
      <x:c r="K18" s="9" t="str">
        <x:v>Thea Eymèsz</x:v>
      </x:c>
      <x:c r="L18" s="9" t="str">
        <x:v>Kurt Raab</x:v>
      </x:c>
      <x:c r="M18" s="9" t="str">
        <x:v>Ludwig van Beethoven</x:v>
      </x:c>
      <x:c r="N18" s="9" t="str">
        <x:v>Intertel ; Sender Freies Berlin</x:v>
      </x:c>
      <x:c r="O18" s="9" t="str">
        <x:v>Jörg von Liebenfels : Erwin
Ruth Drexel : Hilda
Eva Mattes : Hanni
Harry Baer : Franz
Rudolf Waldemar Brem : Dieter
Hanna Schygulla : le médecin
Kurt Raab : le chef
Karl Scheydt : un policier
Klaus Löwitsch : un policier
Irm Hermann : une fonctionnaire de police
Marquard Bohm : un fonctionnaire de police
El Hedi ben Salem : un ami</x:v>
      </x:c>
      <x:c r="P18" s="9" t="str">
        <x:v>Assistante de réalisation : Irm Hermann
Producteur exécutif : Gerhard Freund
Format : couleur, 35 mm
Diffusion : 9 janvier 1973</x:v>
      </x:c>
      <x:c r="Q18" s="9" t="str">
        <x:v>Hanni, mineure issue d’un couple bourgeois, rencontre Franz, ouvrier de dix-neuf ans, et couche avec lui. Dénoncé par un camarade, Franz est condamné pour détournement de mineure.</x:v>
      </x:c>
      <x:c r="R18" s="9"/>
      <x:c r="S18" s="9"/>
      <x:c r="T18" s="9"/>
      <x:c r="U18" s="9"/>
      <x:c r="V18" s="9"/>
      <x:c r="W18" s="9"/>
      <x:c r="X18" s="9" t="s">
        <x:v>117</x:v>
      </x:c>
      <x:c r="Y18" s="9"/>
      <x:c r="Z18" s="9" t="str">
        <x:v>Wikipédia : https://fr.wikipedia.org/wiki/Gibier_de_passage</x:v>
      </x:c>
      <x:c r="AA18" s="9" t="s">
        <x:v>45</x:v>
      </x:c>
      <x:c r="AB18" s="1" t="s">
        <x:v>118</x:v>
      </x:c>
      <x:c r="AC18" s="7" t="str">
        <x: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x:f>
        <x:v>pers-harry-baer; pers-el-hedi-ben-salem; pers-irm-hermann; pers-kurt-raab; pers-hanna-schygulla</x:v>
      </x:c>
      <x:c r="AD18" s="7" t="str">
        <x: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pers-irm-hermann; pers-kurt-raab</x:v>
      </x:c>
    </x:row>
    <x:row r="19" ht="170.75" customHeight="1">
      <x:c r="A19" s="9" t="s">
        <x:v>119</x:v>
      </x:c>
      <x:c r="B19" s="9" t="s">
        <x:v>120</x:v>
      </x:c>
      <x:c r="C19" s="9" t="s">
        <x:v>121</x:v>
      </x:c>
      <x:c r="D19" s="10">
        <x:v>1973</x:v>
      </x:c>
      <x:c r="E19" s="9" t="s">
        <x:v>122</x:v>
      </x:c>
      <x:c r="F19" s="10">
        <x:v>212</x:v>
      </x:c>
      <x:c r="G19" s="9" t="s">
        <x:v>33</x:v>
      </x:c>
      <x:c r="H19" s="9" t="s">
        <x:v>34</x:v>
      </x:c>
      <x:c r="I19" s="9" t="s">
        <x:v>123</x:v>
      </x:c>
      <x:c r="J19" s="9"/>
      <x:c r="K19" s="9"/>
      <x:c r="L19" s="9"/>
      <x:c r="M19" s="9"/>
      <x:c r="N19" s="9" t="s">
        <x:v>106</x:v>
      </x:c>
      <x:c r="O19" s="9"/>
      <x:c r="P19" s="9" t="s">
        <x:v>124</x:v>
      </x:c>
      <x:c r="Q19" s="9" t="s">
        <x:v>125</x:v>
      </x:c>
      <x:c r="R19" s="9"/>
      <x:c r="S19" s="9"/>
      <x:c r="T19" s="9" t="s">
        <x:v>126</x:v>
      </x:c>
      <x:c r="U19" s="9" t="s">
        <x:v>127</x:v>
      </x:c>
      <x:c r="V19" s="9"/>
      <x:c r="W19" s="9"/>
      <x:c r="X19" s="9" t="s">
        <x:v>117</x:v>
      </x:c>
      <x:c r="Y19" s="9" t="s">
        <x:v>128</x:v>
      </x:c>
      <x:c r="Z19" s="9" t="s">
        <x:v>112</x:v>
      </x:c>
      <x:c r="AA19" s="9" t="s">
        <x:v>129</x:v>
      </x:c>
      <x:c r="AB19" s="1" t="s">
        <x:v>130</x:v>
      </x:c>
      <x:c r="AC19" s="7" t="str">
        <x: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x:f>
      </x:c>
      <x:c r="AD19" s="7" t="str">
        <x: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20" ht="170.75" customHeight="1">
      <x:c r="A20" s="9" t="s">
        <x:v>131</x:v>
      </x:c>
      <x:c r="B20" s="9" t="s">
        <x:v>132</x:v>
      </x:c>
      <x:c r="C20" s="9" t="s">
        <x:v>133</x:v>
      </x:c>
      <x:c r="D20" s="10">
        <x:v>1974</x:v>
      </x:c>
      <x:c r="E20" s="9" t="s">
        <x:v>42</x:v>
      </x:c>
      <x:c r="F20" s="10">
        <x:v>93</x:v>
      </x:c>
      <x:c r="G20" s="9" t="s">
        <x:v>33</x:v>
      </x:c>
      <x:c r="H20" s="9" t="s">
        <x:v>34</x:v>
      </x:c>
      <x:c r="I20" s="9" t="s">
        <x:v>34</x:v>
      </x:c>
      <x:c r="J20" s="9"/>
      <x:c r="K20" s="9"/>
      <x:c r="L20" s="9"/>
      <x:c r="M20" s="9"/>
      <x:c r="N20" s="9"/>
      <x:c r="O20" s="9" t="s">
        <x:v>134</x:v>
      </x:c>
      <x:c r="P20" s="9" t="s">
        <x:v>135</x:v>
      </x:c>
      <x:c r="Q20" s="9" t="s">
        <x:v>136</x:v>
      </x:c>
      <x:c r="R20" s="9"/>
      <x:c r="S20" s="9"/>
      <x:c r="T20" s="9"/>
      <x:c r="U20" s="9" t="s">
        <x:v>137</x:v>
      </x:c>
      <x:c r="V20" s="9"/>
      <x:c r="W20" s="9"/>
      <x:c r="X20" s="9" t="s">
        <x:v>138</x:v>
      </x:c>
      <x:c r="Y20" s="9" t="s">
        <x:v>139</x:v>
      </x:c>
      <x:c r="Z20" s="9" t="s">
        <x:v>112</x:v>
      </x:c>
      <x:c r="AA20" s="9" t="s">
        <x:v>113</x:v>
      </x:c>
      <x:c r="AB20" s="1" t="s">
        <x:v>140</x:v>
      </x:c>
      <x:c r="AC20" s="7" t="str">
        <x: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x:f>
        <x:v>pers-el-hedi-ben-salem; pers-peter-chatel; pers-lilo-pempeit; pers-irm-hermann; pers-brigitte-mira; pers-barbara-valentin</x:v>
      </x:c>
      <x:c r="AD20" s="7" t="str">
        <x: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21" ht="170.75" customHeight="1">
      <x:c r="A21" s="9" t="s">
        <x:v>141</x:v>
      </x:c>
      <x:c r="B21" s="9" t="s">
        <x:v>142</x:v>
      </x:c>
      <x:c r="C21" s="9" t="s">
        <x:v>143</x:v>
      </x:c>
      <x:c r="D21" s="10">
        <x:v>1974</x:v>
      </x:c>
      <x:c r="E21" s="9" t="s">
        <x:v>42</x:v>
      </x:c>
      <x:c r="F21" s="10">
        <x:v>140</x:v>
      </x:c>
      <x:c r="G21" s="9" t="s">
        <x:v>33</x:v>
      </x:c>
      <x:c r="H21" s="9" t="s">
        <x:v>34</x:v>
      </x:c>
      <x:c r="I21" s="9" t="s">
        <x:v>144</x:v>
      </x:c>
      <x:c r="J21" s="9" t="s">
        <x:v>145</x:v>
      </x:c>
      <x:c r="K21" s="9" t="s">
        <x:v>146</x:v>
      </x:c>
      <x:c r="L21" s="9" t="s">
        <x:v>105</x:v>
      </x:c>
      <x:c r="M21" s="9"/>
      <x:c r="N21" s="9" t="s">
        <x:v>34</x:v>
      </x:c>
      <x:c r="O21" s="9" t="s">
        <x:v>147</x:v>
      </x:c>
      <x:c r="P21" s="9" t="s">
        <x:v>148</x:v>
      </x:c>
      <x:c r="Q21" s="9" t="s">
        <x:v>149</x:v>
      </x:c>
      <x:c r="R21" s="9"/>
      <x:c r="S21" s="9"/>
      <x:c r="T21" s="9" t="s">
        <x:v>150</x:v>
      </x:c>
      <x:c r="U21" s="9" t="s">
        <x:v>151</x:v>
      </x:c>
      <x:c r="V21" s="9"/>
      <x:c r="W21" s="9"/>
      <x:c r="X21" s="9" t="s">
        <x:v>138</x:v>
      </x:c>
      <x:c r="Y21" s="9" t="s">
        <x:v>152</x:v>
      </x:c>
      <x:c r="Z21" s="9" t="s">
        <x:v>112</x:v>
      </x:c>
      <x:c r="AA21" s="9" t="s">
        <x:v>113</x:v>
      </x:c>
      <x:c r="AB21" s="1" t="s">
        <x:v>153</x:v>
      </x:c>
      <x:c r="AC21" s="7" t="str">
        <x: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x:f>
        <x:v>pers-karlheinz-bohm; pers-lilo-pempeit; pers-irm-hermann; pers-ulli-lommel; pers-hanna-schygulla; pers-ursula-stratz; pers-barbara-valentin</x:v>
      </x:c>
      <x:c r="AD21" s="7" t="str">
        <x: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x:v>
      </x:c>
    </x:row>
    <x:row r="22" ht="30">
      <x:c r="A22" s="9" t="s">
        <x:v>154</x:v>
      </x:c>
      <x:c r="B22" s="9" t="s">
        <x:v>155</x:v>
      </x:c>
      <x:c r="C22" s="9"/>
      <x:c r="D22" s="10">
        <x:v>1974</x:v>
      </x:c>
      <x:c r="E22" s="9" t="s">
        <x:v>68</x:v>
      </x:c>
      <x:c r="F22" s="10" t="n">
        <x:v>101</x:v>
      </x:c>
      <x:c r="G22" s="9" t="s">
        <x:v>33</x:v>
      </x:c>
      <x:c r="H22" s="9" t="s">
        <x:v>34</x:v>
      </x:c>
      <x:c r="I22" s="9" t="str">
        <x:v>D’après Une maison de poupée d’Henrik Ibsen, texte allemand de Bernhard Schulze</x:v>
      </x:c>
      <x:c r="J22" s="9" t="str">
        <x:v>Willi Raber ; Wilfried Mier ; Peter Weyrich ; Gisela Loew ; Hans Schugg</x:v>
      </x:c>
      <x:c r="K22" s="9" t="str">
        <x:v>Anne-Marie Bornheimer ; Friedrich Niquet</x:v>
      </x:c>
      <x:c r="L22" s="9" t="str">
        <x:v>Friedhelm Boehm</x:v>
      </x:c>
      <x:c r="M22" s="9"/>
      <x:c r="N22" s="9" t="str">
        <x:v>Telefilm Saar pour la SR</x:v>
      </x:c>
      <x:c r="O22" s="9" t="str">
        <x:v>Margit Carstensen : Nora
Joachim Hansen : Torvald
Barbara Valentin : Mme Linde
Ulli Lommel : Krogstad
Klaus Löwitsch : Dr Rank
Lilo Pempeit : Marie
Irm Hermann : Helene</x:v>
      </x:c>
      <x:c r="P22" s="9" t="str">
        <x:v>Assistants de réalisation : Fritz Müller-Scherz ; Rainer Langhans
Format : vidéo 2 pouces, couleur
Tournage : 21 jours en mai 1973, studio de Sarrebruck
Diffusion : 3 février 1974</x:v>
      </x:c>
      <x:c r="Q22" s="9" t="str">
        <x:v>Nora, jeune femme au foyer, tente d’obtenir de son mari davantage d’argent afin de préparer leurs vacances, mais l’entreprise s’avère plus compliquée que prévu.</x:v>
      </x:c>
      <x:c r="R22" s="9"/>
      <x:c r="S22" s="9"/>
      <x:c r="T22" s="9"/>
      <x:c r="U22" s="9"/>
      <x:c r="V22" s="9"/>
      <x:c r="W22" s="9"/>
      <x:c r="X22" s="9" t="s">
        <x:v>138</x:v>
      </x:c>
      <x:c r="Y22" s="9"/>
      <x:c r="Z22" s="9" t="str">
        <x:v>Wikipédia : https://fr.wikipedia.org/wiki/Nora_Helmer</x:v>
      </x:c>
      <x:c r="AA22" s="9" t="s">
        <x:v>45</x:v>
      </x:c>
      <x:c r="AB22" s="1" t="s">
        <x:v>156</x:v>
      </x:c>
      <x:c r="AC22" s="7" t="str">
        <x: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x:f>
        <x:v>pers-margit-carstensen; pers-lilo-pempeit; pers-irm-hermann; pers-ulli-lommel; pers-barbara-valentin</x:v>
      </x:c>
      <x:c r="AD22" s="7" t="str">
        <x: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23" ht="150">
      <x:c r="A23" s="9" t="s">
        <x:v>157</x:v>
      </x:c>
      <x:c r="B23" s="9" t="s">
        <x:v>158</x:v>
      </x:c>
      <x:c r="C23" s="9" t="s">
        <x:v>158</x:v>
      </x:c>
      <x:c r="D23" s="10">
        <x:v>1974</x:v>
      </x:c>
      <x:c r="E23" s="9" t="s">
        <x:v>68</x:v>
      </x:c>
      <x:c r="F23" s="10">
        <x:v>116</x:v>
      </x:c>
      <x:c r="G23" s="9" t="s">
        <x:v>33</x:v>
      </x:c>
      <x:c r="H23" s="9" t="s">
        <x:v>34</x:v>
      </x:c>
      <x:c r="I23" s="9" t="s">
        <x:v>159</x:v>
      </x:c>
      <x:c r="J23" s="9" t="s">
        <x:v>160</x:v>
      </x:c>
      <x:c r="K23" s="9" t="s">
        <x:v>161</x:v>
      </x:c>
      <x:c r="L23" s="9" t="s">
        <x:v>105</x:v>
      </x:c>
      <x:c r="M23" s="9"/>
      <x:c r="N23" s="9" t="s">
        <x:v>162</x:v>
      </x:c>
      <x:c r="O23" s="9" t="s">
        <x:v>163</x:v>
      </x:c>
      <x:c r="P23" s="9" t="s">
        <x:v>164</x:v>
      </x:c>
      <x:c r="Q23" s="9" t="s">
        <x:v>165</x:v>
      </x:c>
      <x:c r="R23" s="9"/>
      <x:c r="S23" s="9" t="s">
        <x:v>166</x:v>
      </x:c>
      <x:c r="T23" s="9" t="s">
        <x:v>167</x:v>
      </x:c>
      <x:c r="U23" s="9"/>
      <x:c r="V23" s="9"/>
      <x:c r="W23" s="9"/>
      <x:c r="X23" s="9" t="s">
        <x:v>138</x:v>
      </x:c>
      <x:c r="Y23" s="9" t="s">
        <x:v>168</x:v>
      </x:c>
      <x:c r="Z23" s="9" t="s">
        <x:v>112</x:v>
      </x:c>
      <x:c r="AA23" s="9" t="s">
        <x:v>113</x:v>
      </x:c>
      <x:c r="AB23" s="1" t="s">
        <x:v>169</x:v>
      </x:c>
      <x:c r="AC23" s="7" t="str">
        <x: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x:f>
        <x:v>pers-el-hedi-ben-salem; pers-karlheinz-bohm; pers-margit-carstensen; pers-ingrid-caven; pers-peter-chatel; pers-kurt-raab; pers-barbara-valentin</x:v>
      </x:c>
      <x:c r="AD23" s="7" t="str">
        <x: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pers-kurt-raab</x:v>
      </x:c>
    </x:row>
    <x:row r="24" ht="255">
      <x:c r="A24" s="9" t="s">
        <x:v>170</x:v>
      </x:c>
      <x:c r="B24" s="9" t="s">
        <x:v>171</x:v>
      </x:c>
      <x:c r="C24" s="9" t="s">
        <x:v>172</x:v>
      </x:c>
      <x:c r="D24" s="10">
        <x:v>1975</x:v>
      </x:c>
      <x:c r="E24" s="9" t="s">
        <x:v>42</x:v>
      </x:c>
      <x:c r="F24" s="10">
        <x:v>123</x:v>
      </x:c>
      <x:c r="G24" s="9" t="s">
        <x:v>33</x:v>
      </x:c>
      <x:c r="H24" s="9" t="s">
        <x:v>34</x:v>
      </x:c>
      <x:c r="I24" s="9" t="s">
        <x:v>173</x:v>
      </x:c>
      <x:c r="J24" s="9" t="s">
        <x:v>160</x:v>
      </x:c>
      <x:c r="K24" s="9" t="s">
        <x:v>146</x:v>
      </x:c>
      <x:c r="L24" s="9"/>
      <x:c r="M24" s="9" t="s">
        <x:v>174</x:v>
      </x:c>
      <x:c r="N24" s="9" t="s">
        <x:v>175</x:v>
      </x:c>
      <x:c r="O24" s="9" t="s">
        <x:v>176</x:v>
      </x:c>
      <x:c r="P24" s="9" t="s">
        <x:v>177</x:v>
      </x:c>
      <x:c r="Q24" s="9" t="s">
        <x:v>178</x:v>
      </x:c>
      <x:c r="R24" s="9"/>
      <x:c r="S24" s="9" t="s">
        <x:v>179</x:v>
      </x:c>
      <x:c r="T24" s="9"/>
      <x:c r="U24" s="9" t="s">
        <x:v>180</x:v>
      </x:c>
      <x:c r="V24" s="9"/>
      <x:c r="W24" s="9"/>
      <x:c r="X24" s="9" t="s">
        <x:v>181</x:v>
      </x:c>
      <x:c r="Y24" s="9" t="s">
        <x:v>182</x:v>
      </x:c>
      <x:c r="Z24" s="9" t="s">
        <x:v>112</x:v>
      </x:c>
      <x:c r="AA24" s="9" t="s">
        <x:v>113</x:v>
      </x:c>
      <x:c r="AB24" s="1" t="s">
        <x:v>183</x:v>
      </x:c>
      <x:c r="AC24" s="7" t="str">
        <x: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x:f>
        <x:v>pers-harry-baer; pers-el-hedi-ben-salem; pers-karlheinz-bohm; pers-ingrid-caven; pers-peter-chatel; pers-irm-hermann; pers-brigitte-mira; pers-kurt-raab; pers-barbara-valentin</x:v>
      </x:c>
      <x:c r="AD24" s="7" t="str">
        <x: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pers-peer-raben</x:v>
      </x:c>
    </x:row>
    <x:row r="25" ht="240">
      <x:c r="A25" s="9" t="s">
        <x:v>184</x:v>
      </x:c>
      <x:c r="B25" s="9" t="s">
        <x:v>185</x:v>
      </x:c>
      <x:c r="C25" s="9" t="s">
        <x:v>186</x:v>
      </x:c>
      <x:c r="D25" s="10">
        <x:v>1975</x:v>
      </x:c>
      <x:c r="E25" s="9" t="s">
        <x:v>42</x:v>
      </x:c>
      <x:c r="F25" s="10">
        <x:v>120</x:v>
      </x:c>
      <x:c r="G25" s="9" t="s">
        <x:v>33</x:v>
      </x:c>
      <x:c r="H25" s="9" t="s">
        <x:v>34</x:v>
      </x:c>
      <x:c r="I25" s="9" t="s">
        <x:v>187</x:v>
      </x:c>
      <x:c r="J25" s="9" t="s">
        <x:v>160</x:v>
      </x:c>
      <x:c r="K25" s="9" t="s">
        <x:v>146</x:v>
      </x:c>
      <x:c r="L25" s="9" t="s">
        <x:v>105</x:v>
      </x:c>
      <x:c r="M25" s="9" t="s">
        <x:v>174</x:v>
      </x:c>
      <x:c r="N25" s="9" t="s">
        <x:v>188</x:v>
      </x:c>
      <x:c r="O25" s="9" t="s">
        <x:v>189</x:v>
      </x:c>
      <x:c r="P25" s="9" t="s">
        <x:v>190</x:v>
      </x:c>
      <x:c r="Q25" s="9" t="s">
        <x:v>191</x:v>
      </x:c>
      <x:c r="R25" s="9"/>
      <x:c r="S25" s="9" t="s">
        <x:v>192</x:v>
      </x:c>
      <x:c r="T25" s="9" t="s">
        <x:v>193</x:v>
      </x:c>
      <x:c r="U25" s="9" t="s">
        <x:v>194</x:v>
      </x:c>
      <x:c r="V25" s="9"/>
      <x:c r="W25" s="9"/>
      <x:c r="X25" s="9" t="s">
        <x:v>181</x:v>
      </x:c>
      <x:c r="Y25" s="9" t="s">
        <x:v>195</x:v>
      </x:c>
      <x:c r="Z25" s="9" t="s">
        <x:v>112</x:v>
      </x:c>
      <x:c r="AA25" s="9" t="s">
        <x:v>113</x:v>
      </x:c>
      <x:c r="AB25" s="1" t="s">
        <x:v>196</x:v>
      </x:c>
      <x:c r="AC25" s="7" t="str">
        <x: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x:f>
        <x:v>pers-karlheinz-bohm; pers-margit-carstensen; pers-ingrid-caven; pers-peter-chatel; pers-lilo-pempeit; pers-gottfried-john; pers-irm-hermann; pers-armin-meier; pers-brigitte-mira; pers-kurt-raab; pers-volker-spengler</x:v>
      </x:c>
      <x:c r="AD25" s="7" t="str">
        <x: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pers-kurt-raab; pers-peer-raben</x:v>
      </x:c>
    </x:row>
    <x:row r="26" ht="30">
      <x:c r="A26" s="9" t="s">
        <x:v>197</x:v>
      </x:c>
      <x:c r="B26" s="9" t="s">
        <x:v>198</x:v>
      </x:c>
      <x:c r="C26" s="9" t="str">
        <x:v>Wie ein Vogel auf dem Draht</x:v>
      </x:c>
      <x:c r="D26" s="10">
        <x:v>1975</x:v>
      </x:c>
      <x:c r="E26" s="9" t="s">
        <x:v>68</x:v>
      </x:c>
      <x:c r="F26" s="10" t="n">
        <x:v>44</x:v>
      </x:c>
      <x:c r="G26" s="9" t="s">
        <x:v>33</x:v>
      </x:c>
      <x:c r="H26" s="9" t="s">
        <x:v>34</x:v>
      </x:c>
      <x:c r="I26" s="9" t="str">
        <x:v>Rainer Werner Fassbinder ; Christian Hohoff</x:v>
      </x:c>
      <x:c r="J26" s="9" t="str">
        <x:v>Erhard Spandel</x:v>
      </x:c>
      <x:c r="K26" s="9"/>
      <x:c r="L26" s="9" t="str">
        <x:v>Kurt Raab</x:v>
      </x:c>
      <x:c r="M26" s="9" t="str">
        <x:v>Ingfried Hoffmann ; orchestre Kurt Edelhagen</x:v>
      </x:c>
      <x:c r="N26" s="9" t="str">
        <x:v>WDR</x:v>
      </x:c>
      <x:c r="O26" s="9" t="str">
        <x:v>Brigitte Mira
Evelyn Künneke
Ingfried Hoffmann : le pianiste du bar
El Hedi ben Salem : le culturiste</x:v>
      </x:c>
      <x:c r="P26" s="9" t="str">
        <x:v>Textes des chansons : Anja Hauptmann
Format : vidéo 2 pouces, couleur
Tournage : six jours en juillet 1974 à Cologne
Diffusion : 5 mai 1975</x:v>
      </x:c>
      <x:c r="Q26" s="9" t="str">
        <x:v>Brigitte Mira se souvient de ses différents mariages à travers plusieurs chansons.</x:v>
      </x:c>
      <x:c r="R26" s="9"/>
      <x:c r="S26" s="9"/>
      <x:c r="T26" s="9"/>
      <x:c r="U26" s="9"/>
      <x:c r="V26" s="9"/>
      <x:c r="W26" s="9"/>
      <x:c r="X26" s="9" t="s">
        <x:v>181</x:v>
      </x:c>
      <x:c r="Y26" s="9"/>
      <x:c r="Z26" s="9" t="str">
        <x:v>Wikipédia : https://fr.wikipedia.org/wiki/Comme_un_oiseau_sur_le_fil</x:v>
      </x:c>
      <x:c r="AA26" s="9" t="s">
        <x:v>45</x:v>
      </x:c>
      <x:c r="AB26" s="1" t="s">
        <x:v>199</x:v>
      </x:c>
      <x:c r="AC26" s="7" t="str">
        <x: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x:f>
        <x:v>pers-el-hedi-ben-salem; pers-brigitte-mira</x:v>
      </x:c>
      <x:c r="AD26" s="7" t="str">
        <x: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x:v>
      </x:c>
    </x:row>
    <x:row r="27" ht="30">
      <x:c r="A27" s="9" t="s">
        <x:v>200</x:v>
      </x:c>
      <x:c r="B27" s="9" t="s">
        <x:v>201</x:v>
      </x:c>
      <x:c r="C27" s="9" t="str">
        <x:v>Angst vor der Angst</x:v>
      </x:c>
      <x:c r="D27" s="10">
        <x:v>1975</x:v>
      </x:c>
      <x:c r="E27" s="9" t="s">
        <x:v>68</x:v>
      </x:c>
      <x:c r="F27" s="10" t="n">
        <x:v>88</x:v>
      </x:c>
      <x:c r="G27" s="9" t="s">
        <x:v>33</x:v>
      </x:c>
      <x:c r="H27" s="9" t="s">
        <x:v>34</x:v>
      </x:c>
      <x:c r="I27" s="9" t="str">
        <x:v>Rainer Werner Fassbinder, sur une idée d’Asta Scheib</x:v>
      </x:c>
      <x:c r="J27" s="9" t="str">
        <x:v>Jürgen Jürges ; Ulrich Prinz</x:v>
      </x:c>
      <x:c r="K27" s="9" t="str">
        <x:v>Liesgret Schmitt-Klink ; Beate Fischer-Weiskirsh</x:v>
      </x:c>
      <x:c r="L27" s="9" t="str">
        <x:v>Kurt Raab</x:v>
      </x:c>
      <x:c r="M27" s="9" t="str">
        <x:v>Peer Raben</x:v>
      </x:c>
      <x:c r="N27" s="9" t="str">
        <x:v>Peter Märthesheimer ; WDR</x:v>
      </x:c>
      <x:c r="O27" s="9" t="str">
        <x:v>Margit Carstensen : Margot Staudte
Ulrich Faulhaber : Kurt
Brigitte Mira : la mère
Irm Hermann : Lore
Armin Meier : Karli
Adrian Hoven : Dr Merck
Kurt Raab : M. Bauer
Ingrid Caven : Edda
Lilo Pempeit : Mme Schaal
Helga Märthesheimer : Mme le Dr von Unruh
Herbert Steinmetz : Dr Auer
Hark Bohm : Dr Rozenbaum
Constance Haas : Bibi</x:v>
      </x:c>
      <x:c r="P27" s="9" t="str">
        <x:v>Format : 16 mm, couleur
Tournage : 25 jours en avril-mai 1975 à Cologne et Bonn
Diffusion : 8 juillet 1975</x:v>
      </x:c>
      <x:c r="Q27" s="9" t="str">
        <x:v>Margot, jeune mère de famille, se trouve doublement isolée par sa dépression, l’angoisse qui l’accompagne et l’incompréhension de son entourage.</x:v>
      </x:c>
      <x:c r="R27" s="9"/>
      <x:c r="S27" s="9"/>
      <x:c r="T27" s="9"/>
      <x:c r="U27" s="9"/>
      <x:c r="V27" s="9"/>
      <x:c r="W27" s="9"/>
      <x:c r="X27" s="9" t="s">
        <x:v>181</x:v>
      </x:c>
      <x:c r="Y27" s="9"/>
      <x:c r="Z27" s="9" t="str">
        <x:v>Wikipédia : https://fr.wikipedia.org/wiki/Peur_de_la_peur</x:v>
      </x:c>
      <x:c r="AA27" s="9" t="s">
        <x:v>45</x:v>
      </x:c>
      <x:c r="AB27" s="1" t="s">
        <x:v>202</x:v>
      </x:c>
      <x:c r="AC27" s="7" t="str">
        <x: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x:f>
        <x:v>pers-margit-carstensen; pers-ingrid-caven; pers-lilo-pempeit; pers-irm-hermann; pers-armin-meier; pers-brigitte-mira; pers-kurt-raab</x:v>
      </x:c>
      <x:c r="AD27" s="7" t="str">
        <x: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pers-kurt-raab; pers-peer-raben</x:v>
      </x:c>
    </x:row>
    <x:row r="28" ht="30">
      <x:c r="A28" s="9" t="s">
        <x:v>203</x:v>
      </x:c>
      <x:c r="B28" s="9" t="s">
        <x:v>204</x:v>
      </x:c>
      <x:c r="C28" s="9" t="str">
        <x:v>Schatten der Engel</x:v>
      </x:c>
      <x:c r="D28" s="10">
        <x:v>1976</x:v>
      </x:c>
      <x:c r="E28" s="9" t="s">
        <x:v>42</x:v>
      </x:c>
      <x:c r="F28" s="10" t="n">
        <x:v>101</x:v>
      </x:c>
      <x:c r="G28" s="9" t="s">
        <x:v>33</x:v>
      </x:c>
      <x:c r="H28" s="9" t="s">
        <x:v>34</x:v>
      </x:c>
      <x:c r="I28" s="9" t="str">
        <x:v>Daniel Schmid ; Rainer Werner Fassbinder, d’après la pièce de Fassbinder</x:v>
      </x:c>
      <x:c r="J28" s="9" t="str">
        <x:v>Renato Berta</x:v>
      </x:c>
      <x:c r="K28" s="9" t="str">
        <x:v>Ila von Hasperg</x:v>
      </x:c>
      <x:c r="L28" s="9"/>
      <x:c r="M28" s="9" t="str">
        <x:v>Gottfried Hüngsberg ; Peer Raben</x:v>
      </x:c>
      <x:c r="N28" s="9" t="str">
        <x:v>Michael Fengler ; Jordan Bojilov</x:v>
      </x:c>
      <x:c r="O28" s="9" t="str">
        <x:v>Ingrid Caven : Lily Brest
Rainer Werner Fassbinder : Raoul
Klaus Löwitsch : le spéculateur, dit « le Juif riche »
Anne-Marie Düringer : Luise Müller
Adrian Hoven : Herr Müller
Boy Gobert : le chef de la police
Ulli Lommel : le Petit Prince
Jean-Claude Dreyfus : le nain
Alexander Allerson : Hans von Gluck</x:v>
      </x:c>
      <x:c r="P28" s="9" t="str">
        <x:v>Format : couleur, mono
Genre : drame
Sortie : 1976</x:v>
      </x:c>
      <x:c r="Q28" s="9" t="str">
        <x:v>Lily, prostituée désabusée, rencontre un riche spéculateur juif qui la paie pour l’écouter. Tous deux sont pris dans un univers urbain de violence, d’exploitation et de solitude.</x:v>
      </x:c>
      <x:c r="R28" s="9"/>
      <x:c r="S28" s="9"/>
      <x:c r="T28" s="9"/>
      <x:c r="U28" s="9" t="s">
        <x:v>205</x:v>
      </x:c>
      <x:c r="V28" s="9"/>
      <x:c r="W28" s="9"/>
      <x:c r="X28" s="9" t="s">
        <x:v>206</x:v>
      </x:c>
      <x:c r="Y28" s="9"/>
      <x:c r="Z28" s="9" t="str">
        <x:v>Wikipédia : https://fr.wikipedia.org/wiki/L%27Ombre_des_anges</x:v>
      </x:c>
      <x:c r="AA28" s="9" t="s">
        <x:v>45</x:v>
      </x:c>
      <x:c r="AB28" s="1" t="s">
        <x:v>207</x:v>
      </x:c>
      <x:c r="AC28" s="7" t="str">
        <x: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x:f>
        <x:v>pers-ingrid-caven; pers-ulli-lommel</x:v>
      </x:c>
      <x:c r="AD28" s="7" t="str">
        <x: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pers-peer-raben; pers-daniel-schmid</x:v>
      </x:c>
    </x:row>
    <x:row r="29" ht="210">
      <x:c r="A29" s="9" t="s">
        <x:v>208</x:v>
      </x:c>
      <x:c r="B29" s="9" t="s">
        <x:v>209</x:v>
      </x:c>
      <x:c r="C29" s="9" t="s">
        <x:v>210</x:v>
      </x:c>
      <x:c r="D29" s="10">
        <x:v>1976</x:v>
      </x:c>
      <x:c r="E29" s="9" t="s">
        <x:v>42</x:v>
      </x:c>
      <x:c r="F29" s="10">
        <x:v>112</x:v>
      </x:c>
      <x:c r="G29" s="9" t="s">
        <x:v>33</x:v>
      </x:c>
      <x:c r="H29" s="9" t="s">
        <x:v>34</x:v>
      </x:c>
      <x:c r="I29" s="9" t="s">
        <x:v>34</x:v>
      </x:c>
      <x:c r="J29" s="9" t="s">
        <x:v>211</x:v>
      </x:c>
      <x:c r="K29" s="9" t="s">
        <x:v>146</x:v>
      </x:c>
      <x:c r="L29" s="9"/>
      <x:c r="M29" s="9" t="s">
        <x:v>174</x:v>
      </x:c>
      <x:c r="N29" s="9" t="s">
        <x:v>212</x:v>
      </x:c>
      <x:c r="O29" s="9" t="s">
        <x:v>213</x:v>
      </x:c>
      <x:c r="P29" s="9" t="s">
        <x:v>214</x:v>
      </x:c>
      <x:c r="Q29" s="9" t="s">
        <x:v>215</x:v>
      </x:c>
      <x:c r="R29" s="9"/>
      <x:c r="S29" s="9" t="s">
        <x:v>216</x:v>
      </x:c>
      <x:c r="T29" s="9" t="s">
        <x:v>217</x:v>
      </x:c>
      <x:c r="U29" s="9" t="s">
        <x:v>218</x:v>
      </x:c>
      <x:c r="V29" s="9"/>
      <x:c r="W29" s="9"/>
      <x:c r="X29" s="9" t="s">
        <x:v>206</x:v>
      </x:c>
      <x:c r="Y29" s="9" t="s">
        <x:v>219</x:v>
      </x:c>
      <x:c r="Z29" s="9" t="s">
        <x:v>112</x:v>
      </x:c>
      <x:c r="AA29" s="9" t="s">
        <x:v>113</x:v>
      </x:c>
      <x:c r="AB29" s="1" t="s">
        <x:v>220</x:v>
      </x:c>
      <x:c r="AC29" s="7" t="str">
        <x: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x:f>
        <x:v>pers-margit-carstensen; pers-ingrid-caven; pers-peter-chatel; pers-ulli-lommel; pers-armin-meier; pers-brigitte-mira; pers-kurt-raab; pers-volker-spengler</x:v>
      </x:c>
      <x:c r="AD29" s="7" t="str">
        <x: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pers-peer-raben</x:v>
      </x:c>
    </x:row>
    <x:row r="30" ht="150">
      <x:c r="A30" s="9" t="s">
        <x:v>221</x:v>
      </x:c>
      <x:c r="B30" s="9" t="s">
        <x:v>222</x:v>
      </x:c>
      <x:c r="C30" s="9" t="s">
        <x:v>223</x:v>
      </x:c>
      <x:c r="D30" s="10">
        <x:v>1976</x:v>
      </x:c>
      <x:c r="E30" s="9" t="s">
        <x:v>42</x:v>
      </x:c>
      <x:c r="F30" s="10">
        <x:v>96</x:v>
      </x:c>
      <x:c r="G30" s="9" t="s">
        <x:v>224</x:v>
      </x:c>
      <x:c r="H30" s="9" t="s">
        <x:v>34</x:v>
      </x:c>
      <x:c r="I30" s="9" t="s">
        <x:v>34</x:v>
      </x:c>
      <x:c r="J30" s="9" t="s">
        <x:v>160</x:v>
      </x:c>
      <x:c r="K30" s="9" t="s">
        <x:v>225</x:v>
      </x:c>
      <x:c r="L30" s="9"/>
      <x:c r="M30" s="9" t="s">
        <x:v>174</x:v>
      </x:c>
      <x:c r="N30" s="9" t="s">
        <x:v>226</x:v>
      </x:c>
      <x:c r="O30" s="9" t="s">
        <x:v>227</x:v>
      </x:c>
      <x:c r="P30" s="9" t="s">
        <x:v>228</x:v>
      </x:c>
      <x:c r="Q30" s="9" t="s">
        <x:v>229</x:v>
      </x:c>
      <x:c r="R30" s="9"/>
      <x:c r="S30" s="9" t="s">
        <x:v>230</x:v>
      </x:c>
      <x:c r="T30" s="9"/>
      <x:c r="U30" s="9" t="s">
        <x:v>231</x:v>
      </x:c>
      <x:c r="V30" s="9"/>
      <x:c r="W30" s="9"/>
      <x:c r="X30" s="9" t="s">
        <x:v>206</x:v>
      </x:c>
      <x:c r="Y30" s="9" t="s">
        <x:v>232</x:v>
      </x:c>
      <x:c r="Z30" s="9" t="s">
        <x:v>112</x:v>
      </x:c>
      <x:c r="AA30" s="9" t="s">
        <x:v>113</x:v>
      </x:c>
      <x:c r="AB30" s="1" t="s">
        <x:v>233</x:v>
      </x:c>
      <x:c r="AC30" s="7" t="str">
        <x: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x:f>
        <x:v>pers-margit-carstensen; pers-ulli-lommel; pers-armin-meier; pers-brigitte-mira; pers-volker-spengler</x:v>
      </x:c>
      <x:c r="AD30" s="7" t="str">
        <x: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pers-peer-raben</x:v>
      </x:c>
    </x:row>
    <x:row r="31" ht="342">
      <x:c r="A31" s="9" t="s">
        <x:v>234</x:v>
      </x:c>
      <x:c r="B31" s="9" t="s">
        <x:v>235</x:v>
      </x:c>
      <x:c r="C31" s="9" t="s">
        <x:v>236</x:v>
      </x:c>
      <x:c r="D31" s="10">
        <x:v>1976</x:v>
      </x:c>
      <x:c r="E31" s="9" t="s">
        <x:v>68</x:v>
      </x:c>
      <x:c r="F31" s="10">
        <x:v>104</x:v>
      </x:c>
      <x:c r="G31" s="9" t="s">
        <x:v>33</x:v>
      </x:c>
      <x:c r="H31" s="9" t="s">
        <x:v>34</x:v>
      </x:c>
      <x:c r="I31" s="9"/>
      <x:c r="J31" s="9" t="s">
        <x:v>160</x:v>
      </x:c>
      <x:c r="K31" s="9" t="s">
        <x:v>161</x:v>
      </x:c>
      <x:c r="L31" s="9" t="s">
        <x:v>105</x:v>
      </x:c>
      <x:c r="M31" s="9" t="s">
        <x:v>174</x:v>
      </x:c>
      <x:c r="N31" s="9" t="s">
        <x:v>237</x:v>
      </x:c>
      <x:c r="O31" s="9" t="s">
        <x:v>238</x:v>
      </x:c>
      <x:c r="P31" s="9" t="s">
        <x:v>239</x:v>
      </x:c>
      <x:c r="Q31" s="9" t="s">
        <x:v>240</x:v>
      </x:c>
      <x:c r="R31" s="9"/>
      <x:c r="S31" s="9" t="s">
        <x:v>241</x:v>
      </x:c>
      <x:c r="T31" s="9"/>
      <x:c r="U31" s="9" t="s">
        <x:v>242</x:v>
      </x:c>
      <x:c r="V31" s="9"/>
      <x:c r="W31" s="9"/>
      <x:c r="X31" s="9" t="s">
        <x:v>206</x:v>
      </x:c>
      <x:c r="Y31" s="9" t="s">
        <x:v>243</x:v>
      </x:c>
      <x:c r="Z31" s="9" t="s">
        <x:v>112</x:v>
      </x:c>
      <x:c r="AA31" s="9" t="s">
        <x:v>113</x:v>
      </x:c>
      <x:c r="AB31" s="1" t="s">
        <x:v>244</x:v>
      </x:c>
      <x:c r="AC31" s="7" t="str">
        <x: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x:f>
        <x:v>pers-ingrid-caven; pers-lilo-pempeit; pers-armin-meier</x:v>
      </x:c>
      <x:c r="AD31" s="7" t="str">
        <x: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pers-kurt-raab; pers-peer-raben</x:v>
      </x:c>
    </x:row>
    <x:row r="32" ht="30">
      <x:c r="A32" s="9" t="s">
        <x:v>245</x:v>
      </x:c>
      <x:c r="B32" s="9" t="s">
        <x:v>246</x:v>
      </x:c>
      <x:c r="C32" s="9" t="str">
        <x:v>Frauen in New York</x:v>
      </x:c>
      <x:c r="D32" s="10">
        <x:v>1977</x:v>
      </x:c>
      <x:c r="E32" s="9" t="s">
        <x:v>68</x:v>
      </x:c>
      <x:c r="F32" s="10" t="n">
        <x:v>111</x:v>
      </x:c>
      <x:c r="G32" s="9" t="s">
        <x:v>33</x:v>
      </x:c>
      <x:c r="H32" s="9" t="s">
        <x:v>34</x:v>
      </x:c>
      <x:c r="I32" s="9" t="str">
        <x:v>Nora Gray, d’après la pièce de Clare Boothe Luce</x:v>
      </x:c>
      <x:c r="J32" s="9" t="str">
        <x:v>Michael Ballhaus</x:v>
      </x:c>
      <x:c r="K32" s="9" t="str">
        <x:v>Wolfgang Kerhutt</x:v>
      </x:c>
      <x:c r="L32" s="9" t="str">
        <x:v>Rolf Glittenberg</x:v>
      </x:c>
      <x:c r="M32" s="9"/>
      <x:c r="N32" s="9"/>
      <x:c r="O32" s="9" t="str">
        <x:v>Christa Berndl : Mary Haines
Margit Carstensen : Sylvia Fowler
Anne-Marie Kuster : Peggy Day
Eva Mattes : Edith Potter
Angela Schmid : Nancy Blake / la princesse Tamara / Miss Trimmerback
Barbara Sukowa : Chrystal Allen
Heide Grübl : Jane / la professeure de gymnastique / une jeune fille
Ehmi Bessel : Mrs Wagstaff / Ingrid / une directrice / Miss Watts / une dame
Suzanne Werht : une vendeuse / une coiffeuse / une jeune fille
Carola Schwarz : une vendeuse / une coiffeuse / Helene
Irm Hermann : Olga / Miriam
Adelheid Müther : Euphie / un mannequin / la cigarettière
Ilse Bally : la dame au masque de boue / une directrice / une dame
Andrea Grosske : Miss Fordyce / Luca / Maggie / une veuve
Christina Prior : Klein-Mary
Gisela Uhlen : Mrs Moorehead / la comtesse de Lage
Henny Zschoppe : une infirmière / Sadie
Sabine Wegener : la débutante</x:v>
      </x:c>
      <x:c r="P32" s="9" t="str">
        <x:v>Format : couleur, mono
Genre : comédie
Diffusion : 1977</x:v>
      </x:c>
      <x:c r="Q32" s="9" t="str">
        <x:v>Dans le New York des années 1930, plusieurs femmes fortunées se retrouvent et discutent de leur vie quotidienne.</x:v>
      </x:c>
      <x:c r="R32" s="9"/>
      <x:c r="S32" s="9"/>
      <x:c r="T32" s="9"/>
      <x:c r="U32" s="9"/>
      <x:c r="V32" s="9"/>
      <x:c r="W32" s="9"/>
      <x:c r="X32" s="9" t="s">
        <x:v>247</x:v>
      </x:c>
      <x:c r="Y32" s="9"/>
      <x:c r="Z32" s="9" t="str">
        <x:v>Wikipédia : https://fr.wikipedia.org/wiki/Femmes_%C3%A0_New_York</x:v>
      </x:c>
      <x:c r="AA32" s="9" t="s">
        <x:v>45</x:v>
      </x:c>
      <x:c r="AB32" s="1" t="s">
        <x:v>248</x:v>
      </x:c>
      <x:c r="AC32" s="7" t="str">
        <x: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x:f>
        <x:v>pers-margit-carstensen; pers-irm-hermann</x:v>
      </x:c>
      <x:c r="AD32" s="7" t="str">
        <x: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x:v>
      </x:c>
    </x:row>
    <x:row r="33" ht="45">
      <x:c r="A33" s="9" t="s">
        <x:v>249</x:v>
      </x:c>
      <x:c r="B33" s="9" t="s">
        <x:v>250</x:v>
      </x:c>
      <x:c r="C33" s="9" t="str">
        <x:v>Bolwieser</x:v>
      </x:c>
      <x:c r="D33" s="10">
        <x:v>1977</x:v>
      </x:c>
      <x:c r="E33" s="9" t="s">
        <x:v>68</x:v>
      </x:c>
      <x:c r="F33" s="10" t="n">
        <x:v>201</x:v>
      </x:c>
      <x:c r="G33" s="9" t="s">
        <x:v>33</x:v>
      </x:c>
      <x:c r="H33" s="9" t="s">
        <x:v>34</x:v>
      </x:c>
      <x:c r="I33" s="9" t="str">
        <x:v>Rainer Werner Fassbinder, d’après le roman d’Oskar Maria Graf</x:v>
      </x:c>
      <x:c r="J33" s="9" t="str">
        <x:v>Michael Ballhaus</x:v>
      </x:c>
      <x:c r="K33" s="9"/>
      <x:c r="L33" s="9"/>
      <x:c r="M33" s="9" t="str">
        <x:v>Peer Raben</x:v>
      </x:c>
      <x:c r="N33" s="9" t="str">
        <x:v>Herbert Knopp ; Willi Segler ; Harry R. Sokal ; Bavaria Film</x:v>
      </x:c>
      <x:c r="O33" s="9" t="str">
        <x:v>Elisabeth Trissenaar : Hanni Bolwieser
Kurt Raab : Xaver Ferdinand Maria Bolwieser
Karl Scheydt : un gardien de prison
Armin Meier : Scherber
Bernhard Helfrich : Franz Merkl
Karl-Heinz von Hassel : Windegger
Volker Spengler : Mangst
Gustl Bayrhammer : Neidhard
Udo Kier : Schafftaler</x:v>
      </x:c>
      <x:c r="P33" s="9" t="str">
        <x:v>Format : couleur, 1,66:1, mono
Genre : drame
Diffusion : 1977</x:v>
      </x:c>
      <x:c r="Q33" s="9" t="str">
        <x:v>Xaver Bolwieser, chef de gare, découvre que sa femme le trompe avec un boucher puis avec un coiffeur.</x:v>
      </x:c>
      <x:c r="R33" s="9"/>
      <x:c r="S33" s="9"/>
      <x:c r="T33" s="9"/>
      <x:c r="U33" s="9"/>
      <x:c r="V33" s="9"/>
      <x:c r="W33" s="9"/>
      <x:c r="X33" s="9" t="s">
        <x:v>247</x:v>
      </x:c>
      <x:c r="Y33" s="9"/>
      <x:c r="Z33" s="9" t="str">
        <x:v>Wikipédia : https://fr.wikipedia.org/wiki/La_Femme_du_chef_de_gare</x:v>
      </x:c>
      <x:c r="AA33" s="9" t="s">
        <x:v>45</x:v>
      </x:c>
      <x:c r="AB33" s="1" t="s">
        <x:v>251</x:v>
      </x:c>
      <x:c r="AC33" s="7" t="str">
        <x: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x:f>
        <x:v>pers-armin-meier; pers-kurt-raab; pers-volker-spengler</x:v>
      </x:c>
      <x:c r="AD33" s="7" t="str">
        <x: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pers-peer-raben</x:v>
      </x:c>
    </x:row>
    <x:row r="34" ht="150">
      <x:c r="A34" s="9" t="s">
        <x:v>252</x:v>
      </x:c>
      <x:c r="B34" s="9" t="s">
        <x:v>253</x:v>
      </x:c>
      <x:c r="C34" s="9"/>
      <x:c r="D34" s="10">
        <x:v>1978</x:v>
      </x:c>
      <x:c r="E34" s="9" t="s">
        <x:v>254</x:v>
      </x:c>
      <x:c r="F34" s="10">
        <x:v>119</x:v>
      </x:c>
      <x:c r="G34" s="9" t="s">
        <x:v>33</x:v>
      </x:c>
      <x:c r="H34" s="9" t="s">
        <x:v>34</x:v>
      </x:c>
      <x:c r="I34" s="9"/>
      <x:c r="J34" s="9"/>
      <x:c r="K34" s="9"/>
      <x:c r="L34" s="9"/>
      <x:c r="M34" s="9"/>
      <x:c r="N34" s="9"/>
      <x:c r="O34" s="9"/>
      <x:c r="P34" s="9" t="s">
        <x:v>255</x:v>
      </x:c>
      <x:c r="Q34" s="9" t="s">
        <x:v>256</x:v>
      </x:c>
      <x:c r="R34" s="9"/>
      <x:c r="S34" s="9" t="s">
        <x:v>257</x:v>
      </x:c>
      <x:c r="T34" s="9"/>
      <x:c r="U34" s="9" t="s">
        <x:v>258</x:v>
      </x:c>
      <x:c r="V34" s="9"/>
      <x:c r="W34" s="9"/>
      <x:c r="X34" s="9" t="s">
        <x:v>259</x:v>
      </x:c>
      <x:c r="Y34" s="9" t="s">
        <x:v>260</x:v>
      </x:c>
      <x:c r="Z34" s="9" t="s">
        <x:v>112</x:v>
      </x:c>
      <x:c r="AA34" s="9" t="s">
        <x:v>113</x:v>
      </x:c>
      <x:c r="AB34" s="1" t="s">
        <x:v>261</x:v>
      </x:c>
      <x:c r="AC34" s="7" t="str">
        <x: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x:f>
      </x:c>
      <x:c r="AD34" s="7" t="str">
        <x: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5" ht="225">
      <x:c r="A35" s="9" t="s">
        <x:v>262</x:v>
      </x:c>
      <x:c r="B35" s="9" t="s">
        <x:v>263</x:v>
      </x:c>
      <x:c r="C35" s="9" t="s">
        <x:v>264</x:v>
      </x:c>
      <x:c r="D35" s="10">
        <x:v>1978</x:v>
      </x:c>
      <x:c r="E35" s="9" t="s">
        <x:v>42</x:v>
      </x:c>
      <x:c r="F35" s="10">
        <x:v>119</x:v>
      </x:c>
      <x:c r="G35" s="9" t="s">
        <x:v>224</x:v>
      </x:c>
      <x:c r="H35" s="9" t="s">
        <x:v>34</x:v>
      </x:c>
      <x:c r="I35" s="9" t="s">
        <x:v>265</x:v>
      </x:c>
      <x:c r="J35" s="9"/>
      <x:c r="K35" s="9"/>
      <x:c r="L35" s="9"/>
      <x:c r="M35" s="9"/>
      <x:c r="N35" s="9"/>
      <x:c r="O35" s="9" t="s">
        <x:v>266</x:v>
      </x:c>
      <x:c r="P35" s="9" t="s">
        <x:v>267</x:v>
      </x:c>
      <x:c r="Q35" s="9" t="s">
        <x:v>268</x:v>
      </x:c>
      <x:c r="R35" s="9"/>
      <x:c r="S35" s="9" t="s">
        <x:v>269</x:v>
      </x:c>
      <x:c r="T35" s="9"/>
      <x:c r="U35" s="9" t="s">
        <x:v>270</x:v>
      </x:c>
      <x:c r="V35" s="9"/>
      <x:c r="W35" s="9"/>
      <x:c r="X35" s="9" t="s">
        <x:v>259</x:v>
      </x:c>
      <x:c r="Y35" s="9" t="s">
        <x:v>271</x:v>
      </x:c>
      <x:c r="Z35" s="9" t="s">
        <x:v>112</x:v>
      </x:c>
      <x:c r="AA35" s="9" t="s">
        <x:v>113</x:v>
      </x:c>
      <x:c r="AB35" s="1" t="s">
        <x:v>272</x:v>
      </x:c>
      <x:c r="AC35" s="7" t="str">
        <x: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x:f>
        <x:v>pers-ingrid-caven; pers-gottfried-john; pers-volker-spengler</x:v>
      </x:c>
      <x:c r="AD35" s="7" t="str">
        <x: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36" ht="30">
      <x:c r="A36" s="9" t="s">
        <x:v>273</x:v>
      </x:c>
      <x:c r="B36" s="9" t="s">
        <x:v>274</x:v>
      </x:c>
      <x:c r="C36" s="9" t="str">
        <x:v>In einem Jahr mit 13 Monden</x:v>
      </x:c>
      <x:c r="D36" s="10">
        <x:v>1978</x:v>
      </x:c>
      <x:c r="E36" s="9" t="s">
        <x:v>42</x:v>
      </x:c>
      <x:c r="F36" s="10" t="n">
        <x:v>124</x:v>
      </x:c>
      <x:c r="G36" s="9" t="s">
        <x:v>33</x:v>
      </x:c>
      <x:c r="H36" s="9" t="s">
        <x:v>34</x:v>
      </x:c>
      <x:c r="I36" s="9" t="str">
        <x:v>Rainer Werner Fassbinder</x:v>
      </x:c>
      <x:c r="J36" s="9" t="str">
        <x:v>Rainer Werner Fassbinder</x:v>
      </x:c>
      <x:c r="K36" s="9" t="str">
        <x:v>Rainer Werner Fassbinder et Juliane Lorenz</x:v>
      </x:c>
      <x:c r="L36" s="9"/>
      <x:c r="M36" s="9" t="str">
        <x:v>Peer Raben</x:v>
      </x:c>
      <x:c r="N36" s="9" t="str">
        <x:v>Tango-Film ; Pro-ject Filmproduktion im Filmverlag der Autoren</x:v>
      </x:c>
      <x:c r="O36" s="9" t="str">
        <x:v>Volker Spengler : Erwin / Elvira Weishaupt
Ingrid Caven : Zora la Rouge
Gottfried John : Anton Saitz
Karl Scheydt : Christof, l’amant d’Elvira
Elisabeth Trissenaar : Irene Weishaupt
Eva Mattes : Marie-Ann Weishaupt</x:v>
      </x:c>
      <x:c r="P36" s="9" t="str">
        <x:v>Format : 35 mm, couleur, 1,66:1, mono
Genre : drame
Sortie RFA : 17 novembre 1978
Sortie France : 8 juillet 1981</x:v>
      </x:c>
      <x:c r="Q36" s="9" t="str">
        <x:v>Elvira, femme transgenre rejetée de presque tous sauf de Zora la Rouge, déambule désespérément dans Francfort sur les traces de son passé et d’une vie douloureuse. Elle revient sur son enfance au couvent, son travail aux abattoirs, son mariage avec la fille d’un boucher et son amour pour Anton Saitz.</x:v>
      </x:c>
      <x:c r="R36" s="9"/>
      <x:c r="S36" s="9" t="str">
        <x:v>La séquence où Anton Saitz et son entourage imitent la comédie hollywoodienne You’re Never Too Young fait de la régression un principe collectif. Anton, travesti en tennisman, devient le miroir de la transformation qu’Erwin devenu Elvira a imposée à son corps pour répondre au désir d’un autre. Fassbinder associe ainsi trois formes d’aliénation : soumission au regard d’autrui, discipline capitaliste des corps et assujettissement du spectateur aux images hollywoodiennes.</x:v>
      </x:c>
      <x:c r="T36" s="9" t="str">
        <x:v>Norman Taurog, You’re Never Too Young (1955)</x:v>
      </x:c>
      <x:c r="U36" s="9" t="s">
        <x:v>275</x:v>
      </x:c>
      <x:c r="V36" s="9"/>
      <x:c r="W36" s="9"/>
      <x:c r="X36" s="9" t="s">
        <x:v>259</x:v>
      </x:c>
      <x:c r="Y36" s="9" t="str">
        <x:v>identité|transidentité|aliénation|regard|corps|capitalisme|Hollywood|régression|Francfort</x:v>
      </x:c>
      <x:c r="Z36" s="9" t="str">
        <x:v>RWF_Notes sur les films.docx</x:v>
      </x:c>
      <x:c r="AA36" s="9" t="str">
        <x:v>Documenté</x:v>
      </x:c>
      <x:c r="AB36" s="1" t="s">
        <x:v>276</x:v>
      </x:c>
      <x:c r="AC36" s="7" t="str">
        <x: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x:f>
        <x:v>pers-ingrid-caven; pers-gottfried-john; pers-volker-spengler</x:v>
      </x:c>
      <x:c r="AD36" s="7" t="str">
        <x: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pers-juliane-lorenz; pers-peer-raben</x:v>
      </x:c>
    </x:row>
    <x:row r="37" ht="45">
      <x:c r="A37" s="9" t="s">
        <x:v>277</x:v>
      </x:c>
      <x:c r="B37" s="9" t="s">
        <x:v>278</x:v>
      </x:c>
      <x:c r="C37" s="9" t="s">
        <x:v>279</x:v>
      </x:c>
      <x:c r="D37" s="10">
        <x:v>1978</x:v>
      </x:c>
      <x:c r="E37" s="9" t="s">
        <x:v>42</x:v>
      </x:c>
      <x:c r="F37" s="10" t="n">
        <x:v>120</x:v>
      </x:c>
      <x:c r="G37" s="9" t="s">
        <x:v>33</x:v>
      </x:c>
      <x:c r="H37" s="9" t="s">
        <x:v>34</x:v>
      </x:c>
      <x:c r="I37" s="9" t="str">
        <x:v>Rainer Werner Fassbinder ; Pea Fröhlich ; Peter Märthesheimer</x:v>
      </x:c>
      <x:c r="J37" s="9" t="str">
        <x:v>Michael Ballhaus</x:v>
      </x:c>
      <x:c r="K37" s="9"/>
      <x:c r="L37" s="9"/>
      <x:c r="M37" s="9" t="str">
        <x:v>Peer Raben</x:v>
      </x:c>
      <x:c r="N37" s="9" t="str">
        <x:v>Albatros Produktion</x:v>
      </x:c>
      <x:c r="O37" s="9" t="str">
        <x:v>Hanna Schygulla : Maria Braun
Klaus Löwitsch : Hermann Braun
Ivan Desny : Karl Oswald
Elisabeth Trissenaar : Betti Klenze
Gottfried John : Willi Klenze
Hark Bohm : Senkenberg
George Byrd : Bill
Gisela Uhlen : la mère
Peter Berling : Bronski
Volker Spengler : le chef de train
Lilo Pempeit : Mme Ehmke
Karl-Heinz von Hassel : le procureur général
Rainer Werner Fassbinder : l’homme du marché noir</x:v>
      </x:c>
      <x:c r="P37" s="9" t="str">
        <x:v>Genre : drame psychologique
Sortie RFA : 20 février 1979
Sortie France : 22 mai 1979</x:v>
      </x:c>
      <x:c r="Q37" s="9" t="str">
        <x:v>Pendant les derniers mois de la Seconde Guerre mondiale, Maria épouse Hermann Braun, aussitôt renvoyé au front. Le croyant mort, elle devient entraîneuse dans un bar pour soldats américains et s’éprend de Bill, qu’elle tue accidentellement lorsque Hermann réapparaît ; son mari s’accuse à sa place et est emprisonné. Maria devient ensuite la collaboratrice et la maîtresse de l’industriel Karl Oswald, réussit spectaculairement dans les affaires et prépare l’avenir du couple. Après la mort d’Oswald, Hermann revient, mais la lecture du testament révèle l’accord qui avait conditionné son éloignement. Enfin réunis, Maria et Hermann meurent dans l’explosion de leur maison provoquée par une fuite de gaz et une cigarette.</x:v>
      </x:c>
      <x:c r="R37" s="9"/>
      <x:c r="S37" s="9" t="str">
        <x:v>Le film adopte la forme classique d’un mélodrame d’ascension et de chute, mais la symétrie entre le mariage sous les bombes et l’explosion finale transforme le destin de Maria en allégorie ambivalente de la RFA. Sa réussite repose sur la mise en scène de son corps et sur son adaptation au regard masculin : elle conquiert une autonomie économique sans échapper à l’ordre patriarcal. Le miracle économique se construit sur un double refoulement, celui du passé nazi et celui des valeurs sacrifiées à la réussite matérielle. Chansons populaires, émissions radiophoniques, discours d’Adenauer, finale de football et références cinématographiques ne garantissent pas l’authenticité historique ; ils fabriquent une « certaine idée de l’époque » et font du film moins une reconstitution qu’une réflexion sur les images de l’histoire. L’oubli du gaz à la fin figure alors le retour du refoulé et la mémoire malade de l’Allemagne.
« Les petits-bourgeois de 1930, 1955 ou 1975 sont interchangeables. L’Allemagne, un pays dans lequel rien ne change, où la chance de 1945 a été galvaudée. » — Wilhelm Roth, cité dans les notes à partir de Thomas Elsaesser.</x:v>
      </x:c>
      <x:c r="T37" s="9" t="str">
        <x:v>Thomas Elsaesser, analyse du Mariage de Maria Braun (p. 192 et 215 dans les notes)
Wilhelm Roth, citation reprise dans les notes à partir de Thomas Elsaesser</x:v>
      </x:c>
      <x:c r="U37" s="9" t="s">
        <x:v>280</x:v>
      </x:c>
      <x:c r="V37" s="9"/>
      <x:c r="W37" s="9"/>
      <x:c r="X37" s="14">
        <x:v>1978</x:v>
      </x:c>
      <x:c r="Y37" s="9" t="str">
        <x:v>RFA|miracle économique|mémoire|nazisme|mélodrame|patriarcat|femmes|histoire|médias|refoulement|Trilogie allemande</x:v>
      </x:c>
      <x:c r="Z37" s="9" t="str">
        <x:v>RWF_Notes sur les films.docx</x:v>
      </x:c>
      <x:c r="AA37" s="9" t="str">
        <x:v>Documenté</x:v>
      </x:c>
      <x:c r="AB37" s="1" t="s">
        <x:v>281</x:v>
      </x:c>
      <x:c r="AC37" s="7" t="str">
        <x: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x:f>
        <x:v>pers-lilo-pempeit; pers-gottfried-john; pers-hanna-schygulla; pers-volker-spengler</x:v>
      </x:c>
      <x:c r="AD37" s="7" t="str">
        <x: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pers-peer-raben</x:v>
      </x:c>
    </x:row>
    <x:row r="38" ht="45">
      <x:c r="A38" s="9" t="s">
        <x:v>282</x:v>
      </x:c>
      <x:c r="B38" s="9" t="s">
        <x:v>283</x:v>
      </x:c>
      <x:c r="C38" s="9" t="str">
        <x:v>Die Dritte Generation</x:v>
      </x:c>
      <x:c r="D38" s="10">
        <x:v>1979</x:v>
      </x:c>
      <x:c r="E38" s="9" t="s">
        <x:v>42</x:v>
      </x:c>
      <x:c r="F38" s="10" t="n">
        <x:v>105</x:v>
      </x:c>
      <x:c r="G38" s="9" t="s">
        <x:v>33</x:v>
      </x:c>
      <x:c r="H38" s="9" t="s">
        <x:v>34</x:v>
      </x:c>
      <x:c r="I38" s="9" t="str">
        <x:v>Rainer Werner Fassbinder</x:v>
      </x:c>
      <x:c r="J38" s="9" t="str">
        <x:v>Rainer Werner Fassbinder</x:v>
      </x:c>
      <x:c r="K38" s="9" t="str">
        <x:v>Juliane Lorenz</x:v>
      </x:c>
      <x:c r="L38" s="9"/>
      <x:c r="M38" s="9" t="str">
        <x:v>Peer Raben</x:v>
      </x:c>
      <x:c r="N38" s="9" t="str">
        <x:v>Harry Baer ; Rainer Werner Fassbinder</x:v>
      </x:c>
      <x:c r="O38" s="9" t="str">
        <x:v>Harry Baer : Rudolf Mann
Hark Bohm : Gerhard Gast
Margit Carstensen : Petra Vielhaber
Eddie Constantine : Peter Lurz
Jürgen Draeger : Hans Vielhaber
Raúl Gimenez : Paul
Udo Kier : Edgar Gast
Bulle Ogier : Hilde Krieger
Peer Raben
Hanna Schygulla : Susanne Gast
Volker Spengler : August
Vitus Zeplichal : Bernhard von Stein</x:v>
      </x:c>
      <x:c r="P38" s="9" t="str">
        <x:v>Langue : allemand
Format : Eastmancolor, 35 mm, 1,66:1, mono
Genre : comédie
Sortie France : 30 mai 1979 ; sortie RFA : septembre 1979</x:v>
      </x:c>
      <x:c r="Q38" s="9" t="str">
        <x:v>À Berlin-Ouest durant l’hiver 1978-1979, un groupe de terroristes issus de milieux divers mène des actions sans réelle conscience politique. Leur chef, August Brem, les manipule au profit de l’industriel américain Peter Lurz, qui cherche à vendre ses systèmes informatiques à la police.</x:v>
      </x:c>
      <x:c r="R38" s="9"/>
      <x:c r="S38" s="9"/>
      <x:c r="T38" s="9"/>
      <x:c r="U38" s="9" t="s">
        <x:v>284</x:v>
      </x:c>
      <x:c r="V38" s="9"/>
      <x:c r="W38" s="9"/>
      <x:c r="X38" s="9" t="s">
        <x:v>285</x:v>
      </x:c>
      <x:c r="Y38" s="9"/>
      <x:c r="Z38" s="9" t="str">
        <x:v>Wikipédia : https://fr.wikipedia.org/wiki/La_Troisi%C3%A8me_G%C3%A9n%C3%A9ration</x:v>
      </x:c>
      <x:c r="AA38" s="9" t="s">
        <x:v>45</x:v>
      </x:c>
      <x:c r="AB38" s="1" t="s">
        <x:v>286</x:v>
      </x:c>
      <x:c r="AC38" s="7" t="str">
        <x: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x:f>
        <x:v>pers-harry-baer; pers-margit-carstensen; pers-peer-raben; pers-hanna-schygulla; pers-volker-spengler</x:v>
      </x:c>
      <x:c r="AD38" s="7" t="str">
        <x: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pers-harry-baer; pers-juliane-lorenz; pers-peer-raben</x:v>
      </x:c>
    </x:row>
    <x:row r="39" ht="30">
      <x:c r="A39" s="9" t="s">
        <x:v>287</x:v>
      </x:c>
      <x:c r="B39" s="9" t="s">
        <x:v>288</x:v>
      </x:c>
      <x:c r="C39" s="9" t="s">
        <x:v>288</x:v>
      </x:c>
      <x:c r="D39" s="10">
        <x:v>1980</x:v>
      </x:c>
      <x:c r="E39" s="9" t="s">
        <x:v>102</x:v>
      </x:c>
      <x:c r="F39" s="10" t="n">
        <x:v>894</x:v>
      </x:c>
      <x:c r="G39" s="9" t="s">
        <x:v>33</x:v>
      </x:c>
      <x:c r="H39" s="9" t="s">
        <x:v>34</x:v>
      </x:c>
      <x:c r="I39" s="9" t="str">
        <x:v>Rainer Werner Fassbinder, d’après le roman d’Alfred Döblin</x:v>
      </x:c>
      <x:c r="J39" s="9" t="str">
        <x:v>Xaver Schwarzenberger</x:v>
      </x:c>
      <x:c r="K39" s="9" t="str">
        <x:v>Juliane Lorenz</x:v>
      </x:c>
      <x:c r="L39" s="9"/>
      <x:c r="M39" s="9" t="str">
        <x:v>Peer Raben</x:v>
      </x:c>
      <x:c r="N39" s="9" t="str">
        <x:v>Peter Märthesheimer ; Günter Rohrbach ; Gunther Witte</x:v>
      </x:c>
      <x:c r="O39" s="9" t="str">
        <x:v>Günter Lamprecht : Franz Biberkopf
Karlheinz Braun : l’avocat Löwenhund
Hanna Schygulla : Eva
Claus Holm : le patron de bar
Franz Buchrieser : Gottfried Meck
Brigitte Mira : Mme Bast
Roger Fritz : Herbert
Gottfried John : Reinhold Hoffmann
Barbara Sukowa : Mieze
Ivan Desny : Pums
Axel Bauer : Dreske
Udo Kier : le jeune homme au bar
Rainer Werner Fassbinder : le narrateur
Margit Carstensen : la secrétaire
Elisabeth Trissenaar : Lina
Volker Spengler : Bruno
Vitus Zeplichal : Rudi
Barbara Valentin : Ida</x:v>
      </x:c>
      <x:c r="P39" s="9" t="str">
        <x:v>Adaptation : d’après le roman d’Alfred Döblin
Format : couleur, 1,33:1, mono
Genre : drame
14 épisodes
Première diffusion : 1980</x:v>
      </x:c>
      <x:c r="Q39" s="9" t="str">
        <x:v>À la fin des Années folles, Franz Biberkopf sort de prison décidé à mener une vie honnête. Il se trouve néanmoins entraîné malgré lui dans l’univers criminel de Berlin.</x:v>
      </x:c>
      <x:c r="R39" s="9"/>
      <x:c r="S39" s="9"/>
      <x:c r="T39" s="9"/>
      <x:c r="U39" s="9" t="s">
        <x:v>289</x:v>
      </x:c>
      <x:c r="V39" s="9"/>
      <x:c r="W39" s="9"/>
      <x:c r="X39" s="9" t="s">
        <x:v>290</x:v>
      </x:c>
      <x:c r="Y39" s="9"/>
      <x:c r="Z39" s="9" t="str">
        <x:v>RWF_Notes sur les films.docx</x:v>
      </x:c>
      <x:c r="AA39" s="9" t="str">
        <x:v>En cours</x:v>
      </x:c>
      <x:c r="AB39" s="1" t="s">
        <x:v>291</x:v>
      </x:c>
      <x:c r="AC39" s="7" t="str">
        <x: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x:f>
        <x:v>pers-margit-carstensen; pers-gottfried-john; pers-brigitte-mira; pers-hanna-schygulla; pers-barbara-valentin; pers-volker-spengler</x:v>
      </x:c>
      <x:c r="AD39" s="7" t="str">
        <x: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pers-juliane-lorenz; pers-peer-raben</x:v>
      </x:c>
    </x:row>
    <x:row r="40" ht="30">
      <x:c r="A40" s="9" t="s">
        <x:v>292</x:v>
      </x:c>
      <x:c r="B40" s="9" t="s">
        <x:v>293</x:v>
      </x:c>
      <x:c r="C40" s="9" t="s">
        <x:v>293</x:v>
      </x:c>
      <x:c r="D40" s="10">
        <x:v>1981</x:v>
      </x:c>
      <x:c r="E40" s="9" t="s">
        <x:v>42</x:v>
      </x:c>
      <x:c r="F40" s="10" t="n">
        <x:v>115</x:v>
      </x:c>
      <x:c r="G40" s="9" t="s">
        <x:v>33</x:v>
      </x:c>
      <x:c r="H40" s="9" t="s">
        <x:v>34</x:v>
      </x:c>
      <x:c r="I40" s="9" t="str">
        <x:v>Manfred Purzer ; Rainer Werner Fassbinder ; Joshua Sinclair</x:v>
      </x:c>
      <x:c r="J40" s="9" t="str">
        <x:v>Xaver Schwarzenberger ; Michael Ballhaus</x:v>
      </x:c>
      <x:c r="K40" s="9" t="str">
        <x:v>Rainer Werner Fassbinder ; Juliane Lorenz</x:v>
      </x:c>
      <x:c r="L40" s="9"/>
      <x:c r="M40" s="9" t="str">
        <x:v>Peer Raben</x:v>
      </x:c>
      <x:c r="N40" s="9" t="str">
        <x:v>Luggi Waldleitner ; Enzo Peri ; Bayerischer Rundfunk ; CIP Filmproduktion ; Rialto Film ; Roxy Films</x:v>
      </x:c>
      <x:c r="O40" s="9" t="str">
        <x:v>Hanna Schygulla : Willie
Giancarlo Giannini : Robert Mendelsson
Mel Ferrer : David Mendelsson
Karl-Heinz von Hassel : Henkel
Erik Schumann : von Strehlow
Hark Bohm : Heinz Taschner
Gottfried John : Aaron
Brigitte Mira : une voisine
Peter Chatel : un SA
Willy Harlander : Theo Prosel
Karin Baal : Anna Lederer
Christine Kaufmann : Miriam
Udo Kier : Drewitz
Roger Fritz : Kauffmann
Adrian Hoven : Ginsberg
Barbara Valentin : Eva
Helen Vita : Grete
Elisabeth Volkmann : Marika
Lilo Pempeit : Tamara
Rudolf Lenz : Dr Glaubrecht
Irm Hermann : l’infirmière
Harry Baer : Norbert Schultze
Alexander Allerson : Goedecke
Rainer Werner Fassbinder : Günther Weisenborn (non crédité)</x:v>
      </x:c>
      <x:c r="P40" s="9" t="str">
        <x:v>Costumes : Barbara Baum
Langue : allemand
Format : couleur, 35 mm, 1,66:1
Genre : drame
Sortie France : 15 avril 1981</x:v>
      </x:c>
      <x:c r="Q40" s="9" t="str">
        <x:v>À Zurich en 1938, Willie, chanteuse allemande, aime Robert Mendelsson, musicien juif suisse engagé dans une organisation qui aide des Juifs à fuir l’Allemagne nazie. Séparés par les événements, Robert poursuit la lutte clandestine tandis que Willie devient une vedette du Reich grâce à la chanson « Lili Marleen », sans renoncer à aider Robert et sa famille.</x:v>
      </x:c>
      <x:c r="R40" s="9"/>
      <x:c r="S40" s="9"/>
      <x:c r="T40" s="9"/>
      <x:c r="U40" s="9" t="s">
        <x:v>294</x:v>
      </x:c>
      <x:c r="V40" s="9"/>
      <x:c r="W40" s="9"/>
      <x:c r="X40" s="9" t="s">
        <x:v>295</x:v>
      </x:c>
      <x:c r="Y40" s="9"/>
      <x:c r="Z40" s="9" t="str">
        <x:v>Wikipédia : https://fr.wikipedia.org/wiki/Lili_Marleen_(film)</x:v>
      </x:c>
      <x:c r="AA40" s="9" t="s">
        <x:v>45</x:v>
      </x:c>
      <x:c r="AB40" s="1" t="s">
        <x:v>296</x:v>
      </x:c>
      <x:c r="AC40" s="7" t="str">
        <x: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x:f>
        <x:v>pers-harry-baer; pers-peter-chatel; pers-lilo-pempeit; pers-gottfried-john; pers-irm-hermann; pers-brigitte-mira; pers-hanna-schygulla; pers-barbara-valentin</x:v>
      </x:c>
      <x:c r="AD40" s="7" t="str">
        <x: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pers-michael-ballhaus; pers-juliane-lorenz; pers-peer-raben</x:v>
      </x:c>
    </x:row>
    <x:row r="41" ht="30">
      <x:c r="A41" s="9" t="s">
        <x:v>297</x:v>
      </x:c>
      <x:c r="B41" s="9" t="s">
        <x:v>298</x:v>
      </x:c>
      <x:c r="C41" s="9" t="str">
        <x:v>Theater in Trance</x:v>
      </x:c>
      <x:c r="D41" s="10">
        <x:v>1981</x:v>
      </x:c>
      <x:c r="E41" s="9" t="s">
        <x:v>299</x:v>
      </x:c>
      <x:c r="F41" s="10" t="n">
        <x:v>91</x:v>
      </x:c>
      <x:c r="G41" s="9" t="s">
        <x:v>33</x:v>
      </x:c>
      <x:c r="H41" s="9" t="s">
        <x:v>34</x:v>
      </x:c>
      <x:c r="I41" s="9" t="str">
        <x:v>Rainer Werner Fassbinder</x:v>
      </x:c>
      <x:c r="J41" s="9"/>
      <x:c r="K41" s="9"/>
      <x:c r="L41" s="9"/>
      <x:c r="M41" s="9"/>
      <x:c r="N41" s="9" t="str">
        <x:v>Laura Film</x:v>
      </x:c>
      <x:c r="O41" s="9"/>
      <x:c r="P41" s="9" t="str">
        <x:v>Format : couleur, mono
Genre : documentaire
Sortie : 1981</x:v>
      </x:c>
      <x:c r="Q41" s="9" t="str">
        <x:v>Le documentaire visite le festival « Theater der Welt » organisé à Cologne en 1981, auquel trente groupes participent avec plus de cent représentations.</x:v>
      </x:c>
      <x:c r="R41" s="9"/>
      <x:c r="S41" s="9"/>
      <x:c r="T41" s="9"/>
      <x:c r="U41" s="9"/>
      <x:c r="V41" s="9"/>
      <x:c r="W41" s="9"/>
      <x:c r="X41" s="9" t="s">
        <x:v>295</x:v>
      </x:c>
      <x:c r="Y41" s="9"/>
      <x:c r="Z41" s="9" t="str">
        <x:v>Wikipédia : https://fr.wikipedia.org/wiki/Th%C3%A9%C3%A2tre_en_transe</x:v>
      </x:c>
      <x:c r="AA41" s="9" t="s">
        <x:v>45</x:v>
      </x:c>
      <x:c r="AB41" s="1" t="s">
        <x:v>300</x:v>
      </x:c>
      <x:c r="AC41" s="7" t="str">
        <x: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x:f>
      </x:c>
      <x:c r="AD41" s="7" t="str">
        <x: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42" ht="30">
      <x:c r="A42" s="9" t="s">
        <x:v>301</x:v>
      </x:c>
      <x:c r="B42" s="9" t="s">
        <x:v>302</x:v>
      </x:c>
      <x:c r="C42" s="9" t="str">
        <x:v>Lola</x:v>
      </x:c>
      <x:c r="D42" s="10">
        <x:v>1981</x:v>
      </x:c>
      <x:c r="E42" s="9" t="s">
        <x:v>42</x:v>
      </x:c>
      <x:c r="F42" s="10" t="n">
        <x:v>113</x:v>
      </x:c>
      <x:c r="G42" s="9" t="s">
        <x:v>33</x:v>
      </x:c>
      <x:c r="H42" s="9" t="s">
        <x:v>34</x:v>
      </x:c>
      <x:c r="I42" s="9" t="str">
        <x:v>Rainer Werner Fassbinder ; Peter Märthesheimer ; Pea Fröhlich</x:v>
      </x:c>
      <x:c r="J42" s="9" t="str">
        <x:v>Xaver Schwarzenberger</x:v>
      </x:c>
      <x:c r="K42" s="9" t="str">
        <x:v>Rainer Werner Fassbinder ; Juliane Lorenz</x:v>
      </x:c>
      <x:c r="L42" s="9"/>
      <x:c r="M42" s="9" t="str">
        <x:v>Freddy Quinn ; Peer Raben</x:v>
      </x:c>
      <x:c r="N42" s="9" t="str">
        <x:v>Hanns Eckelkamp ; Rainer Werner Fassbinder ; Horst Wendlandt ; Rialto Film ; Trio Film</x:v>
      </x:c>
      <x:c r="O42" s="9" t="str">
        <x:v>Barbara Sukowa : Marie-Luise, dite Lola
Armin Mueller-Stahl : von Bohm
Mario Adorf : Schukert
Matthias Fuchs : Esslin
Karin Baal : Mme Kummer
Helga Feddersen : Mme Hettich
Hark Bohm : Volker
Ivan Desny : Wittich
Karl-Heinz von Hassel : Timmerding
Elisabeth Volkmann : Gigi
Christine Kaufmann : Susi
Rosel Zech : l’épouse de Schukert
Isolde Barth : l’épouse de Volker
Sonja Neudorfer : Mme Fink
Günther Kaufmann : le G.I.
Udo Kier : le serveur (non crédité)</x:v>
      </x:c>
      <x:c r="P42" s="9" t="str">
        <x:v>Format : couleur, 1,66:1, mono
Genre : drame, romance
Sortie : 1981</x:v>
      </x:c>
      <x:c r="Q42" s="9" t="str">
        <x:v>À la fin des années 1950, l’urbaniste von Bohm affronte les notables d’une petite ville bavaroise, enrichis par la reconstruction et menés par l’entrepreneur Schukert. Il tombe amoureux de Marie-Luise sans savoir qu’elle est Lola, la prostituée la plus célèbre de la ville et la protégée de Schukert.</x:v>
      </x:c>
      <x:c r="R42" s="9"/>
      <x:c r="S42" s="9"/>
      <x:c r="T42" s="9"/>
      <x:c r="U42" s="9" t="s">
        <x:v>303</x:v>
      </x:c>
      <x:c r="V42" s="9"/>
      <x:c r="W42" s="9"/>
      <x:c r="X42" s="9" t="s">
        <x:v>295</x:v>
      </x:c>
      <x:c r="Y42" s="9"/>
      <x:c r="Z42" s="9" t="str">
        <x:v>Wikipédia : https://fr.wikipedia.org/wiki/Lola%2C_une_femme_allemande</x:v>
      </x:c>
      <x:c r="AA42" s="9" t="s">
        <x:v>45</x:v>
      </x:c>
      <x:c r="AB42" s="1" t="s">
        <x:v>304</x:v>
      </x:c>
      <x:c r="AC42" s="7" t="str">
        <x:f>IF(O42="","",_xlfn.TEXTJOIN("; ",TRUE,IF(ISNUMBER(SEARCH('Référentiel entourage'!$B$2,O42)),'Référentiel entourage'!$A$2,""),IF(ISNUMBER(SEARCH('Référentiel entourage'!$B$3,O42)),'Référentiel entourage'!$A$3,""),IF(ISNUMBER(SEARCH('Référentiel entourage'!$B$4,O42)),'Référentiel entourage'!$A$4,""),IF(ISNUMBER(SEARCH('Référentiel entourage'!$B$5,O42)),'Référentiel entourage'!$A$5,""),IF(ISNUMBER(SEARCH('Référentiel entourage'!$B$6,O42)),'Référentiel entourage'!$A$6,""),IF(ISNUMBER(SEARCH('Référentiel entourage'!$B$7,O42)),'Référentiel entourage'!$A$7,""),IF(ISNUMBER(SEARCH('Référentiel entourage'!$B$8,O42)),'Référentiel entourage'!$A$8,""),IF(ISNUMBER(SEARCH('Référentiel entourage'!$B$9,O42)),'Référentiel entourage'!$A$9,""),IF(ISNUMBER(SEARCH('Référentiel entourage'!$B$10,O42)),'Référentiel entourage'!$A$10,""),IF(ISNUMBER(SEARCH('Référentiel entourage'!$B$11,O42)),'Référentiel entourage'!$A$11,""),IF(ISNUMBER(SEARCH('Référentiel entourage'!$B$12,O42)),'Référentiel entourage'!$A$12,""),IF(ISNUMBER(SEARCH('Référentiel entourage'!$B$13,O42)),'Référentiel entourage'!$A$13,""),IF(ISNUMBER(SEARCH('Référentiel entourage'!$B$14,O42)),'Référentiel entourage'!$A$14,""),IF(ISNUMBER(SEARCH('Référentiel entourage'!$B$15,O42)),'Référentiel entourage'!$A$15,""),IF(ISNUMBER(SEARCH('Référentiel entourage'!$B$16,O42)),'Référentiel entourage'!$A$16,""),IF(ISNUMBER(SEARCH('Référentiel entourage'!$B$17,O42)),'Référentiel entourage'!$A$17,""),IF(ISNUMBER(SEARCH('Référentiel entourage'!$B$18,O42)),'Référentiel entourage'!$A$18,""),IF(ISNUMBER(SEARCH('Référentiel entourage'!$B$19,O42)),'Référentiel entourage'!$A$19,""),IF(ISNUMBER(SEARCH('Référentiel entourage'!$B$20,O42)),'Référentiel entourage'!$A$20,""),IF(ISNUMBER(SEARCH('Référentiel entourage'!$B$21,O42)),'Référentiel entourage'!$A$21,""),IF(ISNUMBER(SEARCH('Référentiel entourage'!$B$22,O42)),'Référentiel entourage'!$A$22,""),IF(ISNUMBER(SEARCH('Référentiel entourage'!$B$23,O42)),'Référentiel entourage'!$A$23,""),IF(ISNUMBER(SEARCH('Référentiel entourage'!$B$24,O42)),'Référentiel entourage'!$A$24,"")))</x:f>
        <x:v>pers-gunther-kaufmann</x:v>
      </x:c>
      <x:c r="AD42" s="7" t="str">
        <x:f>_xlfn.LET(_xlpm.texte,_xlfn.TEXTJOIN(" | ",TRUE,H42:N42,P42),IF(_xlpm.texte="","",_xlfn.TEXTJOIN(";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pers-juliane-lorenz; pers-peer-raben</x:v>
      </x:c>
    </x:row>
    <x:row r="43" ht="30">
      <x:c r="A43" s="9" t="s">
        <x:v>305</x:v>
      </x:c>
      <x:c r="B43" s="9" t="s">
        <x:v>306</x:v>
      </x:c>
      <x:c r="C43" s="9" t="s">
        <x:v>307</x:v>
      </x:c>
      <x:c r="D43" s="10">
        <x:v>1981</x:v>
      </x:c>
      <x:c r="E43" s="9" t="s">
        <x:v>42</x:v>
      </x:c>
      <x:c r="F43" s="10"/>
      <x:c r="G43" s="9" t="s">
        <x:v>33</x:v>
      </x:c>
      <x:c r="H43" s="9" t="s">
        <x:v>34</x:v>
      </x:c>
      <x:c r="I43" s="9"/>
      <x:c r="J43" s="9"/>
      <x:c r="K43" s="9"/>
      <x:c r="L43" s="9"/>
      <x:c r="M43" s="9"/>
      <x:c r="N43" s="9"/>
      <x:c r="O43" s="9" t="str">
        <x:v>Rosel Zech : Veronika Voss
Hilmar Thate : Robert Krohn
Cornelia Froboess : Henriette
Anne-Marie Düringer : Dr Katz
Armin Mueller-Stahl : Max Rehbein
Peter Berling : le producteur
Volker Spengler : le premier metteur en scène
Peter Zadek : le deuxième metteur en scène
Doris Schade : Josefa
Erik Schumann : Dr Edel
Günther Kaufmann : le G.I. / le dealer
Johanna Hofer : la femme du vieux couple
Rudolf Platte : l’homme du vieux couple
Lilo Pempeit : Chehm
Elisabeth Volkmann : Grete
Karl-Heinz von Hassel : le médecin de l’asile (non crédité)</x:v>
      </x:c>
      <x:c r="P43" s="9"/>
      <x:c r="Q43" s="9" t="str">
        <x:v>Veronika Voss, ancienne vedette du cinéma sous le nazisme, dépend des calmants administrés par la mystérieuse docteure Katz, qui exige de ses patients un testament en sa faveur. Le journaliste Robert Krohn tente de l’aider à échapper à cette emprise.</x:v>
      </x:c>
      <x:c r="R43" s="9"/>
      <x:c r="S43" s="9"/>
      <x:c r="T43" s="9"/>
      <x:c r="U43" s="9" t="s">
        <x:v>308</x:v>
      </x:c>
      <x:c r="V43" s="9"/>
      <x:c r="W43" s="9"/>
      <x:c r="X43" s="9" t="s">
        <x:v>295</x:v>
      </x:c>
      <x:c r="Y43" s="9"/>
      <x:c r="Z43" s="9" t="str">
        <x:v>Wikipédia : https://fr.wikipedia.org/wiki/Le_Secret_de_Veronika_Voss</x:v>
      </x:c>
      <x:c r="AA43" s="9" t="s">
        <x:v>45</x:v>
      </x:c>
      <x:c r="AB43" s="1" t="s">
        <x:v>309</x:v>
      </x:c>
      <x:c r="AC43" s="7" t="str">
        <x:f>IF(O43="","",_xlfn.TEXTJOIN("; ",TRUE,IF(ISNUMBER(SEARCH('Référentiel entourage'!$B$2,O43)),'Référentiel entourage'!$A$2,""),IF(ISNUMBER(SEARCH('Référentiel entourage'!$B$3,O43)),'Référentiel entourage'!$A$3,""),IF(ISNUMBER(SEARCH('Référentiel entourage'!$B$4,O43)),'Référentiel entourage'!$A$4,""),IF(ISNUMBER(SEARCH('Référentiel entourage'!$B$5,O43)),'Référentiel entourage'!$A$5,""),IF(ISNUMBER(SEARCH('Référentiel entourage'!$B$6,O43)),'Référentiel entourage'!$A$6,""),IF(ISNUMBER(SEARCH('Référentiel entourage'!$B$7,O43)),'Référentiel entourage'!$A$7,""),IF(ISNUMBER(SEARCH('Référentiel entourage'!$B$8,O43)),'Référentiel entourage'!$A$8,""),IF(ISNUMBER(SEARCH('Référentiel entourage'!$B$9,O43)),'Référentiel entourage'!$A$9,""),IF(ISNUMBER(SEARCH('Référentiel entourage'!$B$10,O43)),'Référentiel entourage'!$A$10,""),IF(ISNUMBER(SEARCH('Référentiel entourage'!$B$11,O43)),'Référentiel entourage'!$A$11,""),IF(ISNUMBER(SEARCH('Référentiel entourage'!$B$12,O43)),'Référentiel entourage'!$A$12,""),IF(ISNUMBER(SEARCH('Référentiel entourage'!$B$13,O43)),'Référentiel entourage'!$A$13,""),IF(ISNUMBER(SEARCH('Référentiel entourage'!$B$14,O43)),'Référentiel entourage'!$A$14,""),IF(ISNUMBER(SEARCH('Référentiel entourage'!$B$15,O43)),'Référentiel entourage'!$A$15,""),IF(ISNUMBER(SEARCH('Référentiel entourage'!$B$16,O43)),'Référentiel entourage'!$A$16,""),IF(ISNUMBER(SEARCH('Référentiel entourage'!$B$17,O43)),'Référentiel entourage'!$A$17,""),IF(ISNUMBER(SEARCH('Référentiel entourage'!$B$18,O43)),'Référentiel entourage'!$A$18,""),IF(ISNUMBER(SEARCH('Référentiel entourage'!$B$19,O43)),'Référentiel entourage'!$A$19,""),IF(ISNUMBER(SEARCH('Référentiel entourage'!$B$20,O43)),'Référentiel entourage'!$A$20,""),IF(ISNUMBER(SEARCH('Référentiel entourage'!$B$21,O43)),'Référentiel entourage'!$A$21,""),IF(ISNUMBER(SEARCH('Référentiel entourage'!$B$22,O43)),'Référentiel entourage'!$A$22,""),IF(ISNUMBER(SEARCH('Référentiel entourage'!$B$23,O43)),'Référentiel entourage'!$A$23,""),IF(ISNUMBER(SEARCH('Référentiel entourage'!$B$24,O43)),'Référentiel entourage'!$A$24,"")))</x:f>
        <x:v>pers-lilo-pempeit; pers-gunther-kaufmann; pers-volker-spengler</x:v>
      </x:c>
      <x:c r="AD43" s="7" t="str">
        <x:f>_xlfn.LET(_xlpm.texte,_xlfn.TEXTJOIN(" | ",TRUE,H43:N43,P43),IF(_xlpm.texte="","",_xlfn.TEXTJOIN(";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c>
    </x:row>
    <x:row r="44" ht="15">
      <x:c r="A44" s="9" t="s">
        <x:v>310</x:v>
      </x:c>
      <x:c r="B44" s="9" t="s">
        <x:v>311</x:v>
      </x:c>
      <x:c r="C44" s="9" t="s">
        <x:v>311</x:v>
      </x:c>
      <x:c r="D44" s="10">
        <x:v>1982</x:v>
      </x:c>
      <x:c r="E44" s="9" t="s">
        <x:v>42</x:v>
      </x:c>
      <x:c r="F44" s="10" t="n">
        <x:v>107</x:v>
      </x:c>
      <x:c r="G44" s="9" t="s">
        <x:v>224</x:v>
      </x:c>
      <x:c r="H44" s="9" t="s">
        <x:v>34</x:v>
      </x:c>
      <x:c r="I44" s="9" t="str">
        <x:v>Rainer Werner Fassbinder ; Burkhard Driest ; Kurt Raab, d’après Querelle de Brest de Jean Genet</x:v>
      </x:c>
      <x:c r="J44" s="9" t="str">
        <x:v>Xaver Schwarzenberger</x:v>
      </x:c>
      <x:c r="K44" s="9" t="str">
        <x:v>Rainer Werner Fassbinder ; Juliane Lorenz</x:v>
      </x:c>
      <x:c r="L44" s="9" t="str">
        <x:v>Walter E. Richarz</x:v>
      </x:c>
      <x:c r="M44" s="9" t="str">
        <x:v>Peer Raben</x:v>
      </x:c>
      <x:c r="N44" s="9" t="str">
        <x:v>Dieter Schidor ; Sam Waynberg ; Michael Fengler ; Daniel Toscan du Plantier ; Planet-Film ; Albatros Filmproduktion ; Gaumont</x:v>
      </x:c>
      <x:c r="O44" s="9" t="str">
        <x:v>Brad Davis : Querelle
Franco Nero : le lieutenant Seblon
Jeanne Moreau : Lysiane
Günther Kaufmann : Nono
Hanno Pöschl : Robert / Gil
Laurent Malet : Roger Bataille
Burkhard Driest : Mario
Roger Fritz : Marcellin
Dieter Schidor : Vic Rivette
Natja Brunckhorst : Paulette
Karl-Heinz von Hassel : un ouvrier
Robert van Ackeren : le légionnaire saoul
Neil Bell : Théo
Werner Asam : un ouvrier
Axel Bauer : un ouvrier
Isolde Barth : une fille
Vitus Zeplichal : un ouvrier
Frank Ripploh : un légionnaire ivre</x:v>
      </x:c>
      <x:c r="P44" s="9" t="str">
        <x:v>Direction artistique : Rolf Zehetbauer
Costumes : Barbara Baum ; Monika Jacobs ; Eva Fleischmann ; Kurt Schönwälder
Langue : anglais
Format : Fujicolor, 35 mm, 2,35:1, Dolby Stéréo
Genre : drame expérimental
Sortie RFA : 26 août 1982 ; sortie France : 8 septembre 1982</x:v>
      </x:c>
      <x:c r="Q44" s="9" t="str">
        <x:v>Le marin Querelle débarque à Brest, où sa beauté attire son supérieur, le lieutenant Seblon. Il fréquente la Feria, tenue par Lysiane et son mari Nono, et s’engage dans un réseau de désir, de violence et de crime qui le lie notamment à son frère Robert, au jeune assassin Gil et à un trafic d’opium.</x:v>
      </x:c>
      <x:c r="R44" s="9"/>
      <x:c r="S44" s="9"/>
      <x:c r="T44" s="9"/>
      <x:c r="U44" s="9" t="s">
        <x:v>312</x:v>
      </x:c>
      <x:c r="V44" s="9"/>
      <x:c r="W44" s="9"/>
      <x:c r="X44" s="9" t="s">
        <x:v>313</x:v>
      </x:c>
      <x:c r="Y44" s="9"/>
      <x:c r="Z44" s="9" t="str">
        <x:v>Wikipédia : https://fr.wikipedia.org/wiki/Querelle_(film)</x:v>
      </x:c>
      <x:c r="AA44" s="9" t="s">
        <x:v>45</x:v>
      </x:c>
      <x:c r="AB44" s="1" t="s">
        <x:v>314</x:v>
      </x:c>
      <x:c r="AC44" s="7" t="str">
        <x:f>IF(O44="","",_xlfn.TEXTJOIN("; ",TRUE,IF(ISNUMBER(SEARCH('Référentiel entourage'!$B$2,O44)),'Référentiel entourage'!$A$2,""),IF(ISNUMBER(SEARCH('Référentiel entourage'!$B$3,O44)),'Référentiel entourage'!$A$3,""),IF(ISNUMBER(SEARCH('Référentiel entourage'!$B$4,O44)),'Référentiel entourage'!$A$4,""),IF(ISNUMBER(SEARCH('Référentiel entourage'!$B$5,O44)),'Référentiel entourage'!$A$5,""),IF(ISNUMBER(SEARCH('Référentiel entourage'!$B$6,O44)),'Référentiel entourage'!$A$6,""),IF(ISNUMBER(SEARCH('Référentiel entourage'!$B$7,O44)),'Référentiel entourage'!$A$7,""),IF(ISNUMBER(SEARCH('Référentiel entourage'!$B$8,O44)),'Référentiel entourage'!$A$8,""),IF(ISNUMBER(SEARCH('Référentiel entourage'!$B$9,O44)),'Référentiel entourage'!$A$9,""),IF(ISNUMBER(SEARCH('Référentiel entourage'!$B$10,O44)),'Référentiel entourage'!$A$10,""),IF(ISNUMBER(SEARCH('Référentiel entourage'!$B$11,O44)),'Référentiel entourage'!$A$11,""),IF(ISNUMBER(SEARCH('Référentiel entourage'!$B$12,O44)),'Référentiel entourage'!$A$12,""),IF(ISNUMBER(SEARCH('Référentiel entourage'!$B$13,O44)),'Référentiel entourage'!$A$13,""),IF(ISNUMBER(SEARCH('Référentiel entourage'!$B$14,O44)),'Référentiel entourage'!$A$14,""),IF(ISNUMBER(SEARCH('Référentiel entourage'!$B$15,O44)),'Référentiel entourage'!$A$15,""),IF(ISNUMBER(SEARCH('Référentiel entourage'!$B$16,O44)),'Référentiel entourage'!$A$16,""),IF(ISNUMBER(SEARCH('Référentiel entourage'!$B$17,O44)),'Référentiel entourage'!$A$17,""),IF(ISNUMBER(SEARCH('Référentiel entourage'!$B$18,O44)),'Référentiel entourage'!$A$18,""),IF(ISNUMBER(SEARCH('Référentiel entourage'!$B$19,O44)),'Référentiel entourage'!$A$19,""),IF(ISNUMBER(SEARCH('Référentiel entourage'!$B$20,O44)),'Référentiel entourage'!$A$20,""),IF(ISNUMBER(SEARCH('Référentiel entourage'!$B$21,O44)),'Référentiel entourage'!$A$21,""),IF(ISNUMBER(SEARCH('Référentiel entourage'!$B$22,O44)),'Référentiel entourage'!$A$22,""),IF(ISNUMBER(SEARCH('Référentiel entourage'!$B$23,O44)),'Référentiel entourage'!$A$23,""),IF(ISNUMBER(SEARCH('Référentiel entourage'!$B$24,O44)),'Référentiel entourage'!$A$24,"")))</x:f>
        <x:v>pers-gunther-kaufmann</x:v>
      </x:c>
      <x:c r="AD44" s="7" t="str">
        <x:f>_xlfn.LET(_xlpm.texte,_xlfn.TEXTJOIN(" | ",TRUE,H44:N44,P44),IF(_xlpm.texte="","",_xlfn.TEXTJOIN(";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x:f>
        <x:v>pers-juliane-lorenz; pers-kurt-raab; pers-peer-raben</x:v>
      </x:c>
    </x:row>
  </x:sheetData>
  <x:conditionalFormatting sqref="A4:T21 V4:AA21">
    <x:cfRule type="expression" dxfId="1" priority="3">
      <x:formula>MOD(ROW(),2)=0</x:formula>
    </x:cfRule>
  </x:conditionalFormatting>
  <x:conditionalFormatting sqref="H2:H3">
    <x:cfRule type="expression" dxfId="0" priority="1">
      <x:formula>MOD(ROW(),2)=0</x:formula>
    </x:cfRule>
  </x:conditionalFormatting>
  <x:dataValidations count="1">
    <x:dataValidation type="list" sqref="AA4:AA21">
      <x:formula1>"À compléter,Partiellement documenté,Documenté,Validé"</x:formula1>
    </x:dataValidation>
  </x:dataValidations>
  <x:pageMargins left="0.7" right="0.7" top="0.75" bottom="0.75" header="0.3" footer="0.3"/>
  <x:tableParts count="1">
    <x:tablePart xmlns:r="http://schemas.openxmlformats.org/officeDocument/2006/relationships" r:id="R2b8de15d59f44232"/>
  </x:tableParts>
</x:worksheet>
</file>

<file path=xl/worksheets/sheet2.xml><?xml version="1.0" encoding="utf-8"?>
<x:worksheet xmlns:x="http://schemas.openxmlformats.org/spreadsheetml/2006/main">
  <x:sheetFormatPr baseColWidth="10" defaultColWidth="8.83203125" defaultRowHeight="14"/>
  <x:cols>
    <x:col min="1" max="2" width="22" customWidth="1"/>
  </x:cols>
  <x:sheetData>
    <x:row r="1" ht="15">
      <x:c r="A1" s="2" t="s">
        <x:v>315</x:v>
      </x:c>
      <x:c r="B1" s="2" t="s">
        <x:v>316</x:v>
      </x:c>
    </x:row>
    <x:row r="2">
      <x:c r="A2" t="s">
        <x:v>42</x:v>
      </x:c>
      <x:c r="B2" t="s">
        <x:v>45</x:v>
      </x:c>
    </x:row>
    <x:row r="3">
      <x:c r="A3" t="s">
        <x:v>317</x:v>
      </x:c>
      <x:c r="B3" t="s">
        <x:v>318</x:v>
      </x:c>
    </x:row>
    <x:row r="4">
      <x:c r="A4" t="s">
        <x:v>68</x:v>
      </x:c>
      <x:c r="B4" t="s">
        <x:v>319</x:v>
      </x:c>
    </x:row>
    <x:row r="5">
      <x:c r="A5" t="s">
        <x:v>102</x:v>
      </x:c>
      <x:c r="B5" t="s">
        <x:v>320</x:v>
      </x:c>
    </x:row>
    <x:row r="6">
      <x:c r="A6" t="s">
        <x:v>321</x:v>
      </x:c>
    </x:row>
    <x:row r="7">
      <x:c r="A7" t="s">
        <x:v>322</x:v>
      </x:c>
    </x:row>
    <x:row r="8">
      <x:c r="A8" t="s">
        <x:v>323</x:v>
      </x:c>
    </x:row>
  </x:sheetData>
  <x:pageMargins left="0.7" right="0.7" top="0.75" bottom="0.75" header="0.3" footer="0.3"/>
</x:worksheet>
</file>

<file path=xl/worksheets/sheet3.xml><?xml version="1.0" encoding="utf-8"?>
<x:worksheet xmlns:x="http://schemas.openxmlformats.org/spreadsheetml/2006/main">
  <x:sheetFormatPr baseColWidth="10" defaultColWidth="8.83203125" defaultRowHeight="14"/>
  <x:cols>
    <x:col min="1" max="1" width="28" customWidth="1"/>
    <x:col min="2" max="2" width="85" customWidth="1"/>
  </x:cols>
  <x:sheetData>
    <x:row r="1" ht="80.25" customHeight="1">
      <x:c r="A1" s="13" t="s">
        <x:v>324</x:v>
      </x:c>
      <x:c r="B1" s="13"/>
    </x:row>
    <x:row r="2" ht="99.75" customHeight="1">
      <x:c r="A2" s="3" t="s">
        <x:v>325</x:v>
      </x:c>
      <x:c r="B2" s="1" t="s">
        <x:v>326</x:v>
      </x:c>
    </x:row>
    <x:row r="3" ht="99.75" customHeight="1">
      <x:c r="A3" s="3" t="s">
        <x:v>327</x:v>
      </x:c>
      <x:c r="B3" s="1" t="s">
        <x:v>328</x:v>
      </x:c>
    </x:row>
    <x:row r="4" ht="99.75" customHeight="1">
      <x:c r="A4" s="3" t="s">
        <x:v>329</x:v>
      </x:c>
      <x:c r="B4" s="1" t="s">
        <x:v>330</x:v>
      </x:c>
    </x:row>
    <x:row r="5" ht="99.75" customHeight="1">
      <x:c r="A5" s="3" t="s">
        <x:v>17</x:v>
      </x:c>
      <x:c r="B5" s="1" t="s">
        <x:v>331</x:v>
      </x:c>
    </x:row>
    <x:row r="6" ht="99.75" customHeight="1">
      <x:c r="A6" s="3" t="s">
        <x:v>332</x:v>
      </x:c>
      <x:c r="B6" s="1" t="s">
        <x:v>333</x:v>
      </x:c>
    </x:row>
    <x:row r="7" ht="99.75" customHeight="1">
      <x:c r="A7" s="3" t="s">
        <x:v>23</x:v>
      </x:c>
      <x:c r="B7" s="1" t="s">
        <x:v>334</x:v>
      </x:c>
    </x:row>
    <x:row r="8" ht="99.75" customHeight="1">
      <x:c r="A8" s="3" t="s">
        <x:v>14</x:v>
      </x:c>
      <x:c r="B8" s="1" t="s">
        <x:v>335</x:v>
      </x:c>
    </x:row>
    <x:row r="9" ht="99.75" customHeight="1">
      <x:c r="A9" s="3" t="s">
        <x:v>15</x:v>
      </x:c>
      <x:c r="B9" s="1" t="s">
        <x:v>336</x:v>
      </x:c>
    </x:row>
    <x:row r="10" ht="99.75" customHeight="1">
      <x:c r="A10" s="3" t="s">
        <x:v>19</x:v>
      </x:c>
      <x:c r="B10" s="1" t="s">
        <x:v>337</x:v>
      </x:c>
    </x:row>
    <x:row r="11" ht="99.75" customHeight="1">
      <x:c r="A11" s="3" t="s">
        <x:v>0</x:v>
      </x:c>
      <x:c r="B11" s="1" t="s">
        <x:v>338</x:v>
      </x:c>
    </x:row>
    <x:row r="12" ht="99.75" customHeight="1">
      <x:c r="A12" s="3" t="s">
        <x:v>26</x:v>
      </x:c>
      <x:c r="B12" s="1" t="s">
        <x:v>339</x:v>
      </x:c>
    </x:row>
    <x:row r="13" ht="16">
      <x:c r="A13" s="4" t="s">
        <x:v>340</x:v>
      </x:c>
      <x:c r="B13" s="1" t="s">
        <x:v>341</x:v>
      </x:c>
    </x:row>
    <x:row r="14" ht="16">
      <x:c r="A14" s="4" t="s">
        <x:v>342</x:v>
      </x:c>
      <x:c r="B14" s="1" t="s">
        <x:v>343</x:v>
      </x:c>
    </x:row>
    <x:row r="15" ht="53.25" customHeight="1">
      <x:c r="A15" s="8" t="s">
        <x:v>344</x:v>
      </x:c>
      <x:c r="B15" s="1" t="s">
        <x:v>345</x:v>
      </x:c>
    </x:row>
    <x:row r="16" ht="53.25" customHeight="1">
      <x:c r="A16" s="8" t="s">
        <x:v>346</x:v>
      </x:c>
      <x:c r="B16" s="1" t="s">
        <x:v>347</x:v>
      </x:c>
    </x:row>
    <x:row r="17" ht="81.75" customHeight="1">
      <x:c r="A17" s="8" t="s">
        <x:v>14</x:v>
      </x:c>
      <x:c r="B17" s="1" t="s">
        <x:v>348</x:v>
      </x:c>
    </x:row>
    <x:row r="18" ht="81.75" customHeight="1">
      <x:c r="A18" s="8" t="s">
        <x:v>15</x:v>
      </x:c>
      <x:c r="B18" s="1" t="s">
        <x:v>349</x:v>
      </x:c>
    </x:row>
    <x:row r="19" ht="57" customHeight="1">
      <x:c r="A19" s="8" t="s">
        <x:v>350</x:v>
      </x:c>
      <x:c r="B19" s="1" t="s">
        <x:v>351</x:v>
      </x:c>
    </x:row>
  </x:sheetData>
  <x:mergeCells>
    <x:mergeCell ref="A1:B1"/>
  </x:mergeCells>
  <x:pageMargins left="0.7" right="0.7" top="0.75" bottom="0.75" header="0.3" footer="0.3"/>
</x:worksheet>
</file>

<file path=xl/worksheets/sheet4.xml><?xml version="1.0" encoding="utf-8"?>
<x:worksheet xmlns:x="http://schemas.openxmlformats.org/spreadsheetml/2006/main">
  <x:sheetFormatPr baseColWidth="10" defaultColWidth="8.83203125" defaultRowHeight="14"/>
  <x:cols>
    <x:col min="1" max="1" width="26" customWidth="1"/>
    <x:col min="2" max="2" width="24" customWidth="1"/>
    <x:col min="3" max="4" width="18" customWidth="1"/>
    <x:col min="5" max="6" width="20" customWidth="1"/>
    <x:col min="7" max="14" width="34" customWidth="1"/>
  </x:cols>
  <x:sheetData>
    <x:row r="1" ht="15">
      <x:c r="A1" s="1" t="s">
        <x:v>352</x:v>
      </x:c>
      <x:c r="B1" s="1" t="s">
        <x:v>353</x:v>
      </x:c>
      <x:c r="C1" s="1" t="s">
        <x:v>354</x:v>
      </x:c>
      <x:c r="D1" s="1" t="s">
        <x:v>355</x:v>
      </x:c>
      <x:c r="E1" s="1" t="s">
        <x:v>356</x:v>
      </x:c>
      <x:c r="F1" s="1" t="s">
        <x:v>357</x:v>
      </x:c>
      <x:c r="G1" s="1" t="s">
        <x:v>358</x:v>
      </x:c>
      <x:c r="H1" s="1" t="s">
        <x:v>359</x:v>
      </x:c>
      <x:c r="I1" s="1" t="s">
        <x:v>360</x:v>
      </x:c>
      <x:c r="J1" s="1" t="s">
        <x:v>361</x:v>
      </x:c>
      <x:c r="K1" s="1" t="s">
        <x:v>362</x:v>
      </x:c>
      <x:c r="L1" s="1" t="s">
        <x:v>363</x:v>
      </x:c>
      <x:c r="M1" s="1" t="s">
        <x:v>364</x:v>
      </x:c>
      <x:c r="N1" s="1" t="s">
        <x:v>365</x:v>
      </x:c>
    </x:row>
    <x:row r="2" ht="135">
      <x:c r="A2" s="6" t="s">
        <x:v>366</x:v>
      </x:c>
      <x:c r="B2" s="6" t="s">
        <x:v>367</x:v>
      </x:c>
      <x:c r="C2" s="1" t="s">
        <x:v>368</x:v>
      </x:c>
      <x:c r="D2" s="1" t="s">
        <x:v>369</x:v>
      </x:c>
      <x:c r="E2" s="1"/>
      <x:c r="F2" s="1" t="s">
        <x:v>370</x:v>
      </x:c>
      <x:c r="G2" s="1" t="s">
        <x:v>371</x:v>
      </x:c>
      <x:c r="H2" s="1" t="s">
        <x:v>372</x:v>
      </x:c>
      <x:c r="I2" s="1" t="s">
        <x:v>373</x:v>
      </x:c>
      <x:c r="J2" s="1" t="s">
        <x:v>374</x:v>
      </x:c>
      <x:c r="K2" s="1" t="s">
        <x:v>375</x:v>
      </x:c>
      <x:c r="L2" s="1"/>
      <x:c r="M2" s="1" t="s">
        <x:v>376</x:v>
      </x:c>
      <x:c r="N2" s="1" t="s">
        <x:v>377</x:v>
      </x:c>
    </x:row>
    <x:row r="3" ht="180">
      <x:c r="A3" s="6" t="s">
        <x:v>378</x:v>
      </x:c>
      <x:c r="B3" s="6" t="s">
        <x:v>160</x:v>
      </x:c>
      <x:c r="C3" s="1" t="s">
        <x:v>379</x:v>
      </x:c>
      <x:c r="D3" s="1" t="s">
        <x:v>380</x:v>
      </x:c>
      <x:c r="E3" s="1"/>
      <x:c r="F3" s="1" t="s">
        <x:v>381</x:v>
      </x:c>
      <x:c r="G3" s="1" t="s">
        <x:v>382</x:v>
      </x:c>
      <x:c r="H3" s="1" t="s">
        <x:v>383</x:v>
      </x:c>
      <x:c r="I3" s="1" t="s">
        <x:v>384</x:v>
      </x:c>
      <x:c r="J3" s="1" t="s">
        <x:v>385</x:v>
      </x:c>
      <x:c r="K3" s="1" t="s">
        <x:v>386</x:v>
      </x:c>
      <x:c r="L3" s="1"/>
      <x:c r="M3" s="1" t="s">
        <x:v>387</x:v>
      </x:c>
      <x:c r="N3" s="1" t="s">
        <x:v>388</x:v>
      </x:c>
    </x:row>
    <x:row r="4" ht="75">
      <x:c r="A4" s="6" t="s">
        <x:v>389</x:v>
      </x:c>
      <x:c r="B4" s="6" t="s">
        <x:v>390</x:v>
      </x:c>
      <x:c r="C4" s="1" t="s">
        <x:v>391</x:v>
      </x:c>
      <x:c r="D4" s="1" t="s">
        <x:v>392</x:v>
      </x:c>
      <x:c r="E4" s="1"/>
      <x:c r="F4" s="1" t="s">
        <x:v>393</x:v>
      </x:c>
      <x:c r="G4" s="1" t="s">
        <x:v>394</x:v>
      </x:c>
      <x:c r="H4" s="1" t="s">
        <x:v>395</x:v>
      </x:c>
      <x:c r="I4" s="1" t="s">
        <x:v>396</x:v>
      </x:c>
      <x:c r="J4" s="1" t="s">
        <x:v>397</x:v>
      </x:c>
      <x:c r="K4" s="1" t="s">
        <x:v>398</x:v>
      </x:c>
      <x:c r="L4" s="1"/>
      <x:c r="M4" s="1" t="s">
        <x:v>399</x:v>
      </x:c>
      <x:c r="N4" s="1" t="s">
        <x:v>400</x:v>
      </x:c>
    </x:row>
    <x:row r="5" ht="45">
      <x:c r="A5" s="6" t="s">
        <x:v>401</x:v>
      </x:c>
      <x:c r="B5" s="6" t="s">
        <x:v>402</x:v>
      </x:c>
      <x:c r="C5" s="1" t="s">
        <x:v>403</x:v>
      </x:c>
      <x:c r="D5" s="1" t="s">
        <x:v>404</x:v>
      </x:c>
      <x:c r="E5" s="1"/>
      <x:c r="F5" s="1" t="s">
        <x:v>393</x:v>
      </x:c>
      <x:c r="G5" s="1" t="s">
        <x:v>405</x:v>
      </x:c>
      <x:c r="H5" s="1" t="s">
        <x:v>406</x:v>
      </x:c>
      <x:c r="I5" s="1" t="s">
        <x:v>407</x:v>
      </x:c>
      <x:c r="J5" s="1" t="s">
        <x:v>408</x:v>
      </x:c>
      <x:c r="K5" s="1" t="s">
        <x:v>409</x:v>
      </x:c>
      <x:c r="L5" s="1"/>
      <x:c r="M5" s="1" t="s">
        <x:v>410</x:v>
      </x:c>
      <x:c r="N5" s="1" t="s">
        <x:v>411</x:v>
      </x:c>
    </x:row>
    <x:row r="6" ht="90">
      <x:c r="A6" s="6" t="s">
        <x:v>412</x:v>
      </x:c>
      <x:c r="B6" s="6" t="s">
        <x:v>413</x:v>
      </x:c>
      <x:c r="C6" s="1" t="s">
        <x:v>414</x:v>
      </x:c>
      <x:c r="D6" s="1" t="s">
        <x:v>415</x:v>
      </x:c>
      <x:c r="E6" s="1"/>
      <x:c r="F6" s="1" t="s">
        <x:v>416</x:v>
      </x:c>
      <x:c r="G6" s="1" t="s">
        <x:v>417</x:v>
      </x:c>
      <x:c r="H6" s="1" t="s">
        <x:v>418</x:v>
      </x:c>
      <x:c r="I6" s="1" t="s">
        <x:v>419</x:v>
      </x:c>
      <x:c r="J6" s="1" t="s">
        <x:v>420</x:v>
      </x:c>
      <x:c r="K6" s="1" t="s">
        <x:v>421</x:v>
      </x:c>
      <x:c r="L6" s="1"/>
      <x:c r="M6" s="1" t="s">
        <x:v>422</x:v>
      </x:c>
      <x:c r="N6" s="1" t="s">
        <x:v>423</x:v>
      </x:c>
    </x:row>
    <x:row r="7" ht="180">
      <x:c r="A7" s="6" t="s">
        <x:v>424</x:v>
      </x:c>
      <x:c r="B7" s="6" t="s">
        <x:v>425</x:v>
      </x:c>
      <x:c r="C7" s="1" t="s">
        <x:v>426</x:v>
      </x:c>
      <x:c r="D7" s="1" t="s">
        <x:v>427</x:v>
      </x:c>
      <x:c r="E7" s="1"/>
      <x:c r="F7" s="1" t="s">
        <x:v>370</x:v>
      </x:c>
      <x:c r="G7" s="1" t="s">
        <x:v>428</x:v>
      </x:c>
      <x:c r="H7" s="1" t="s">
        <x:v>429</x:v>
      </x:c>
      <x:c r="I7" s="1" t="s">
        <x:v>430</x:v>
      </x:c>
      <x:c r="J7" s="1" t="s">
        <x:v>431</x:v>
      </x:c>
      <x:c r="K7" s="1" t="s">
        <x:v>432</x:v>
      </x:c>
      <x:c r="L7" s="1"/>
      <x:c r="M7" s="1" t="s">
        <x:v>433</x:v>
      </x:c>
      <x:c r="N7" s="1" t="s">
        <x:v>434</x:v>
      </x:c>
    </x:row>
    <x:row r="8" ht="90">
      <x:c r="A8" s="6" t="s">
        <x:v>435</x:v>
      </x:c>
      <x:c r="B8" s="6" t="s">
        <x:v>436</x:v>
      </x:c>
      <x:c r="C8" s="1" t="s">
        <x:v>437</x:v>
      </x:c>
      <x:c r="D8" s="1" t="s">
        <x:v>438</x:v>
      </x:c>
      <x:c r="E8" s="1"/>
      <x:c r="F8" s="1" t="s">
        <x:v>439</x:v>
      </x:c>
      <x:c r="G8" s="1" t="s">
        <x:v>405</x:v>
      </x:c>
      <x:c r="H8" s="1" t="s">
        <x:v>440</x:v>
      </x:c>
      <x:c r="I8" s="1" t="s">
        <x:v>441</x:v>
      </x:c>
      <x:c r="J8" s="1" t="s">
        <x:v>442</x:v>
      </x:c>
      <x:c r="K8" s="1" t="s">
        <x:v>443</x:v>
      </x:c>
      <x:c r="L8" s="1"/>
      <x:c r="M8" s="1" t="s">
        <x:v>444</x:v>
      </x:c>
      <x:c r="N8" s="1" t="s">
        <x:v>445</x:v>
      </x:c>
    </x:row>
    <x:row r="9" ht="195">
      <x:c r="A9" s="6" t="s">
        <x:v>446</x:v>
      </x:c>
      <x:c r="B9" s="6" t="s">
        <x:v>447</x:v>
      </x:c>
      <x:c r="C9" s="1" t="s">
        <x:v>448</x:v>
      </x:c>
      <x:c r="D9" s="1" t="s">
        <x:v>449</x:v>
      </x:c>
      <x:c r="E9" s="1"/>
      <x:c r="F9" s="1"/>
      <x:c r="G9" s="1" t="s">
        <x:v>450</x:v>
      </x:c>
      <x:c r="H9" s="1"/>
      <x:c r="I9" s="1" t="s">
        <x:v>451</x:v>
      </x:c>
      <x:c r="J9" s="1" t="s">
        <x:v>452</x:v>
      </x:c>
      <x:c r="K9" s="1" t="s">
        <x:v>453</x:v>
      </x:c>
      <x:c r="L9" s="1" t="s">
        <x:v>454</x:v>
      </x:c>
      <x:c r="M9" s="1" t="s">
        <x:v>455</x:v>
      </x:c>
      <x:c r="N9" s="1" t="s">
        <x:v>456</x:v>
      </x:c>
    </x:row>
    <x:row r="10" ht="120">
      <x:c r="A10" s="6" t="s">
        <x:v>457</x:v>
      </x:c>
      <x:c r="B10" s="6" t="s">
        <x:v>458</x:v>
      </x:c>
      <x:c r="C10" s="1" t="s">
        <x:v>459</x:v>
      </x:c>
      <x:c r="D10" s="1" t="s">
        <x:v>460</x:v>
      </x:c>
      <x:c r="E10" s="1"/>
      <x:c r="F10" s="1"/>
      <x:c r="G10" s="1" t="s">
        <x:v>405</x:v>
      </x:c>
      <x:c r="H10" s="1" t="s">
        <x:v>461</x:v>
      </x:c>
      <x:c r="I10" s="1"/>
      <x:c r="J10" s="1" t="s">
        <x:v>462</x:v>
      </x:c>
      <x:c r="K10" s="1" t="s">
        <x:v>463</x:v>
      </x:c>
      <x:c r="L10" s="1"/>
      <x:c r="M10" s="1" t="s">
        <x:v>464</x:v>
      </x:c>
      <x:c r="N10" s="1" t="s">
        <x:v>465</x:v>
      </x:c>
    </x:row>
    <x:row r="11" ht="150">
      <x:c r="A11" s="6" t="s">
        <x:v>466</x:v>
      </x:c>
      <x:c r="B11" s="6" t="s">
        <x:v>467</x:v>
      </x:c>
      <x:c r="C11" s="1" t="s">
        <x:v>468</x:v>
      </x:c>
      <x:c r="D11" s="1" t="s">
        <x:v>469</x:v>
      </x:c>
      <x:c r="E11" s="1"/>
      <x:c r="F11" s="1"/>
      <x:c r="G11" s="1" t="s">
        <x:v>417</x:v>
      </x:c>
      <x:c r="H11" s="1" t="s">
        <x:v>470</x:v>
      </x:c>
      <x:c r="I11" s="1" t="s">
        <x:v>471</x:v>
      </x:c>
      <x:c r="J11" s="1" t="s">
        <x:v>472</x:v>
      </x:c>
      <x:c r="K11" s="1" t="s">
        <x:v>473</x:v>
      </x:c>
      <x:c r="L11" s="1"/>
      <x:c r="M11" s="1" t="s">
        <x:v>474</x:v>
      </x:c>
      <x:c r="N11" s="1" t="s">
        <x:v>475</x:v>
      </x:c>
    </x:row>
    <x:row r="12" ht="105">
      <x:c r="A12" s="6" t="s">
        <x:v>476</x:v>
      </x:c>
      <x:c r="B12" s="6" t="s">
        <x:v>477</x:v>
      </x:c>
      <x:c r="C12" s="1" t="s">
        <x:v>478</x:v>
      </x:c>
      <x:c r="D12" s="1" t="s">
        <x:v>479</x:v>
      </x:c>
      <x:c r="E12" s="1"/>
      <x:c r="F12" s="1" t="s">
        <x:v>416</x:v>
      </x:c>
      <x:c r="G12" s="1" t="s">
        <x:v>405</x:v>
      </x:c>
      <x:c r="H12" s="1" t="s">
        <x:v>480</x:v>
      </x:c>
      <x:c r="I12" s="1" t="s">
        <x:v>481</x:v>
      </x:c>
      <x:c r="J12" s="1" t="s">
        <x:v>482</x:v>
      </x:c>
      <x:c r="K12" s="1" t="s">
        <x:v>483</x:v>
      </x:c>
      <x:c r="L12" s="1"/>
      <x:c r="M12" s="1" t="s">
        <x:v>484</x:v>
      </x:c>
      <x:c r="N12" s="1" t="s">
        <x:v>485</x:v>
      </x:c>
    </x:row>
    <x:row r="13" ht="105">
      <x:c r="A13" s="6" t="s">
        <x:v>486</x:v>
      </x:c>
      <x:c r="B13" s="6" t="s">
        <x:v>487</x:v>
      </x:c>
      <x:c r="C13" s="1" t="s">
        <x:v>488</x:v>
      </x:c>
      <x:c r="D13" s="1" t="s">
        <x:v>489</x:v>
      </x:c>
      <x:c r="E13" s="1"/>
      <x:c r="F13" s="1"/>
      <x:c r="G13" s="1" t="s">
        <x:v>490</x:v>
      </x:c>
      <x:c r="H13" s="1"/>
      <x:c r="I13" s="1"/>
      <x:c r="J13" s="1" t="s">
        <x:v>491</x:v>
      </x:c>
      <x:c r="K13" s="1" t="s">
        <x:v>492</x:v>
      </x:c>
      <x:c r="L13" s="1"/>
      <x:c r="M13" s="1"/>
      <x:c r="N13" s="1" t="s">
        <x:v>493</x:v>
      </x:c>
    </x:row>
    <x:row r="14" ht="105">
      <x:c r="A14" s="6" t="s">
        <x:v>494</x:v>
      </x:c>
      <x:c r="B14" s="6" t="s">
        <x:v>495</x:v>
      </x:c>
      <x:c r="C14" s="1" t="s">
        <x:v>496</x:v>
      </x:c>
      <x:c r="D14" s="1" t="s">
        <x:v>497</x:v>
      </x:c>
      <x:c r="E14" s="1"/>
      <x:c r="F14" s="1"/>
      <x:c r="G14" s="1" t="s">
        <x:v>498</x:v>
      </x:c>
      <x:c r="H14" s="1" t="s">
        <x:v>499</x:v>
      </x:c>
      <x:c r="I14" s="1" t="s">
        <x:v>500</x:v>
      </x:c>
      <x:c r="J14" s="1" t="s">
        <x:v>501</x:v>
      </x:c>
      <x:c r="K14" s="1" t="s">
        <x:v>502</x:v>
      </x:c>
      <x:c r="L14" s="1"/>
      <x:c r="M14" s="1" t="s">
        <x:v>503</x:v>
      </x:c>
      <x:c r="N14" s="1" t="s">
        <x:v>504</x:v>
      </x:c>
    </x:row>
    <x:row r="15" ht="90">
      <x:c r="A15" s="6" t="s">
        <x:v>505</x:v>
      </x:c>
      <x:c r="B15" s="6" t="s">
        <x:v>506</x:v>
      </x:c>
      <x:c r="C15" s="1" t="s">
        <x:v>507</x:v>
      </x:c>
      <x:c r="D15" s="1" t="s">
        <x:v>508</x:v>
      </x:c>
      <x:c r="E15" s="1"/>
      <x:c r="F15" s="1" t="s">
        <x:v>393</x:v>
      </x:c>
      <x:c r="G15" s="1" t="s">
        <x:v>405</x:v>
      </x:c>
      <x:c r="H15" s="1" t="s">
        <x:v>509</x:v>
      </x:c>
      <x:c r="I15" s="1" t="s">
        <x:v>510</x:v>
      </x:c>
      <x:c r="J15" s="1" t="s">
        <x:v>511</x:v>
      </x:c>
      <x:c r="K15" s="1" t="s">
        <x:v>512</x:v>
      </x:c>
      <x:c r="L15" s="1"/>
      <x:c r="M15" s="1" t="s">
        <x:v>513</x:v>
      </x:c>
      <x:c r="N15" s="1" t="s">
        <x:v>514</x:v>
      </x:c>
    </x:row>
    <x:row r="16" ht="75">
      <x:c r="A16" s="6" t="s">
        <x:v>515</x:v>
      </x:c>
      <x:c r="B16" s="6" t="s">
        <x:v>516</x:v>
      </x:c>
      <x:c r="C16" s="1" t="s">
        <x:v>517</x:v>
      </x:c>
      <x:c r="D16" s="1" t="s">
        <x:v>518</x:v>
      </x:c>
      <x:c r="E16" s="1"/>
      <x:c r="F16" s="1" t="s">
        <x:v>519</x:v>
      </x:c>
      <x:c r="G16" s="1" t="s">
        <x:v>417</x:v>
      </x:c>
      <x:c r="H16" s="1" t="s">
        <x:v>520</x:v>
      </x:c>
      <x:c r="I16" s="1" t="s">
        <x:v>521</x:v>
      </x:c>
      <x:c r="J16" s="1" t="s">
        <x:v>522</x:v>
      </x:c>
      <x:c r="K16" s="1" t="s">
        <x:v>523</x:v>
      </x:c>
      <x:c r="L16" s="1"/>
      <x:c r="M16" s="1" t="s">
        <x:v>524</x:v>
      </x:c>
      <x:c r="N16" s="1" t="s">
        <x:v>525</x:v>
      </x:c>
    </x:row>
    <x:row r="17" ht="240">
      <x:c r="A17" s="6" t="s">
        <x:v>526</x:v>
      </x:c>
      <x:c r="B17" s="6" t="s">
        <x:v>105</x:v>
      </x:c>
      <x:c r="C17" s="1" t="s">
        <x:v>527</x:v>
      </x:c>
      <x:c r="D17" s="1" t="s">
        <x:v>528</x:v>
      </x:c>
      <x:c r="E17" s="1"/>
      <x:c r="F17" s="1" t="s">
        <x:v>370</x:v>
      </x:c>
      <x:c r="G17" s="1" t="s">
        <x:v>529</x:v>
      </x:c>
      <x:c r="H17" s="1" t="s">
        <x:v>530</x:v>
      </x:c>
      <x:c r="I17" s="1" t="s">
        <x:v>531</x:v>
      </x:c>
      <x:c r="J17" s="1" t="s">
        <x:v>532</x:v>
      </x:c>
      <x:c r="K17" s="1" t="s">
        <x:v>533</x:v>
      </x:c>
      <x:c r="L17" s="1"/>
      <x:c r="M17" s="1" t="s">
        <x:v>534</x:v>
      </x:c>
      <x:c r="N17" s="1" t="s">
        <x:v>535</x:v>
      </x:c>
    </x:row>
    <x:row r="18" ht="45">
      <x:c r="A18" s="6" t="s">
        <x:v>536</x:v>
      </x:c>
      <x:c r="B18" s="6" t="s">
        <x:v>174</x:v>
      </x:c>
      <x:c r="C18" s="1" t="s">
        <x:v>537</x:v>
      </x:c>
      <x:c r="D18" s="1" t="s">
        <x:v>538</x:v>
      </x:c>
      <x:c r="E18" s="1"/>
      <x:c r="F18" s="1" t="s">
        <x:v>370</x:v>
      </x:c>
      <x:c r="G18" s="1" t="s">
        <x:v>539</x:v>
      </x:c>
      <x:c r="H18" s="1" t="s">
        <x:v>540</x:v>
      </x:c>
      <x:c r="I18" s="1" t="s">
        <x:v>541</x:v>
      </x:c>
      <x:c r="J18" s="1"/>
      <x:c r="K18" s="1"/>
      <x:c r="L18" s="1"/>
      <x:c r="M18" s="1" t="s">
        <x:v>542</x:v>
      </x:c>
      <x:c r="N18" s="1" t="s">
        <x:v>543</x:v>
      </x:c>
    </x:row>
    <x:row r="19" ht="30">
      <x:c r="A19" s="6" t="s">
        <x:v>544</x:v>
      </x:c>
      <x:c r="B19" s="6" t="s">
        <x:v>545</x:v>
      </x:c>
      <x:c r="C19" s="1" t="s">
        <x:v>546</x:v>
      </x:c>
      <x:c r="D19" s="1" t="s">
        <x:v>547</x:v>
      </x:c>
      <x:c r="E19" s="1"/>
      <x:c r="F19" s="1" t="s">
        <x:v>548</x:v>
      </x:c>
      <x:c r="G19" s="1" t="s">
        <x:v>549</x:v>
      </x:c>
      <x:c r="H19" s="1" t="s">
        <x:v>550</x:v>
      </x:c>
      <x:c r="I19" s="1" t="s">
        <x:v>551</x:v>
      </x:c>
      <x:c r="J19" s="1" t="s">
        <x:v>204</x:v>
      </x:c>
      <x:c r="K19" s="1" t="s">
        <x:v>207</x:v>
      </x:c>
      <x:c r="L19" s="1"/>
      <x:c r="M19" s="1" t="s">
        <x:v>552</x:v>
      </x:c>
      <x:c r="N19" s="1" t="s">
        <x:v>553</x:v>
      </x:c>
    </x:row>
    <x:row r="20" ht="180">
      <x:c r="A20" s="6" t="s">
        <x:v>554</x:v>
      </x:c>
      <x:c r="B20" s="6" t="s">
        <x:v>555</x:v>
      </x:c>
      <x:c r="C20" s="1" t="s">
        <x:v>556</x:v>
      </x:c>
      <x:c r="D20" s="1" t="s">
        <x:v>557</x:v>
      </x:c>
      <x:c r="E20" s="1"/>
      <x:c r="F20" s="1" t="s">
        <x:v>370</x:v>
      </x:c>
      <x:c r="G20" s="1" t="s">
        <x:v>558</x:v>
      </x:c>
      <x:c r="H20" s="1" t="s">
        <x:v>559</x:v>
      </x:c>
      <x:c r="I20" s="1" t="s">
        <x:v>560</x:v>
      </x:c>
      <x:c r="J20" s="1" t="s">
        <x:v>561</x:v>
      </x:c>
      <x:c r="K20" s="1" t="s">
        <x:v>562</x:v>
      </x:c>
      <x:c r="L20" s="1" t="s">
        <x:v>563</x:v>
      </x:c>
      <x:c r="M20" s="1" t="s">
        <x:v>564</x:v>
      </x:c>
      <x:c r="N20" s="1" t="s">
        <x:v>565</x:v>
      </x:c>
    </x:row>
    <x:row r="21" ht="60">
      <x:c r="A21" s="6" t="s">
        <x:v>566</x:v>
      </x:c>
      <x:c r="B21" s="6" t="s">
        <x:v>567</x:v>
      </x:c>
      <x:c r="C21" s="1" t="s">
        <x:v>568</x:v>
      </x:c>
      <x:c r="D21" s="1" t="s">
        <x:v>569</x:v>
      </x:c>
      <x:c r="E21" s="1"/>
      <x:c r="F21" s="1" t="s">
        <x:v>570</x:v>
      </x:c>
      <x:c r="G21" s="1" t="s">
        <x:v>417</x:v>
      </x:c>
      <x:c r="H21" s="1" t="s">
        <x:v>571</x:v>
      </x:c>
      <x:c r="I21" s="1" t="s">
        <x:v>572</x:v>
      </x:c>
      <x:c r="J21" s="1" t="s">
        <x:v>573</x:v>
      </x:c>
      <x:c r="K21" s="1" t="s">
        <x:v>574</x:v>
      </x:c>
      <x:c r="L21" s="1"/>
      <x:c r="M21" s="1" t="s">
        <x:v>575</x:v>
      </x:c>
      <x:c r="N21" s="1" t="s">
        <x:v>576</x:v>
      </x:c>
    </x:row>
    <x:row r="22" ht="45">
      <x:c r="A22" s="6" t="s">
        <x:v>577</x:v>
      </x:c>
      <x:c r="B22" s="6" t="s">
        <x:v>578</x:v>
      </x:c>
      <x:c r="C22" s="1" t="s">
        <x:v>579</x:v>
      </x:c>
      <x:c r="D22" s="1" t="s">
        <x:v>580</x:v>
      </x:c>
      <x:c r="E22" s="1"/>
      <x:c r="F22" s="1" t="s">
        <x:v>416</x:v>
      </x:c>
      <x:c r="G22" s="1" t="s">
        <x:v>417</x:v>
      </x:c>
      <x:c r="H22" s="1" t="s">
        <x:v>581</x:v>
      </x:c>
      <x:c r="I22" s="1" t="s">
        <x:v>582</x:v>
      </x:c>
      <x:c r="J22" s="1" t="s">
        <x:v>583</x:v>
      </x:c>
      <x:c r="K22" s="1" t="s">
        <x:v>584</x:v>
      </x:c>
      <x:c r="L22" s="1"/>
      <x:c r="M22" s="1" t="s">
        <x:v>585</x:v>
      </x:c>
      <x:c r="N22" s="1" t="s">
        <x:v>586</x:v>
      </x:c>
    </x:row>
    <x:row r="23" ht="75">
      <x:c r="A23" s="6" t="s">
        <x:v>587</x:v>
      </x:c>
      <x:c r="B23" s="6" t="s">
        <x:v>588</x:v>
      </x:c>
      <x:c r="C23" s="1" t="s">
        <x:v>589</x:v>
      </x:c>
      <x:c r="D23" s="1" t="s">
        <x:v>590</x:v>
      </x:c>
      <x:c r="E23" s="1"/>
      <x:c r="F23" s="1"/>
      <x:c r="G23" s="1" t="s">
        <x:v>417</x:v>
      </x:c>
      <x:c r="H23" s="1" t="s">
        <x:v>581</x:v>
      </x:c>
      <x:c r="I23" s="1" t="s">
        <x:v>591</x:v>
      </x:c>
      <x:c r="J23" s="1" t="s">
        <x:v>592</x:v>
      </x:c>
      <x:c r="K23" s="1" t="s">
        <x:v>593</x:v>
      </x:c>
      <x:c r="L23" s="1"/>
      <x:c r="M23" s="1" t="s">
        <x:v>594</x:v>
      </x:c>
      <x:c r="N23" s="1" t="s">
        <x:v>595</x:v>
      </x:c>
    </x:row>
    <x:row r="24" ht="105">
      <x:c r="A24" s="6" t="s">
        <x:v>596</x:v>
      </x:c>
      <x:c r="B24" s="6" t="s">
        <x:v>597</x:v>
      </x:c>
      <x:c r="C24" s="1" t="s">
        <x:v>598</x:v>
      </x:c>
      <x:c r="D24" s="1" t="s">
        <x:v>599</x:v>
      </x:c>
      <x:c r="E24" s="1"/>
      <x:c r="F24" s="1" t="s">
        <x:v>600</x:v>
      </x:c>
      <x:c r="G24" s="1" t="s">
        <x:v>405</x:v>
      </x:c>
      <x:c r="H24" s="1" t="s">
        <x:v>581</x:v>
      </x:c>
      <x:c r="J24" s="1" t="s">
        <x:v>601</x:v>
      </x:c>
      <x:c r="K24" s="1" t="s">
        <x:v>602</x:v>
      </x:c>
      <x:c r="L24" s="1"/>
      <x:c r="M24" s="1" t="s">
        <x:v>603</x:v>
      </x:c>
      <x:c r="N24" s="1" t="s">
        <x:v>604</x:v>
      </x:c>
    </x:row>
  </x:sheetData>
  <x:pageMargins left="0.7" right="0.7" top="0.75" bottom="0.75" header="0.3" footer="0.3"/>
  <x:tableParts count="1">
    <x:tablePart xmlns:r="http://schemas.openxmlformats.org/officeDocument/2006/relationships" r:id="R62a8a3ea099a4184"/>
  </x:tableParts>
</x:worksheet>
</file>