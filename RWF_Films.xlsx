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https://d.docs.live.net/23f243e0dd638448/cours/KH/RWF/Fiches/Frise/Frise2_Fassbinder/"/>
    </mc:Choice>
  </mc:AlternateContent>
  <xr:revisionPtr revIDLastSave="61" documentId="13_ncr:1_{3A3DF4C9-37E7-F84B-A19A-8081989E315A}" xr6:coauthVersionLast="47" xr6:coauthVersionMax="47" xr10:uidLastSave="{49165CD8-5B26-E346-9A8F-2052F841B854}"/>
  <bookViews>
    <workbookView xWindow="1540" yWindow="900" windowWidth="29400" windowHeight="18480" xr2:uid="{00000000-000D-0000-FFFF-FFFF00000000}"/>
  </bookViews>
  <sheets>
    <sheet name="Films" sheetId="1" r:id="rId1"/>
    <sheet name="Listes" sheetId="2" r:id="rId2"/>
    <sheet name="Mode_emploi" sheetId="3" r:id="rId3"/>
    <sheet name="Référentiel entourag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2" i="1" l="1"/>
  <c r="AD12" i="1"/>
  <c r="AD44" i="1"/>
  <c r="AC44" i="1"/>
  <c r="AD43" i="1"/>
  <c r="AC43" i="1"/>
  <c r="AD42" i="1"/>
  <c r="AC42" i="1"/>
  <c r="AD41" i="1"/>
  <c r="AC41" i="1"/>
  <c r="AD40" i="1"/>
  <c r="AC40" i="1"/>
  <c r="AD39" i="1"/>
  <c r="AC39" i="1"/>
  <c r="AD38" i="1"/>
  <c r="AC38" i="1"/>
  <c r="AD37" i="1"/>
  <c r="AC37" i="1"/>
  <c r="AD36" i="1"/>
  <c r="AC36" i="1"/>
  <c r="AD35" i="1"/>
  <c r="AC35" i="1"/>
  <c r="AD34" i="1"/>
  <c r="AC34" i="1"/>
  <c r="AD33" i="1"/>
  <c r="AC33" i="1"/>
  <c r="AD32" i="1"/>
  <c r="AC32" i="1"/>
  <c r="AD31" i="1"/>
  <c r="AC31" i="1"/>
  <c r="AD30" i="1"/>
  <c r="AC30" i="1"/>
  <c r="AD29" i="1"/>
  <c r="AC29" i="1"/>
  <c r="AD28" i="1"/>
  <c r="AC28" i="1"/>
  <c r="AD27" i="1"/>
  <c r="AC27" i="1"/>
  <c r="AD26" i="1"/>
  <c r="AC26" i="1"/>
  <c r="AD25" i="1"/>
  <c r="AC25" i="1"/>
  <c r="AD24" i="1"/>
  <c r="AC24" i="1"/>
  <c r="AD23" i="1"/>
  <c r="AC23" i="1"/>
  <c r="AD22" i="1"/>
  <c r="AC22" i="1"/>
  <c r="AD21" i="1"/>
  <c r="AC21" i="1"/>
  <c r="AD20" i="1"/>
  <c r="AC20" i="1"/>
  <c r="AD19" i="1"/>
  <c r="AC19" i="1"/>
  <c r="AD18" i="1"/>
  <c r="AC18" i="1"/>
  <c r="AD17" i="1"/>
  <c r="AC17" i="1"/>
  <c r="AD16" i="1"/>
  <c r="AC16" i="1"/>
  <c r="AD15" i="1"/>
  <c r="AC15" i="1"/>
  <c r="AD14" i="1"/>
  <c r="AC14" i="1"/>
  <c r="AD13" i="1"/>
  <c r="AC13" i="1"/>
  <c r="AD11" i="1"/>
  <c r="AC11" i="1"/>
  <c r="AD9" i="1"/>
  <c r="AC9" i="1"/>
  <c r="AD8" i="1"/>
  <c r="AC8" i="1"/>
  <c r="AD7" i="1"/>
  <c r="AC7" i="1"/>
  <c r="AD6" i="1"/>
  <c r="AC6" i="1"/>
  <c r="AD5" i="1"/>
  <c r="AC5" i="1"/>
  <c r="AD4" i="1"/>
  <c r="AC4" i="1"/>
</calcChain>
</file>

<file path=xl/sharedStrings.xml><?xml version="1.0" encoding="utf-8"?>
<sst xmlns="http://schemas.openxmlformats.org/spreadsheetml/2006/main" count="859" uniqueCount="605">
  <si>
    <t>ID</t>
  </si>
  <si>
    <t>Titre français</t>
  </si>
  <si>
    <t>Titre original</t>
  </si>
  <si>
    <t>Année</t>
  </si>
  <si>
    <t>Type</t>
  </si>
  <si>
    <t>Durée (min)</t>
  </si>
  <si>
    <t>Pays</t>
  </si>
  <si>
    <t>Réalisation</t>
  </si>
  <si>
    <t>Scénario</t>
  </si>
  <si>
    <t>Image</t>
  </si>
  <si>
    <t>Montage</t>
  </si>
  <si>
    <t>Décors</t>
  </si>
  <si>
    <t>Musique</t>
  </si>
  <si>
    <t>Production</t>
  </si>
  <si>
    <t>Distribution artistique</t>
  </si>
  <si>
    <t>Équipe technique</t>
  </si>
  <si>
    <t>Synopsis</t>
  </si>
  <si>
    <t>Extraits</t>
  </si>
  <si>
    <t>Analyse</t>
  </si>
  <si>
    <t>Bibliographie</t>
  </si>
  <si>
    <t>Affiche</t>
  </si>
  <si>
    <t>Légende affiche</t>
  </si>
  <si>
    <t>Source affiche</t>
  </si>
  <si>
    <t>Liens chronologie</t>
  </si>
  <si>
    <t>Mots-clés</t>
  </si>
  <si>
    <t>Sources</t>
  </si>
  <si>
    <t>Statut</t>
  </si>
  <si>
    <t>ID normalisé V22</t>
  </si>
  <si>
    <t>IDs entourage — distribution artistique</t>
  </si>
  <si>
    <t>IDs entourage — équipe technique</t>
  </si>
  <si>
    <t>rwf-1969-amour-plus-froid</t>
  </si>
  <si>
    <t>L’Amour est plus froid que la mort</t>
  </si>
  <si>
    <t>Liebe ist kälter als der Tod</t>
  </si>
  <si>
    <t>Long métrage</t>
  </si>
  <si>
    <t>RFA</t>
  </si>
  <si>
    <t>Rainer Werner Fassbinder</t>
  </si>
  <si>
    <t>Films_images/L_Amour_est_plus_froid_que_la_mort.jpg</t>
  </si>
  <si>
    <t>1969</t>
  </si>
  <si>
    <t>À compléter</t>
  </si>
  <si>
    <t>film-1969-l-amour-est-plus-froid-que-la-mort</t>
  </si>
  <si>
    <t>rwf-1969-katzelmacher</t>
  </si>
  <si>
    <t>Le Bouc</t>
  </si>
  <si>
    <t>Katzelmacher</t>
  </si>
  <si>
    <t>Films_images/Le_Bouc.jpg</t>
  </si>
  <si>
    <t>film-1969-le-bouc</t>
  </si>
  <si>
    <t>rwf-1970-les-dieux-de-la-peste</t>
  </si>
  <si>
    <t>Les Dieux de la peste</t>
  </si>
  <si>
    <t>Films_images/Les_Dieux_de_la_peste.jpg</t>
  </si>
  <si>
    <t>1970</t>
  </si>
  <si>
    <t>film-1970-les-dieux-de-la-peste</t>
  </si>
  <si>
    <t>rwf-1970-pourquoi-m-r-est-il-atteint-de-folie-meurtriere</t>
  </si>
  <si>
    <t>Pourquoi M. R. est-il atteint de folie meurtrière ?</t>
  </si>
  <si>
    <t>film-1970-pourquoi-m-r-est-il-atteint-de-folie-meurtriere</t>
  </si>
  <si>
    <t>rwf-1970-le-soldat-americain</t>
  </si>
  <si>
    <t>Le Soldat américain</t>
  </si>
  <si>
    <t>Films_images/Le_Soldat_americain.jpg</t>
  </si>
  <si>
    <t>film-1970-le-soldat-americain</t>
  </si>
  <si>
    <t>rwf-1970-le-voyage-a-niklashausen</t>
  </si>
  <si>
    <t>Le Voyage à Niklashausen</t>
  </si>
  <si>
    <t>Téléfilm</t>
  </si>
  <si>
    <t>film-1970-le-voyage-a-niklashausen</t>
  </si>
  <si>
    <t>rwf-1971-whity</t>
  </si>
  <si>
    <t>Whity</t>
  </si>
  <si>
    <t>1971</t>
  </si>
  <si>
    <t>film-1971-whity</t>
  </si>
  <si>
    <t>rwf-1971-prenez-garde-a-la-sainte-putain</t>
  </si>
  <si>
    <t>Prenez garde à la sainte putain</t>
  </si>
  <si>
    <t>Films_images/Prenez_garde_a_la_sainte_putain.jpg</t>
  </si>
  <si>
    <t>film-1971-prenez-garde-a-la-sainte-putain</t>
  </si>
  <si>
    <t>rwf-1971-pionniers-a-ingolstadt</t>
  </si>
  <si>
    <t>Pionniers à Ingolstadt</t>
  </si>
  <si>
    <t>film-1971-pionniers-a-ingolstadt</t>
  </si>
  <si>
    <t>rwf-1971-marchand-quatre-saisons</t>
  </si>
  <si>
    <t>Le Marchand des quatre saisons</t>
  </si>
  <si>
    <t>Händler der vier Jahreszeiten</t>
  </si>
  <si>
    <t>Films_images/Le_Marchand_des_quatre_saisons.jpg</t>
  </si>
  <si>
    <t>1972</t>
  </si>
  <si>
    <t>film-1972-le-marchand-des-quatre-saisons</t>
  </si>
  <si>
    <t>rwf-1972-larmes-petra-von-kant</t>
  </si>
  <si>
    <t>Les Larmes amères de Petra von Kant</t>
  </si>
  <si>
    <t>Die bitteren Tränen der Petra von Kant</t>
  </si>
  <si>
    <t>Films_images/Les_Larmes_ameres_de_Petra_von_Kant.jpg</t>
  </si>
  <si>
    <t>film-1972-les-larmes-ameres-de-petra-von-kant</t>
  </si>
  <si>
    <t>rwf-1972-liberte-a-breme</t>
  </si>
  <si>
    <t>Liberté à Brême</t>
  </si>
  <si>
    <t>film-1972-liberte-a-breme</t>
  </si>
  <si>
    <t>rwf-1972-huit-heures</t>
  </si>
  <si>
    <t>Huit heures ne font pas un jour</t>
  </si>
  <si>
    <t>Acht Stunden sind kein Tag</t>
  </si>
  <si>
    <t>Série télévisée</t>
  </si>
  <si>
    <t>Dietrich Lohmann</t>
  </si>
  <si>
    <t>Marie Anne Gerhardt</t>
  </si>
  <si>
    <t>Kurt Raab</t>
  </si>
  <si>
    <t>WDR</t>
  </si>
  <si>
    <t>Gottfried John : Jochen
Hanna Schygulla : Marion
Luise Ullrich : Grand-mère
Werner Finck : Gregor
Anita Bucher : Käthe
Wolfried Lier : Wolf
Christine Oesterlein : Klara
Renate Roland : Monika
Kurt Raab : Harald
Andrea Schober : Sylvia
Thorsten Massinger : Manni
Irm Hermann : Irmgard Erlkönig
Wolfgang Zerlett : Manfred
Wolfgang Schenck : Franz
Herb Andress : Rüdiger
Rudolf Waldemar Brem : Rolf
Hans Hirschmüller : Jürgen
Peter Gauhe : Ernst
Grigorios Karpidis : Giuseppe
Karl Scheydt : Peter</t>
  </si>
  <si>
    <t>Assistants de réalisation : Renate Leiffer, Eberhard Schubert
Format : 16 mm, couleur
Tournage : 105 jours (avril-août 1972), Cologne et environs de Mönchengladbach
Diffusion initiale : 29 octobre 1972 – 18 mars 1973</t>
  </si>
  <si>
    <t>Feuilleton en cinq épisodes consacré aux amours, aux relations familiales et aux problèmes quotidiens d’un groupe de familles ouvrières. La série suit notamment Jochen et Marion, Grand-mère et Gregor, ainsi que les luttes collectives menées dans l’usine.</t>
  </si>
  <si>
    <t>1971|1972|1973</t>
  </si>
  <si>
    <t>monde ouvrier|famille|travail|autogestion|solidarité|télévision</t>
  </si>
  <si>
    <t>RWF_Notes sur les films.docx</t>
  </si>
  <si>
    <t>Documenté</t>
  </si>
  <si>
    <t>film-1972-huit-heures-ne-font-pas-un-jour</t>
  </si>
  <si>
    <t>rwf-1973-gibier-de-passage</t>
  </si>
  <si>
    <t>Gibier de passage</t>
  </si>
  <si>
    <t>1973</t>
  </si>
  <si>
    <t>film-1973-gibier-de-passage</t>
  </si>
  <si>
    <t>rwf-1973-monde-sur-fil</t>
  </si>
  <si>
    <t>Le Monde sur un fil</t>
  </si>
  <si>
    <t>Welt am Draht</t>
  </si>
  <si>
    <t>Téléfilm en deux parties</t>
  </si>
  <si>
    <t>Rainer Werner Fassbinder, d’après Simulacron 3 de Daniel F. Galouye</t>
  </si>
  <si>
    <t>Diffusion initiale : 14 et 16 octobre 1973
Production télévisuelle de la Westdeutscher Rundfunk (WDR)</t>
  </si>
  <si>
    <t>À l’Institut de cybernétique et des sciences à venir, le Simulacron simule un monde peuplé d’unités humaines. Après la mort mystérieuse du professeur Vollmer et la disparition de Gunther Lause, Fred Stiller enquête. Il découvre progressivement que son propre monde pourrait lui aussi n’être qu’une simulation.</t>
  </si>
  <si>
    <t>Daniel F. Galouye, Simulacron 3</t>
  </si>
  <si>
    <t>Films_images/Le_Monde_sur_un_fil.jpg</t>
  </si>
  <si>
    <t>science-fiction|simulation|réalité virtuelle|identité|cybernétique|télévision</t>
  </si>
  <si>
    <t>Partiellement documenté</t>
  </si>
  <si>
    <t>film-1973-le-monde-sur-un-fil</t>
  </si>
  <si>
    <t>rwf-1974-tous-autres-ali</t>
  </si>
  <si>
    <t>Tous les autres s’appellent Ali</t>
  </si>
  <si>
    <t>Angst essen Seele auf</t>
  </si>
  <si>
    <t>Brigitte Mira : Emmi Kurowski
El Hedi ben Salem : Ali
Barbara Valentin : Barbara
Irm Hermann : Krista
Rainer Werner Fassbinder : Eugen
Karl Scheydt : Albert
Elma Karlowa : Mlle Kargus
Anita Bucher : Mlle Ellis
Gusti Kreissl : Paula
Doris Mattes : Mlle Angermeyer
Margit Symo : Hedwig
Katharina Herberg : fille du bar
Lilo Pempeit : Mlle Munchmeyer
Peter Chatel : Bruno</t>
  </si>
  <si>
    <t>Langues originales : allemand, arabe
Sortie RFA : 5 mars 1974
Sortie États-Unis : 31 octobre 1974</t>
  </si>
  <si>
    <t>Dans l’Allemagne de l’Ouest des années 1970, Emmi, veuve âgée, et Ali, travailleur immigré marocain, tombent amoureux puis se marient. Leur couple affronte le racisme, les préjugés et l’hostilité de l’entourage. Lorsque cette hostilité s’atténue par intérêt, de nouvelles tensions apparaissent au sein du couple.</t>
  </si>
  <si>
    <t>Films_images/Tous_les_autres_s_appellent_Ali.jpg</t>
  </si>
  <si>
    <t>1974</t>
  </si>
  <si>
    <t>racisme|immigration|amour|solitude|classe sociale|Douglas Sirk</t>
  </si>
  <si>
    <t>film-1974-tous-les-autres-s-appellent-ali</t>
  </si>
  <si>
    <t>rwf-1974-effi-briest</t>
  </si>
  <si>
    <t>Effi Briest</t>
  </si>
  <si>
    <t>Fontane Effi Briest</t>
  </si>
  <si>
    <t>Rainer Werner Fassbinder, d’après le roman de Theodor Fontane</t>
  </si>
  <si>
    <t>Jürgen Jürges ;  Dietrich Lohmann</t>
  </si>
  <si>
    <t>Thea Eymèsz</t>
  </si>
  <si>
    <t>Hanna Schygulla : Effi Briest
Wolfgang Schenck : baron Geert von Innstetten
Ulli Lommel : major Crampas
Lilo Pempeit : Louise von Briest
Herbert Steinmetz : M. Briest
Ursula Strätz : Roswitha
Irm Hermann : Johanna
Karlheinz Böhm : conseiller Wüllersdorf
Barbara Lass : la cuisinière polonaise
Hark Bohm : Gieshübler
Rudolf Lenz : conseiller Rummschüttel
Barbara Valentin : Marietta Tripelli
Karl Scheydt : Kruse
Theo Tecklenburg : pasteur Niemeyer
Eva Mattes : Hilda
Andrea Schober : Annie</t>
  </si>
  <si>
    <t>Noir et blanc, 1,37:1, mono
Genre : drame
Sortie : 1974</t>
  </si>
  <si>
    <t>À la fin du XIXe siècle, Effi Briest, dix-sept ans, épouse le baron von Innstetten, ancien prétendant de sa mère. Isolée dans une demeure provinciale et enfermée dans les conventions de son milieu, elle entretient une liaison avec le major Crampas. Des années plus tard, la découverte de leurs lettres déclenche duel, répudiation et exclusion sociale.</t>
  </si>
  <si>
    <t>Theodor Fontane, Effi Briest</t>
  </si>
  <si>
    <t>Films_images/Effi_Briest.jpg</t>
  </si>
  <si>
    <t>adaptation littéraire|mariage|conventions sociales|patriarcat|Theodor Fontane|noir et blanc</t>
  </si>
  <si>
    <t>film-1974-effi-briest</t>
  </si>
  <si>
    <t>rwf-1974-nora-helmer</t>
  </si>
  <si>
    <t>Nora Helmer</t>
  </si>
  <si>
    <t>film-1974-nora-helmer</t>
  </si>
  <si>
    <t>rwf-1974-martha</t>
  </si>
  <si>
    <t>Martha</t>
  </si>
  <si>
    <t>Rainer Werner Fassbinder, d’après Cornell Woolrich</t>
  </si>
  <si>
    <t>Michael Ballhaus</t>
  </si>
  <si>
    <t>Liesgret Schmitt-Klink</t>
  </si>
  <si>
    <t>Peter Märthesheimer</t>
  </si>
  <si>
    <t>Margit Carstensen : Martha Salomon, née Heyer
Karlheinz Böhm : Helmut Salomon
Barbara Valentin : Marianne
Peter Chatel : Kaiser
Kurt Raab : le secrétaire d’ambassade
Karl Scheydt : un convive à la table de mariage
Ingrid Caven : Ilse
El Hedi ben Salem : le Libyen à Rome
Gisela Fackeldey : la mère
Adrian Hoven : le père</t>
  </si>
  <si>
    <t>Format : couleurs, 1,33:1, mono
Date de diffusion : 1974</t>
  </si>
  <si>
    <t>Martha, jeune bibliothécaire, rencontre Helmut Salomon à Rome. Après leur mariage, l’apparence attentionnée de Helmut laisse place à une domination psychologique et physique méthodique. Lorsque Martha tente de fuir, un accident la rend paraplégique et la replace entièrement sous son contrôle.</t>
  </si>
  <si>
    <t>Étude de la médiatisation de l’intime et de la géométrie du pouvoir. Le film associe le mélodrame sirkien à une mise en scène de la claustration : travelling circulaire à 360°, surcadrages, miroirs et obstacles visuels matérialisent le piège conjugal. Le jeu de Margit Carstensen transforme le corps de Martha en lieu d’inscription de la soumission. Cette esthétique préfigure plusieurs motifs de la Trilogie RFA : circularité historique, externalisation des affects et héroïne devenue « femme-image ».</t>
  </si>
  <si>
    <t>Cornell Woolrich, source littéraire adaptée</t>
  </si>
  <si>
    <t>mélodrame|violence conjugale|domination|claustration|Douglas Sirk|Michael Ballhaus</t>
  </si>
  <si>
    <t>film-1974-martha</t>
  </si>
  <si>
    <t>rwf-1975-droit-plus-fort</t>
  </si>
  <si>
    <t>Le Droit du plus fort</t>
  </si>
  <si>
    <t>Faustrecht der Freiheit</t>
  </si>
  <si>
    <t>Rainer Werner Fassbinder et Christian Hohoff</t>
  </si>
  <si>
    <t>Peer Raben</t>
  </si>
  <si>
    <t>Rainer Werner Fassbinder ; City Film ; Tango Film</t>
  </si>
  <si>
    <t>Rainer Werner Fassbinder : Franz Biberkopf, dit Fox
Peter Chatel : Eugen Thiess
Karlheinz Böhm : Max
Adrian Hoven : le père d’Eugen
Ulla Jacobsson : la mère d’Eugen
Harry Baer : Philip
Irm Hermann : Mme Chérie
Brigitte Mira : une commerçante
Rudolf Lenz : l’avocat
Karl Scheydt : Klaus
Hans Zander : Springer
Kurt Raab : Wodka-Peter
Peter Kern : le fleuriste
Ingrid Caven : la chanteuse du bar
Barbara Valentin : la femme de Max
El Hedi ben Salem : l’homme de Marrakech</t>
  </si>
  <si>
    <t>Format : Eastmancolor, 1,66:1, mono
Langues : allemand, français et anglais
Sortie RFA : 6 juin 1975
Sortie France : 17 septembre 1975</t>
  </si>
  <si>
    <t>Fox, ouvrier de fête foraine sans argent, gagne à la loterie. Il tombe amoureux d’Eugen, bourgeois raffiné dont la famille traverse une crise financière. Introduit dans ce milieu, Fox est progressivement dépouillé de son argent, de ses biens et de son identité sociale.</t>
  </si>
  <si>
    <t>Le film articule mélodrame, lutte des classes et exploitation affective. Le gain à la loterie ouvre un cycle provisoire de bonheur qui se referme sur la dépossession et la mort de Fox. La relation amoureuse ne supprime pas les rapports de domination : le capital culturel et les codes bourgeois transforment l’intimité en mécanisme d’exploitation.</t>
  </si>
  <si>
    <t>Films_images/Le_Droit_du_plus_fort.jpg</t>
  </si>
  <si>
    <t>1975</t>
  </si>
  <si>
    <t>homosexualité|classe sociale|argent|exploitation|mélodrame|bourgeoisie</t>
  </si>
  <si>
    <t>film-1975-le-droit-du-plus-fort</t>
  </si>
  <si>
    <t>rwf-1975-maman-kusters</t>
  </si>
  <si>
    <t>Maman Küsters s’en va au ciel</t>
  </si>
  <si>
    <t>Mutter Küsters' Fahrt zum Himmel</t>
  </si>
  <si>
    <t>Rainer Werner Fassbinder, Kurt Raab et Heinrich Zille</t>
  </si>
  <si>
    <t>Filmverlag der Autoren ; Tango Film</t>
  </si>
  <si>
    <t>Brigitte Mira : Emma Küsters
Ingrid Caven : Corinna
Margit Carstensen : Mme Thälmann
Karlheinz Böhm : Thälmann
Irm Hermann : Helene
Gottfried John : Niemeyer
Peter Kern : propriétaire du night-club
Kurt Raab : Gustav
Gustav Holzapfel : Herr Holzapfel
Lilo Pempeit : secrétaire
Peter Chatel : photographe
Vitus Zeplichal : journaliste
Volker Spengler : photographe
Y Sa Lo : terroriste
Armin Meier : Ernst
Matthias Fuchs : Knab</t>
  </si>
  <si>
    <t>Direction artistique : Ruediger Schmid
Assistant réalisateur : Renate Leiffer
Maquillage : Jo Braun
Son : Wolfgang Hoffmann
Format : couleurs, 1,37:1, mono
Sortie RFA : 7 juillet 1975
Sortie France : 19 janvier 1977</t>
  </si>
  <si>
    <t>Après que son mari ouvrier a tué son patron puis s’est suicidé, Emma Küsters cherche à défendre sa mémoire contre la presse à sensation. Délaissée par ses enfants, elle se rapproche d’abord de militants communistes, puis d’un groupe anarchiste qui transforme son combat en action politique.</t>
  </si>
  <si>
    <t>La fin allemande remplace le dénouement spectaculaire par des cartons reprenant les dernières pages du scénario. Ce refus du pathos produit une distanciation brechtienne : le personnage disparaît de l’image et devient littéralement un objet de discours et de récupération politique. Une fin alternative, tournée pour le marché américain, offre au contraire une consolation volontairement artificielle.</t>
  </si>
  <si>
    <t>Mutter Krausens Fahrt ins Glück (1929), film-source mentionné</t>
  </si>
  <si>
    <t>Films_images/Maman_Kusters_s_en_va_au_ciel.jpg</t>
  </si>
  <si>
    <t>presse|classe ouvrière|communisme|anarchisme|distanciation|Brecht|RFA</t>
  </si>
  <si>
    <t>film-1975-maman-kusters-s-en-va-au-ciel</t>
  </si>
  <si>
    <t>rwf-1975-comme-un-oiseau-sur-le-fil</t>
  </si>
  <si>
    <t>Comme un oiseau sur le fil</t>
  </si>
  <si>
    <t>film-1975-comme-un-oiseau-sur-le-fil</t>
  </si>
  <si>
    <t>rwf-1975-peur-de-la-peur</t>
  </si>
  <si>
    <t>Peur de la peur</t>
  </si>
  <si>
    <t>film-1975-peur-de-la-peur</t>
  </si>
  <si>
    <t>rwf-1976-lombre-des-anges</t>
  </si>
  <si>
    <t>L’Ombre des anges</t>
  </si>
  <si>
    <t>Films_images/L_Ombre_des_anges.jpg</t>
  </si>
  <si>
    <t>1976</t>
  </si>
  <si>
    <t>film-1976-l-ombre-des-anges</t>
  </si>
  <si>
    <t>rwf-1976-roti-satan</t>
  </si>
  <si>
    <t>Le Rôti de Satan</t>
  </si>
  <si>
    <t>Satansbraten</t>
  </si>
  <si>
    <t>Michael Ballhaus et Jürgen Jürges</t>
  </si>
  <si>
    <t>Hanns Eckelkamp et Michael Fengler</t>
  </si>
  <si>
    <t>Kurt Raab : Walter Kranz
Margit Carstensen : Andrée
Helen Vita : Luise Kranz
Volker Spengler : Ernst Kranz
Ingrid Caven : Lisa
Marquard Bohm : le mari de Lilly
Y Sa Lo : Lana von Meyerbeer
Ulli Lommel : inspecteur Lauf
Brigitte Mira : mère de Walter
Armin Meier : un prostitué
Vitus Zeplichal : Urs
Dieter Schidor : Willy
Peter Chatel : Eugen
Adrian Hoven : le médecin</t>
  </si>
  <si>
    <t>Format : couleurs, 1,37:1, mono
Genre : comédie noire
Sortie : 1976</t>
  </si>
  <si>
    <t>Walter Kranz, poète autrefois révolutionnaire, est en panne d’inspiration et d’argent. Convaincu d’être la réincarnation du poète Stefan George, il multiplie mensonges, violences, plagiats et manipulations dans une quête grotesque de reconnaissance et de financement.</t>
  </si>
  <si>
    <t>L’exergue est tirée d’Héliogabale ou l’anarchiste couronné d’Antonin Artaud. Le film place la crise du sujet créateur sous le signe de la cruauté, du grotesque et de la défiguration. Walter Kranz préfigure le naufrage identitaire de Despair : la folie créatrice devient une forme de désintégration du sujet.</t>
  </si>
  <si>
    <t>Antonin Artaud, Héliogabale ou l’anarchiste couronné (1934)
Stefan George
Thomas Elsaesser, analyses sur Fassbinder et Despair</t>
  </si>
  <si>
    <t>Films_images/Le_Roti_de_Satan.jpg</t>
  </si>
  <si>
    <t>artiste|folie|grotesque|Antonin Artaud|Stefan George|création|comédie noire</t>
  </si>
  <si>
    <t>film-1976-le-roti-de-satan</t>
  </si>
  <si>
    <t>rwf-1976-roulette-chinoise</t>
  </si>
  <si>
    <t>Roulette chinoise</t>
  </si>
  <si>
    <t>Chinesisches Roulette</t>
  </si>
  <si>
    <t>RFA / France</t>
  </si>
  <si>
    <t>Ila von Hasperg</t>
  </si>
  <si>
    <t>Michael Fengler ; Barbet Schroeder</t>
  </si>
  <si>
    <t>Anna Karina : Irene Cartis
Margit Carstensen : Ariane Christ
Brigitte Mira : Kast
Ulli Lommel : Kolbe
Alexander Allerson : Gerhard Christ
Volker Spengler : Gabriel Kast
Andrea Schober : Angela Christ
Macha Méril : Traunitz, la gouvernante muette
Armin Meier : le pompiste
Roland Henschke : le mendiant</t>
  </si>
  <si>
    <t>Format : couleurs, 1,66:1, mono
Genre : drame, thriller
Sortie : 1976</t>
  </si>
  <si>
    <t>Un riche industriel et sa femme partent séparément passer le week-end avec leurs amants dans leur château de campagne, chacun croyant l’autre absent. La rencontre imprévue des deux couples est bientôt aggravée par l’arrivée de leur fille Angela, handicapée, et de sa gouvernante. Angela organise une « roulette chinoise » qui transforme le jeu mondain en règlement de comptes familial.</t>
  </si>
  <si>
    <t>Le château devient un huis clos où vitrines, miroirs, meubles transparents, surcadrages et travellings circulaires enferment les personnages dans un réseau de regards et recomposent sans cesse les alliances. Angela utilise le jeu pour rendre visibles les mensonges, la haine familiale et la violence exercée sur l’enfant handicapée. Les allusions au IIIe Reich font affleurer, sous la respectabilité bourgeoise, une mémoire refoulée dont la violence éclate sans produire de résolution.</t>
  </si>
  <si>
    <t>Films_images/Roulette_chinoise.jpg</t>
  </si>
  <si>
    <t>famille|adultère|huis clos|jeu|cruauté|handicap|nazisme|mémoire|miroirs|surcadrage</t>
  </si>
  <si>
    <t>film-1976-roulette-chinoise</t>
  </si>
  <si>
    <t>rwf-1976-je-veux-seulement-que-vous-maimiez</t>
  </si>
  <si>
    <t>Je veux seulement que vous m’aimiez</t>
  </si>
  <si>
    <t>Films_images/Je_veux_seulement_que_vous_m_aimiez.jpg</t>
  </si>
  <si>
    <t>film-1976-je-veux-seulement-que-vous-m-aimiez</t>
  </si>
  <si>
    <t>rwf-1977-femmes-a-new-york</t>
  </si>
  <si>
    <t>Femmes à New York</t>
  </si>
  <si>
    <t>1977</t>
  </si>
  <si>
    <t>film-1977-femmes-a-new-york</t>
  </si>
  <si>
    <t>rwf-1977-la-femme-du-chef-de-gare</t>
  </si>
  <si>
    <t>La Femme du chef de gare</t>
  </si>
  <si>
    <t>film-1977-la-femme-du-chef-de-gare</t>
  </si>
  <si>
    <t>L’Allemagne en automne</t>
  </si>
  <si>
    <t>Film collectif</t>
  </si>
  <si>
    <t>Films_images/L_Allemagne_en_automne.jpg</t>
  </si>
  <si>
    <t>1978</t>
  </si>
  <si>
    <t>film-1978-l-allemagne-en-automne</t>
  </si>
  <si>
    <t>rwf-1978-despair</t>
  </si>
  <si>
    <t>Despair</t>
  </si>
  <si>
    <t>Films_images/Despair.jpg</t>
  </si>
  <si>
    <t>film-1978-despair</t>
  </si>
  <si>
    <t>L’Année des treize lunes</t>
  </si>
  <si>
    <t>Films_images/L_Annee_des_treize_lunes.jpg</t>
  </si>
  <si>
    <t>film-1978-l-annee-des-treize-lunes</t>
  </si>
  <si>
    <t>rwf-1978-maria-braun</t>
  </si>
  <si>
    <t>Le Mariage de Maria Braun</t>
  </si>
  <si>
    <t>Die Ehe der Maria Braun</t>
  </si>
  <si>
    <t>Films_images/Le_Mariage_de_Maria_Braun.jpg</t>
  </si>
  <si>
    <t>1979</t>
  </si>
  <si>
    <t>rwf-1979-la-troisieme-generation</t>
  </si>
  <si>
    <t>La Troisième génération</t>
  </si>
  <si>
    <t>Films_images/La_Troisieme_generation.jpg</t>
  </si>
  <si>
    <t>film-1979-la-troisieme-generation</t>
  </si>
  <si>
    <t>rwf-1980-berlin-alexanderplatz</t>
  </si>
  <si>
    <t>Berlin Alexanderplatz</t>
  </si>
  <si>
    <t>Films_images/Berlin_Alexanderplatz.jpg</t>
  </si>
  <si>
    <t>1980</t>
  </si>
  <si>
    <t>film-1980-berlin-alexanderplatz</t>
  </si>
  <si>
    <t>rwf-1981-lili-marleen</t>
  </si>
  <si>
    <t>Lili Marleen</t>
  </si>
  <si>
    <t>Films_images/Lili_Marleen.jpg</t>
  </si>
  <si>
    <t>1981</t>
  </si>
  <si>
    <t>film-1981-lili-marleen</t>
  </si>
  <si>
    <t>rwf-1981-theatre-en-transe</t>
  </si>
  <si>
    <t>Théâtre en transe</t>
  </si>
  <si>
    <t>Documentaire</t>
  </si>
  <si>
    <t>film-1981-theatre-en-transe</t>
  </si>
  <si>
    <t>rwf-1981-lola-une-femme-allemande</t>
  </si>
  <si>
    <t>Lola, une femme allemande</t>
  </si>
  <si>
    <t>Films_images/Lola_une_femme_allemande.jpg</t>
  </si>
  <si>
    <t>film-1981-lola-une-femme-allemande</t>
  </si>
  <si>
    <t>rwf-1982-veronika-voss</t>
  </si>
  <si>
    <t>Le Secret de Veronika Voss</t>
  </si>
  <si>
    <t>Die Sehnsucht der Veronika Voss</t>
  </si>
  <si>
    <t>Films_images/Le_Secret_de_Veronika_Voss.jpg</t>
  </si>
  <si>
    <t>film-1981-le-secret-de-veronika-voss</t>
  </si>
  <si>
    <t>rwf-1982-querelle</t>
  </si>
  <si>
    <t>Querelle</t>
  </si>
  <si>
    <t>Films_images/Querelle.jpg</t>
  </si>
  <si>
    <t>1982</t>
  </si>
  <si>
    <t>film-1982-querelle</t>
  </si>
  <si>
    <t>Types</t>
  </si>
  <si>
    <t>Statuts</t>
  </si>
  <si>
    <t>Court métrage</t>
  </si>
  <si>
    <t>En cours</t>
  </si>
  <si>
    <t>Relu</t>
  </si>
  <si>
    <t>Publié</t>
  </si>
  <si>
    <t>Épisode télévisé</t>
  </si>
  <si>
    <t>Pièce filmée</t>
  </si>
  <si>
    <t>Autre</t>
  </si>
  <si>
    <t>RWF_Films.xlsx — mode d’emploi</t>
  </si>
  <si>
    <t>Principe</t>
  </si>
  <si>
    <t>Une ligne correspond à un film, téléfilm, série ou autre œuvre audiovisuelle.</t>
  </si>
  <si>
    <t>Nom du fichier</t>
  </si>
  <si>
    <t>Conserver exactement le nom RWF_Films.xlsx et placer le fichier à la racine du dépôt GitHub.</t>
  </si>
  <si>
    <t>Affiches</t>
  </si>
  <si>
    <t>Placer les images dans le dossier Films_images. Dans la colonne Affiche, saisir seulement le nom du fichier, par exemple maria_braun.jpg. Une URL complète reste possible.</t>
  </si>
  <si>
    <t>Saisir une URL complète ou un nom de fichier présent dans Frise_extraits. Plusieurs extraits peuvent être séparés par |.</t>
  </si>
  <si>
    <t>Champs multiples</t>
  </si>
  <si>
    <t>Séparer plusieurs noms, références ou années par le caractère |. Les retours à la ligne sont également acceptés.</t>
  </si>
  <si>
    <t>Indiquer les identifiants d’années de la frise, par exemple 1978|1979. Un bouton permettra d’ouvrir directement l’année correspondante.</t>
  </si>
  <si>
    <t>Saisir une personne par ligne au format Nom canonique : rôle.</t>
  </si>
  <si>
    <t>Pour les fonctions non couvertes par une colonne spécialisée, saisir Fonction : noms, avec une fonction par ligne.</t>
  </si>
  <si>
    <t>Une référence par ligne ou séparée par |. Ajouter une URL dans la colonne Sources lorsqu’elle existe.</t>
  </si>
  <si>
    <t>Identifiant stable, unique et sans espaces. Ne pas le modifier une fois les liens créés.</t>
  </si>
  <si>
    <t>À compléter, En cours, Relu ou Publié. Ce champ sert au suivi éditorial et n’est pas affiché dans la fiche publique.</t>
  </si>
  <si>
    <t>Source de l’enrichissement</t>
  </si>
  <si>
    <t>RWF_Notes sur les films.docx. Les sections intitulées « Notes » n’ont pas été reprises.</t>
  </si>
  <si>
    <t>Contenu importé</t>
  </si>
  <si>
    <t>Synopsis, fiches techniques, distributions et analyses explicitement séparées des sections « Notes ».</t>
  </si>
  <si>
    <t>Liaison automatique</t>
  </si>
  <si>
    <t>Les colonnes AC et AD sont calculées automatiquement à partir de la feuille Référentiel entourage.</t>
  </si>
  <si>
    <t>Référentiel entourage</t>
  </si>
  <si>
    <t>Ne pas modifier un ID existant. Ajouter une personne dans cette feuille si une nouvelle fiche Entourage est créée.</t>
  </si>
  <si>
    <t>Saisir une personne par ligne au format Nom canonique : rôle. L’ID correspondant apparaît automatiquement en AC.</t>
  </si>
  <si>
    <t>AD recherche les personnes présentes dans Réalisation, Scénario, Image, Montage, Décors, Musique, Production et Équipe technique.</t>
  </si>
  <si>
    <t>Noms sans fiche</t>
  </si>
  <si>
    <t>Une personne absente du référentiel reste sans ID : aucun identifiant n’est inventé.</t>
  </si>
  <si>
    <t>ID canonique</t>
  </si>
  <si>
    <t>Nom canonique</t>
  </si>
  <si>
    <t>Nom source</t>
  </si>
  <si>
    <t>Prénom source</t>
  </si>
  <si>
    <t>Surnom</t>
  </si>
  <si>
    <t>Strate</t>
  </si>
  <si>
    <t>Fonction dominante</t>
  </si>
  <si>
    <t>Type de collaboration</t>
  </si>
  <si>
    <t>Vie privée / lien avec Fassbinder</t>
  </si>
  <si>
    <t>Œuvres de Fassbinder</t>
  </si>
  <si>
    <t>IDs films — Œuvres de Fassbinder</t>
  </si>
  <si>
    <t>Œuvres non rapprochées</t>
  </si>
  <si>
    <t>Rôle dans l’univers Fassbinder</t>
  </si>
  <si>
    <t>Portrait</t>
  </si>
  <si>
    <t>pers-harry-baer</t>
  </si>
  <si>
    <t>Harry Baer</t>
  </si>
  <si>
    <t>Baer</t>
  </si>
  <si>
    <t>Harry</t>
  </si>
  <si>
    <t>Noyau théâtral / Factory</t>
  </si>
  <si>
    <t>Acteur, assistant, production</t>
  </si>
  <si>
    <t>Jeu, soutien de production, présence interne</t>
  </si>
  <si>
    <t>Proche compagnon de travail et membre du cercle masculin du collectif</t>
  </si>
  <si>
    <t>Le Bouc; Les Dieux de la peste; Pourquoi M. R. est-il atteint de folie meurtrière ?; Pionniers à Ingolstadt; Whity; Le Marchand des quatre saisons; Despair; La Troisième génération; Le Secret de Veronika Voss; Lili Marleen; Lola, une femme allemande</t>
  </si>
  <si>
    <t>film-1969-le-bouc; film-1970-les-dieux-de-la-peste; film-1970-pourquoi-m-r-est-il-atteint-de-folie-meurtriere; film-1971-pionniers-a-ingolstadt; film-1971-whity; film-1972-le-marchand-des-quatre-saisons; film-1978-despair; film-1979-la-troisieme-generation; film-1981-le-secret-de-veronika-voss; film-1981-lili-marleen; film-1981-lola-une-femme-allemande</t>
  </si>
  <si>
    <t>Témoin de l’intérieur du collectif, relais organisationnel</t>
  </si>
  <si>
    <t>Baer.jpg</t>
  </si>
  <si>
    <t>pers-michael-ballhaus</t>
  </si>
  <si>
    <t>Ballhaus</t>
  </si>
  <si>
    <t>Michael</t>
  </si>
  <si>
    <t>Factory / période tardive</t>
  </si>
  <si>
    <t>Directeur de la photographie</t>
  </si>
  <si>
    <t>Image, mouvement de caméra, style visuel</t>
  </si>
  <si>
    <t>Collaborateur artistique majeur, mais pas figure de la vie intime au sens fort du premier cercle</t>
  </si>
  <si>
    <t>Prenez garde à la sainte putain; Whity; Le Monde sur un fil; Martha; Tous les autres s’appellent Ali; Le Droit du plus fort; Maman Küsters s’en va au ciel; Je veux seulement que vous m’aimiez; Le Rôti de Satan; Roulette chinoise; Despair; L’Allemagne en automne; Le Mariage de Maria Braun; Lili Marleen</t>
  </si>
  <si>
    <t>film-1971-prenez-garde-a-la-sainte-putain; film-1971-whity; film-1973-le-monde-sur-un-fil; film-1974-martha; film-1974-tous-les-autres-s-appellent-ali; film-1975-le-droit-du-plus-fort; film-1975-maman-kusters-s-en-va-au-ciel; film-1976-je-veux-seulement-que-vous-m-aimiez; film-1976-le-roti-de-satan; film-1976-roulette-chinoise; film-1978-despair; film-1978-l-allemagne-en-automne; film-1979-le-mariage-de-maria-braun; film-1981-lili-marleen</t>
  </si>
  <si>
    <t>Formation du grand style visuel tardif</t>
  </si>
  <si>
    <t>Ballhaus.jpg</t>
  </si>
  <si>
    <t>pers-el-hedi-ben-salem</t>
  </si>
  <si>
    <t>El Hedi ben Salem</t>
  </si>
  <si>
    <t>Ben Salem</t>
  </si>
  <si>
    <t>El Hedi</t>
  </si>
  <si>
    <t>Période centrale</t>
  </si>
  <si>
    <t>Acteur, partenaire</t>
  </si>
  <si>
    <t>Jeu, présence incarnée, dimension autobiographique</t>
  </si>
  <si>
    <t>Partenaire intime de Fassbinder au moment de Angst essen Seele auf</t>
  </si>
  <si>
    <t>Le Marchand des quatre saisons; Le Monde sur un fil; Martha; Tous les autres s’appellent Ali; Le Droit du plus fort</t>
  </si>
  <si>
    <t>film-1972-le-marchand-des-quatre-saisons; film-1973-le-monde-sur-un-fil; film-1974-martha; film-1974-tous-les-autres-s-appellent-ali; film-1975-le-droit-du-plus-fort</t>
  </si>
  <si>
    <t>Figure de l’altérité racisée et du désir</t>
  </si>
  <si>
    <t>Ben_salem.jpg</t>
  </si>
  <si>
    <t>pers-karlheinz-bohm</t>
  </si>
  <si>
    <t>Karlheinz Böhm</t>
  </si>
  <si>
    <t>Böhm</t>
  </si>
  <si>
    <t>Karlheinz</t>
  </si>
  <si>
    <t>Acteur</t>
  </si>
  <si>
    <t>Jeu, contre-emploi :
Sissi et Le Voyeur</t>
  </si>
  <si>
    <t>Pas lié à l’intimité du groupe ; figure de prestige mobilisé pour des rôles de bourgeoisie ou d’autorité</t>
  </si>
  <si>
    <t>Effi Briest; Martha; Le Droit du plus fort; Maman Küsters s’en va au ciel</t>
  </si>
  <si>
    <t>film-1974-effi-briest; film-1974-martha; film-1975-le-droit-du-plus-fort; film-1975-maman-kusters-s-en-va-au-ciel</t>
  </si>
  <si>
    <t>Représentation des masculinités bourgeoises ou autoritaires</t>
  </si>
  <si>
    <t>Bohm.jpg</t>
  </si>
  <si>
    <t>pers-margit-carstensen</t>
  </si>
  <si>
    <t>Margit Carstensen</t>
  </si>
  <si>
    <t>Carstensen</t>
  </si>
  <si>
    <t>Margit</t>
  </si>
  <si>
    <t>Factory</t>
  </si>
  <si>
    <t>Actrice</t>
  </si>
  <si>
    <t>Jeu, intensité dramatique, rapport de pouvoir</t>
  </si>
  <si>
    <t>Proche du groupe, associée à l’univers affectif et conflictuel du collectif</t>
  </si>
  <si>
    <t>Les Larmes amères de Petra von Kant; Martha; Maman Küsters s’en va au ciel; Peur de la peur; Le Rôti de Satan; Roulette chinoise; La Troisième génération</t>
  </si>
  <si>
    <t>film-1972-les-larmes-ameres-de-petra-von-kant; film-1974-martha; film-1975-maman-kusters-s-en-va-au-ciel; film-1975-peur-de-la-peur; film-1976-le-roti-de-satan; film-1976-roulette-chinoise; film-1979-la-troisieme-generation</t>
  </si>
  <si>
    <t>Grande figure du conflit conjugal, social et psychique</t>
  </si>
  <si>
    <t>Carstensen.jpg</t>
  </si>
  <si>
    <t>pers-ingrid-caven</t>
  </si>
  <si>
    <t>Ingrid Caven</t>
  </si>
  <si>
    <t>Caven</t>
  </si>
  <si>
    <t>Ingrid</t>
  </si>
  <si>
    <t>Actrice, chanteuse</t>
  </si>
  <si>
    <t>Jeu, performance, chanson, scène</t>
  </si>
  <si>
    <t>Figure importante du cercle initial, liée au théâtre, à la scène et à la sphère intime du milieu Fassbinder, épouse de RWF</t>
  </si>
  <si>
    <t>L’Amour est plus froid que la mort; Le Soldat américain; Les Dieux de la peste; Pourquoi M. R. est-il atteint de folie meurtrière ?; Le Marchand des quatre saisons; Le Monde sur un fil; Tous les autres s’appellent Ali; Le Droit du plus fort; Maman Küsters s’en va au ciel; Le Rôti de Satan; Despair; L’Année des treize lunes</t>
  </si>
  <si>
    <t>film-1969-l-amour-est-plus-froid-que-la-mort; film-1970-le-soldat-americain; film-1970-les-dieux-de-la-peste; film-1970-pourquoi-m-r-est-il-atteint-de-folie-meurtriere; film-1972-le-marchand-des-quatre-saisons; film-1973-le-monde-sur-un-fil; film-1974-tous-les-autres-s-appellent-ali; film-1975-le-droit-du-plus-fort; film-1975-maman-kusters-s-en-va-au-ciel; film-1976-le-roti-de-satan; film-1978-despair; film-1978-l-annee-des-treize-lunes</t>
  </si>
  <si>
    <t>Articulation entre théâtre, chanson et cinéma</t>
  </si>
  <si>
    <t>Caven.jpg</t>
  </si>
  <si>
    <t>pers-peter-chatel</t>
  </si>
  <si>
    <t>Peter Chatel</t>
  </si>
  <si>
    <t>Chatel</t>
  </si>
  <si>
    <t>Peter</t>
  </si>
  <si>
    <t>Factory / période centrale</t>
  </si>
  <si>
    <t>Jeu, théâtre filmé, relation de pouvoir</t>
  </si>
  <si>
    <t>Proche du milieu artistique, sans statut de relation intime centrale comparable aux membres du noyau fondateur</t>
  </si>
  <si>
    <t>Le Marchand des quatre saisons; Le Monde sur un fil; Martha; Le Droit du plus fort; Maman Küsters s’en va au ciel; Le Rôti de Satan; Lili Marleen</t>
  </si>
  <si>
    <t>film-1972-le-marchand-des-quatre-saisons; film-1973-le-monde-sur-un-fil; film-1974-martha; film-1975-le-droit-du-plus-fort; film-1975-maman-kusters-s-en-va-au-ciel; film-1976-le-roti-de-satan; film-1981-lili-marleen</t>
  </si>
  <si>
    <t>Corps masculin ambigu, souvent lié à la violence sociale</t>
  </si>
  <si>
    <t>Chatel.jpg</t>
  </si>
  <si>
    <t>pers-lilo-pempeit</t>
  </si>
  <si>
    <t>Lilo Pempeit</t>
  </si>
  <si>
    <t>Eder (Pempeit)</t>
  </si>
  <si>
    <t>Liselotte</t>
  </si>
  <si>
    <t>Actrice
Administratrice</t>
  </si>
  <si>
    <t>Mère de RWF</t>
  </si>
  <si>
    <t>Les Dieux de la peste; Pourquoi M. R. est-il atteint de folie meurtrière ?; Le Marchand des quatre saisons; Effi Briest; Martha; Tous les autres s’appellent Ali; Maman Küsters s’en va au ciel; Peur de la peur; La Femme du chef de gare; Despair; La Troisième génération; Le Mariage de Maria Braun; Le Secret de Veronika Voss; Lili Marleen</t>
  </si>
  <si>
    <t>film-1970-les-dieux-de-la-peste; film-1970-pourquoi-m-r-est-il-atteint-de-folie-meurtriere; film-1972-le-marchand-des-quatre-saisons; film-1974-effi-briest; film-1974-martha; film-1974-tous-les-autres-s-appellent-ali; film-1975-maman-kusters-s-en-va-au-ciel; film-1975-peur-de-la-peur; film-1977-la-femme-du-chef-de-gare; film-1978-despair; film-1979-la-troisieme-generation; film-1979-le-mariage-de-maria-braun; film-1981-le-secret-de-veronika-voss; film-1981-lili-marleen</t>
  </si>
  <si>
    <t>Le Petit Chaos</t>
  </si>
  <si>
    <t>Petits rôles et personnages antipathiques le plus souvent</t>
  </si>
  <si>
    <t>Eder.jpg</t>
  </si>
  <si>
    <t>pers-gottfried-john</t>
  </si>
  <si>
    <t>Gottfried John</t>
  </si>
  <si>
    <t>Gottfried</t>
  </si>
  <si>
    <t>John</t>
  </si>
  <si>
    <t>Rôles ambigus : méchant absolu
(James Bond !)</t>
  </si>
  <si>
    <t>Huit heures ne font pas un jour; Maman Küsters s’en va au ciel; Despair; L’Année des treize lunes; Le Mariage de Maria Braun; Berlin Alexanderplatz; Le Secret de Veronika Voss; Lili Marleen; Lola, une femme allemande</t>
  </si>
  <si>
    <t>film-1972-huit-heures-ne-font-pas-un-jour; film-1975-maman-kusters-s-en-va-au-ciel; film-1978-despair; film-1978-l-annee-des-treize-lunes; film-1979-le-mariage-de-maria-braun; film-1980-berlin-alexanderplatz; film-1981-le-secret-de-veronika-voss; film-1981-lili-marleen; film-1981-lola-une-femme-allemande</t>
  </si>
  <si>
    <t>Fascination du méchant, journaliste, Reinhold</t>
  </si>
  <si>
    <t>Gottfried.jpg</t>
  </si>
  <si>
    <t>pers-irm-hermann</t>
  </si>
  <si>
    <t>Irm Hermann</t>
  </si>
  <si>
    <t>Hermann</t>
  </si>
  <si>
    <t>Irm</t>
  </si>
  <si>
    <t>Jeu, répétition de rôle, tension sociale</t>
  </si>
  <si>
    <t>Membre du cercle intime de travail, présence durable du premier collectif, associée à la sphère domestique et quotidienne du groupe</t>
  </si>
  <si>
    <t>L’Amour est plus froid que la mort; Le Bouc; Les Dieux de la peste; Le Marchand des quatre saisons; Les Larmes amères de Petra von Kant; Effi Briest; Nora Helmer; Tous les autres s’appellent Ali; Le Droit du plus fort; Maman Küsters s’en va au ciel; Lili Marleen</t>
  </si>
  <si>
    <t>film-1969-l-amour-est-plus-froid-que-la-mort; film-1969-le-bouc; film-1970-les-dieux-de-la-peste; film-1972-le-marchand-des-quatre-saisons; film-1972-les-larmes-ameres-de-petra-von-kant; film-1974-effi-briest; film-1974-nora-helmer; film-1974-tous-les-autres-s-appellent-ali; film-1975-le-droit-du-plus-fort; film-1975-maman-kusters-s-en-va-au-ciel; film-1981-lili-marleen</t>
  </si>
  <si>
    <t>Corps de la frustration sociale, de l'aliénation et du domestique</t>
  </si>
  <si>
    <t>Hermann.jpg</t>
  </si>
  <si>
    <t>pers-gunther-kaufmann</t>
  </si>
  <si>
    <t>Günther Kaufmann</t>
  </si>
  <si>
    <t>Kaufmann</t>
  </si>
  <si>
    <t>Günther</t>
  </si>
  <si>
    <t>Jeu, masculinité, présence marginale</t>
  </si>
  <si>
    <t>Présence récurrente du cercle de travail, au croisement du professionnel et du relationnel</t>
  </si>
  <si>
    <t>Les Dieux de la peste; Whity; L’Année des treize lunes; La Troisième génération; Le Mariage de Maria Braun; Berlin Alexanderplatz; Le Secret de Veronika Voss; Querelle</t>
  </si>
  <si>
    <t>film-1970-les-dieux-de-la-peste; film-1971-whity; film-1978-l-annee-des-treize-lunes; film-1979-la-troisieme-generation; film-1979-le-mariage-de-maria-braun; film-1980-berlin-alexanderplatz; film-1981-le-secret-de-veronika-voss; film-1982-querelle</t>
  </si>
  <si>
    <t>Incarnation d’une virilité blessée, souvent périphérique</t>
  </si>
  <si>
    <t>Kaufmann.jpg</t>
  </si>
  <si>
    <t>pers-ulli-lommel</t>
  </si>
  <si>
    <t>Ulli Lommel</t>
  </si>
  <si>
    <t>Lommel</t>
  </si>
  <si>
    <t>Ulli</t>
  </si>
  <si>
    <t>Acteur
Producteur,
Collaborateur technique</t>
  </si>
  <si>
    <t>L’Amour est plus froid que la mort; Le Soldat américain; Les Dieux de la peste; Prenez garde à la sainte putain; Whity; Effi Briest; Le Rôti de Satan; Roulette chinoise; Despair</t>
  </si>
  <si>
    <t>film-1969-l-amour-est-plus-froid-que-la-mort; film-1970-le-soldat-americain; film-1970-les-dieux-de-la-peste; film-1971-prenez-garde-a-la-sainte-putain; film-1971-whity; film-1974-effi-briest; film-1976-le-roti-de-satan; film-1976-roulette-chinoise; film-1978-despair</t>
  </si>
  <si>
    <t>Lommel.jpg</t>
  </si>
  <si>
    <t>pers-juliane-lorenz</t>
  </si>
  <si>
    <t>Juliane Lorenz</t>
  </si>
  <si>
    <t>Lorenz</t>
  </si>
  <si>
    <t>Juliane</t>
  </si>
  <si>
    <t>Monteuse, assistante, actrice occasionnelle, productrice assistance à la mise en scène, présence au plateau,</t>
  </si>
  <si>
    <t>Assistance à la mise en scène, présence au plateau, postproduction</t>
  </si>
  <si>
    <t>Compagne de Fassbinder à partir de la seconde moitié des années 1970 ; communauté de travail et de vie jusqu’en 1982</t>
  </si>
  <si>
    <t>Roulette chinoise; La Femme du chef de gare; Despair; La Troisième génération; Berlin Alexanderplatz; Le Secret de Veronika Voss; Lola, une femme allemande</t>
  </si>
  <si>
    <t>film-1976-roulette-chinoise; film-1977-la-femme-du-chef-de-gare; film-1978-despair; film-1979-la-troisieme-generation; film-1980-berlin-alexanderplatz; film-1981-le-secret-de-veronika-voss; film-1981-lola-une-femme-allemande</t>
  </si>
  <si>
    <t>Fig essentielle de la dernière période, à la fois techniquement indispensable et historiquement décisive pour la conservation de l’héritage Fassbinder</t>
  </si>
  <si>
    <t>Lorenz.jpg</t>
  </si>
  <si>
    <t>pers-armin-meier</t>
  </si>
  <si>
    <t>Armin Meier</t>
  </si>
  <si>
    <t>Meier</t>
  </si>
  <si>
    <t>Armin</t>
  </si>
  <si>
    <t>Jeu, relation intime, présence biographique</t>
  </si>
  <si>
    <t>Compagnon de Fassbinder, figure de la dimension autobiographique et affective la plus douloureuse</t>
  </si>
  <si>
    <t>Maman Küsters s’en va au ciel; Peur de la peur; Je veux seulement que vous m’aimiez; Roulette chinoise; La Femme du chef de gare; L’Allemagne en automne</t>
  </si>
  <si>
    <t>film-1975-maman-kusters-s-en-va-au-ciel; film-1975-peur-de-la-peur; film-1976-je-veux-seulement-que-vous-m-aimiez; film-1976-roulette-chinoise; film-1977-la-femme-du-chef-de-gare; film-1978-l-allemagne-en-automne</t>
  </si>
  <si>
    <t>Dimension intime et tragique du cinéma fassbinderien</t>
  </si>
  <si>
    <t>Meier.jpg</t>
  </si>
  <si>
    <t>pers-brigitte-mira</t>
  </si>
  <si>
    <t>Brigitte Mira</t>
  </si>
  <si>
    <t>Mira</t>
  </si>
  <si>
    <t>Brigitte</t>
  </si>
  <si>
    <t>Période centrale / tardive</t>
  </si>
  <si>
    <t>Jeu, décalage social, figure populaire</t>
  </si>
  <si>
    <t>Plutôt collaboratrice d’âge et de trajectoire, moins liée au premier cercle intime que les figures de l’antiteater</t>
  </si>
  <si>
    <t>Effi Briest; Tous les autres s’appellent Ali; Maman Küsters s’en va au ciel; Le Rôti de Satan; Le Mariage de Maria Braun; Berlin Alexanderplatz</t>
  </si>
  <si>
    <t>film-1974-effi-briest; film-1974-tous-les-autres-s-appellent-ali; film-1975-maman-kusters-s-en-va-au-ciel; film-1976-le-roti-de-satan; film-1979-le-mariage-de-maria-braun; film-1980-berlin-alexanderplatz</t>
  </si>
  <si>
    <t>Ancrage populaire et critique sociale</t>
  </si>
  <si>
    <t>Mira.jpg</t>
  </si>
  <si>
    <t>pers-kurt-raab</t>
  </si>
  <si>
    <t>Raab</t>
  </si>
  <si>
    <t>Kurt</t>
  </si>
  <si>
    <t>Acteur, scénariste, costumier</t>
  </si>
  <si>
    <t>Jeu, écriture, conception plastique</t>
  </si>
  <si>
    <t>Ami proche, membre central du collectif, très intégré à la vie quotidienne du groupe Fassbinder</t>
  </si>
  <si>
    <t>L’Amour est plus froid que la mort; Le Bouc; Le Soldat américain; Pourquoi M. R. est-il atteint de folie meurtrière ?; Prenez garde à la sainte putain; Whity; Huit heures ne font pas un jour; Le Marchand des quatre saisons; Les Larmes amères de Petra von Kant; Effi Briest; Martha; Le Droit du plus fort; Maman Küsters s’en va au ciel; Peur de la peur; Le Rôti de Satan; Le Mariage de Maria Braun; Lili Marleen; Querelle</t>
  </si>
  <si>
    <t>film-1969-l-amour-est-plus-froid-que-la-mort; film-1969-le-bouc; film-1970-le-soldat-americain; film-1970-pourquoi-m-r-est-il-atteint-de-folie-meurtriere; film-1971-prenez-garde-a-la-sainte-putain; film-1971-whity; film-1972-huit-heures-ne-font-pas-un-jour; film-1972-le-marchand-des-quatre-saisons; film-1972-les-larmes-ameres-de-petra-von-kant; film-1974-effi-briest; film-1974-martha; film-1975-le-droit-du-plus-fort; film-1975-maman-kusters-s-en-va-au-ciel; film-1975-peur-de-la-peur; film-1976-le-roti-de-satan; film-1979-le-mariage-de-maria-braun; film-1981-lili-marleen; film-1982-querelle</t>
  </si>
  <si>
    <t>Collaborateur total, à la frontière du jeu et de la fabrication matérielle, Chef Décorateur , identité visuelle des films de RWF</t>
  </si>
  <si>
    <t>Raab.jpg</t>
  </si>
  <si>
    <t>pers-peer-raben</t>
  </si>
  <si>
    <t>Raben</t>
  </si>
  <si>
    <t>Peer</t>
  </si>
  <si>
    <t>Compositeur</t>
  </si>
  <si>
    <t>Musique, ambiance, structure émotionnelle</t>
  </si>
  <si>
    <t>Ami intime et partenaire artistique central, l’une des présences les plus constantes du cercle Fassbinder</t>
  </si>
  <si>
    <t>Architecte sonore de la mélancolie fassbinderienne</t>
  </si>
  <si>
    <t>Raben.jpg</t>
  </si>
  <si>
    <t>pers-daniel-schmid</t>
  </si>
  <si>
    <t>Daniel Schmid</t>
  </si>
  <si>
    <t>Schmid</t>
  </si>
  <si>
    <t>Daniel</t>
  </si>
  <si>
    <t>Réseau élargi / tardif</t>
  </si>
  <si>
    <t>Cinéaste, monteur, collaborateur</t>
  </si>
  <si>
    <t>Montage, relais artistique</t>
  </si>
  <si>
    <t>Compagnonnage artistique plus que vie privée centrale</t>
  </si>
  <si>
    <t>Collaborateur du cinéma européen d’auteur, au voisinage de Fassbinder</t>
  </si>
  <si>
    <t>Schmid.jpg</t>
  </si>
  <si>
    <t>pers-hanna-schygulla</t>
  </si>
  <si>
    <t>Hanna Schygulla</t>
  </si>
  <si>
    <t>Schygulla</t>
  </si>
  <si>
    <t>Hanna</t>
  </si>
  <si>
    <t>Atrice, muse</t>
  </si>
  <si>
    <t>Jeu, présence, incarnation, image publique</t>
  </si>
  <si>
    <t>Proche collaboratrice de longue durée, liée au noyau fondateur du groupe et à l’intimité artistique de Fassbinder</t>
  </si>
  <si>
    <t>L’Amour est plus froid que la mort; Le Bouc; Les Dieux de la peste; Prenez garde à la sainte putain; Huit heures ne font pas un jour; Le Marchand des quatre saisons; Les Larmes amères de Petra von Kant; Effi Briest; La Troisième génération; Le Mariage de Maria Braun; Berlin Alexanderplatz; Lili Marleen</t>
  </si>
  <si>
    <t>film-1969-l-amour-est-plus-froid-que-la-mort; film-1969-le-bouc; film-1970-les-dieux-de-la-peste; film-1971-prenez-garde-a-la-sainte-putain; film-1972-huit-heures-ne-font-pas-un-jour; film-1972-le-marchand-des-quatre-saisons; film-1972-les-larmes-ameres-de-petra-von-kant; film-1974-effi-briest; film-1979-la-troisieme-generation; film-1979-le-mariage-de-maria-braun; film-1980-berlin-alexanderplatz; film-1981-lili-marleen</t>
  </si>
  <si>
    <t>Rio das Mortes</t>
  </si>
  <si>
    <t>Figure centrale de la féminité fassbinderienne, du naturalisme au mélodrame historique</t>
  </si>
  <si>
    <t>Schygulla.jpg</t>
  </si>
  <si>
    <t>pers-ursula-stratz</t>
  </si>
  <si>
    <t>Ursula Strätz</t>
  </si>
  <si>
    <t>Strätz</t>
  </si>
  <si>
    <t>Ursula</t>
  </si>
  <si>
    <t>Noyau théâtral</t>
  </si>
  <si>
    <t>Jeu, ancrage scénique</t>
  </si>
  <si>
    <t>Proche du milieu théâtral des débuts, sans précision biographique intime forte dans la source de départ</t>
  </si>
  <si>
    <t>L’Amour est plus froid que la mort; Le Voyage à Niklashausen; Les Dieux de la peste; Effi Briest</t>
  </si>
  <si>
    <t>film-1969-l-amour-est-plus-froid-que-la-mort; film-1970-le-voyage-a-niklashausen; film-1970-les-dieux-de-la-peste; film-1974-effi-briest</t>
  </si>
  <si>
    <t>Lien entre théâtre et premiers essais filmiques</t>
  </si>
  <si>
    <t>Strätz.jpg</t>
  </si>
  <si>
    <t>pers-lilith-ungerer</t>
  </si>
  <si>
    <t>Lilith Ungerer</t>
  </si>
  <si>
    <t>Ungerer</t>
  </si>
  <si>
    <t>Lilith</t>
  </si>
  <si>
    <t>Jeu</t>
  </si>
  <si>
    <t>Collaboratrice du cercle, sanns information forte de vie privée dans le tableau de départ</t>
  </si>
  <si>
    <t>Le Bouc; Les Dieux de la peste; Pourquoi M. R. est-il atteint de folie meurtrière ?</t>
  </si>
  <si>
    <t>film-1969-le-bouc; film-1970-les-dieux-de-la-peste; film-1970-pourquoi-m-r-est-il-atteint-de-folie-meurtriere</t>
  </si>
  <si>
    <t>Présence latérale mais significative dans le collectif</t>
  </si>
  <si>
    <t>Ungerer.jpg</t>
  </si>
  <si>
    <t>pers-barbara-valentin</t>
  </si>
  <si>
    <t>Barbara Valentin</t>
  </si>
  <si>
    <t>Valentin</t>
  </si>
  <si>
    <t>Barbara</t>
  </si>
  <si>
    <t>« Brigitte Bardot allemande »</t>
  </si>
  <si>
    <t>Les Dieux de la peste; Le Monde sur un fil; Martha; Tous les autres s’appellent Ali; Maman Küsters s’en va au ciel</t>
  </si>
  <si>
    <t>film-1970-les-dieux-de-la-peste; film-1973-le-monde-sur-un-fil; film-1974-martha; film-1974-tous-les-autres-s-appellent-ali; film-1975-maman-kusters-s-en-va-au-ciel</t>
  </si>
  <si>
    <t>Figure sensuelle et populaire</t>
  </si>
  <si>
    <t>Valentin.jpg</t>
  </si>
  <si>
    <t>pers-volker-spengler</t>
  </si>
  <si>
    <t>Volker Spengler</t>
  </si>
  <si>
    <t>Volker</t>
  </si>
  <si>
    <t>Spengler</t>
  </si>
  <si>
    <t>Maman Küsters s’en va au ciel; Le Rôti de Satan; Roulette chinoise; Despair; L’Année des treize lunes; La Troisième génération; Le Mariage de Maria Braun; Berlin Alexanderplatz</t>
  </si>
  <si>
    <t>film-1975-maman-kusters-s-en-va-au-ciel; film-1976-le-roti-de-satan; film-1976-roulette-chinoise; film-1978-despair; film-1978-l-annee-des-treize-lunes; film-1979-la-troisieme-generation; film-1979-le-mariage-de-maria-braun; film-1980-berlin-alexanderplatz</t>
  </si>
  <si>
    <t>Incarne souvent des personnages de travestis ou qui se déguisent, il incarne une inquiétante étrangeté.</t>
  </si>
  <si>
    <t>Volker.jpg</t>
  </si>
  <si>
    <t>Ich will doch nur, daß ihr mich liebt</t>
  </si>
  <si>
    <t>Bavaria Atelier GmbH pour la WDR</t>
  </si>
  <si>
    <t>Vitus Zeplichal : Peter
Elke Aberle : Erika
Alexander Allerson : le père
Erni Mangold : la mère
Johanna Hofer : la grand-mère
Katharina Buchhammer : Ulla
Wolfgang Hess : le chef de chantier
Armin Meier : le contremaître
Erika Runge : la psychologue
Ulrich Radke : le père d’Erika
Annemarie Wendl : la mère d’Erika
Janos Gönczöl : le tenancier
Edith Volkmann : la tenancière
Robert Naegele : l’huissier
Axel Ganz : le concierge
Inge Schulz : Mme Emmerich
Heinz H. Bernstein : le vendeur de meubles
Helga Bender : la vendeuse dans la boutique
Adi Gruber : l’employé des postes
Ingrid Caven : la vendeuse de machines à tricoter
Sonja Neudorres : la bijoutière
Reinhard Brex : l’entrepreneur
Lilo Pempeit : la dame à la poste</t>
  </si>
  <si>
    <t>Adaptation : d’après une histoire tirée de Lebenslänglich — Protokolle aus der Haft de Klaus Antes et Christiane Ehrhardt
Assistants à la réalisation : Renate Leiffer ; Christian Hohoff
Production exécutive : Peter Märthesheimer
Son : Karsten Ullrich
Format : 16 mm, couleur
Genre : drame
Tournage : 25 jours, novembre-décembre 1975, Munich et environs
Diffusion : 23 mars 1976 (ARD)</t>
  </si>
  <si>
    <t>Peter Trepper, condamné à dix ans de prison pour homicide, raconte son histoire à une psychologue. Privé d’affection par ses parents, il cherche à gagner l’amour de son épouse Erika par son travail, les cadeaux et une consommation à crédit qui l’endette toujours davantage. Épuisé par le surtravail et incapable de demander de l’aide, il finit par tuer un cafetier qui maltraite un jeune homme.</t>
  </si>
  <si>
    <t>Peter tente d’acheter par son travail et ses cadeaux une affection dont il a été privé : chez Fassbinder, l’argent, les objets et les sentiments sont incommensurables. L’engrenage du crédit et du surtravail inscrit sa détresse dans le « miracle économique » ouest-allemand, construit au prix des relations humaines. Les retours en arrière, les brefs aperçus anticipés, les fleurs et les miroirs empruntent au mélodrame tout en révélant les origines quotidiennes de la violence et de la folie.</t>
  </si>
  <si>
    <t>amour|famille|travail|argent|crédit|consommation|surtravail|violence|folie|mélodrame|fleurs|miroirs</t>
  </si>
  <si>
    <t>Film collectif : Alf Brustellin ; Bernhard Sinkel ; Rainer Werner Fassbinder ; Alexander Kluge ; Maximiliane Mainka ; Edgar Reitz ; Beate Mainka-Jellinghaus ; Peter Schubert ; Hans Peter Cloos ; Katja Rupé ; Volker Schlöndorff
Format : 1,66:1, mono
Genre : drame, documentaire
Sortie : mars 1978</t>
  </si>
  <si>
    <t>Premier film consacré à la Fraction armée rouge, L’Allemagne en automne réunit plusieurs cinéastes du Nouveau cinéma allemand. Dans son segment autofictionnel, Fassbinder met en scène son travail, son couple et sa mère pour confronter l’artiste et la société allemande aux événements de l’automne 1977, à la question de l’engagement et au poids de la mémoire historique.</t>
  </si>
  <si>
    <t>Fassbinder expose la contradiction entre son analyse politique et un comportement intime ambivalent, violent et irrationnel, notamment dans sa relation avec Armin Meier. Armin et la mère du cinéaste incarnent deux formes de « bon sens » allemand où la défense de la démocratie coexiste avec l’acceptation de la violence policière et le désir d’autorité. Le huis clos obscur, les cadres serrés et les surcadrages composent ainsi l’autoportrait crépusculaire d’un artiste impuissant, où l’intime, le politique et la création demeurent indissociables.</t>
  </si>
  <si>
    <t>Fraction armée rouge|terrorisme|autofiction|engagement|démocratie|autorité|mémoire|couple|autoportrait|intime|politique|huis clos</t>
  </si>
  <si>
    <t>Despair – Eine Reise ins Licht</t>
  </si>
  <si>
    <t>Tom Stoppard, d’après La Méprise de Vladimir Nabokov</t>
  </si>
  <si>
    <t>Dirk Bogarde : Hermann Hermann
Andréa Ferréol : Lydia
Klaus Löwitsch : Felix Weber
Volker Spengler : Ardalion
Peter Kern : Müller
Alexander Allerson : Mayer
Gottfried John : Perebrodov
Hark Bohm : le docteur
Bernhard Wicki : Orlovius
Isolde Barth
Ingrid Caven : la réceptionniste de l’hôtel
Adrian Hoven : l’inspecteur Schelling
Roger Fritz : l’inspecteur Braun
Voli Geiller : Madame
Hans Zander : le frère de Müller</t>
  </si>
  <si>
    <t>Langue : anglais
Format : couleur
Sortie : 19 mai 1978</t>
  </si>
  <si>
    <t>Dans l’Allemagne des années 1930, Hermann Hermann, magnat du chocolat et émigré russe, s’enfonce lentement dans la folie.</t>
  </si>
  <si>
    <t>En adaptant Nabokov, Fassbinder transforme le récit du double en crise de l’identification : vitres, miroirs, zooms et décalages spatiaux rendent la perception instable et empêchent Hermann de s’inscrire dans un espace classique. Le récit labyrinthique repose sur des répétitions, des échos et des identités flottantes, jusqu’à la rupture finale de la fiction face à la caméra. La folie du bourgeois, l’impuissance sexuelle et le rêve de fusion se nouent à l’ascension du nazisme et à une lecture du fascisme comme forme extrême du capitalisme de monopole.</t>
  </si>
  <si>
    <t>double|folie|identité|perception|labyrinthe|miroirs|nazisme|capitalisme|homosexualité|adaptation|Nabokov|cinéma</t>
  </si>
  <si>
    <r>
      <rPr>
        <sz val="11"/>
        <color theme="1"/>
        <rFont val="Carlito"/>
      </rPr>
      <t xml:space="preserve">Le film dénonce la violence exercée par une société étriquée contre les étrnagers, violence que le personnage principal, d'origine grecque, reconduit avec des individus encore plus dominés que lui. Film à l'esthétique avant-gardiste, brechtienne par son caractère anti-illustionniste. Il est constitué d'une suite de brefs tableaux, d'images figées, de plans fontaux. Les mouvements de caméra sont rares : des travellings latéraux, sans profondeur d'images, conservent une forme de théâtralité à l'image. Comme d'autres films  de RWF de la période, </t>
    </r>
    <r>
      <rPr>
        <i/>
        <sz val="11"/>
        <color theme="1"/>
        <rFont val="Carlito"/>
      </rPr>
      <t xml:space="preserve">Le bouc </t>
    </r>
    <r>
      <rPr>
        <sz val="11"/>
        <color theme="1"/>
        <rFont val="Carlito"/>
      </rPr>
      <t xml:space="preserve">vise un public qui n'est ni restreint et cinéphile, ni populaire.  </t>
    </r>
  </si>
  <si>
    <t>Collaboration ponctuelle et opportuniste</t>
  </si>
  <si>
    <t>Petit chaos</t>
  </si>
  <si>
    <t>Court-métrage</t>
  </si>
  <si>
    <t>Le Clochard</t>
  </si>
  <si>
    <t>rwf-1967-petit-chaos</t>
  </si>
  <si>
    <t>rwf-1966-le-clochard</t>
  </si>
  <si>
    <t>film-1966-le-clochard</t>
  </si>
  <si>
    <t>film-1967-petit-chaos</t>
  </si>
  <si>
    <t>rwf-1970-rio-das-mortes</t>
  </si>
  <si>
    <t>Rio das mortes</t>
  </si>
  <si>
    <t>Film</t>
  </si>
  <si>
    <t>Rainer Werner Fassbinder et Michael Fengler</t>
  </si>
  <si>
    <t>film-1970-rio-das-mortes</t>
  </si>
  <si>
    <t>rwf-1978-l-allemagne-en-automne</t>
  </si>
  <si>
    <t>rwf-1978-l-annee-des-treize-lunes</t>
  </si>
  <si>
    <t>film-1978-le-mariage-de-maria-braun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</si>
</sst>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name val="Carlito"/>
    </font>
    <font>
      <b/>
      <sz val="11"/>
      <color rgb="FFFFFFFF"/>
      <name val="Carlito"/>
    </font>
    <font>
      <b/>
      <sz val="16"/>
      <color rgb="FFFFFFFF"/>
      <name val="Carlito"/>
    </font>
    <font>
      <b/>
      <sz val="11"/>
      <color rgb="FFB84213"/>
      <name val="Carlito"/>
    </font>
    <font>
      <b/>
      <sz val="11"/>
      <name val="Carlito"/>
    </font>
    <font>
      <sz val="11"/>
      <color rgb="FF1F4E78"/>
      <name val="Carlito"/>
    </font>
    <font>
      <b/>
      <sz val="11"/>
      <color rgb="FF1F4E78"/>
      <name val="Carlito"/>
    </font>
    <font>
      <sz val="11"/>
      <color theme="1"/>
      <name val="Carlito"/>
    </font>
    <font>
      <i/>
      <sz val="11"/>
      <color theme="1"/>
      <name val="Carlito"/>
    </font>
  </fonts>
  <fills count="10">
    <fill>
      <patternFill patternType="none"/>
    </fill>
    <fill>
      <patternFill patternType="gray125"/>
    </fill>
    <fill>
      <patternFill patternType="solid">
        <fgColor rgb="FF182B3A"/>
      </patternFill>
    </fill>
    <fill>
      <patternFill patternType="solid">
        <fgColor rgb="FFF06424"/>
      </patternFill>
    </fill>
    <fill>
      <patternFill patternType="solid">
        <fgColor rgb="FFFFF4ED"/>
      </patternFill>
    </fill>
    <fill>
      <patternFill patternType="solid">
        <fgColor rgb="FFE8EEF2"/>
      </patternFill>
    </fill>
    <fill>
      <patternFill patternType="solid">
        <fgColor rgb="FF1F4E78"/>
      </patternFill>
    </fill>
    <fill>
      <patternFill patternType="solid">
        <fgColor rgb="FFF2F7FB"/>
      </patternFill>
    </fill>
    <fill>
      <patternFill patternType="solid">
        <fgColor rgb="FFEEF5FA"/>
      </patternFill>
    </fill>
    <fill>
      <patternFill patternType="solid">
        <fgColor theme="2"/>
        <bgColor indexed="64"/>
      </patternFill>
    </fill>
  </fills>
  <borders count="1">
    <border>
      <left/>
      <right/>
      <top/>
      <bottom/>
      <diagonal/>
    </border>
  </borders>
  <cellStyleXfs count="1">
    <xf numFmtId="0" fontId="0" fillId="0" borderId="0"/>
  </cellStyleXfs>
  <cellXfs count="14">
    <xf numFmtId="0" fontId="0" fillId="0" borderId="0" xfId="0"/>
    <xf numFmtId="0" fontId="0" fillId="0" borderId="0" xfId="0" applyAlignment="1">
      <alignment wrapText="1"/>
    </xf>
    <xf numFmtId="0" fontId="1" fillId="3" borderId="0" xfId="0" applyFont="1" applyFill="1"/>
    <xf numFmtId="0" fontId="3" fillId="4" borderId="0" xfId="0" applyFont="1" applyFill="1" applyAlignment="1">
      <alignment wrapText="1"/>
    </xf>
    <xf numFmtId="0" fontId="4" fillId="5" borderId="0" xfId="0" applyFont="1" applyFill="1" applyAlignment="1">
      <alignment wrapText="1"/>
    </xf>
    <xf numFmtId="0" fontId="1" fillId="6" borderId="0" xfId="0" applyFont="1" applyFill="1" applyAlignment="1">
      <alignment horizontal="center" vertical="center" wrapText="1"/>
    </xf>
    <xf numFmtId="0" fontId="0" fillId="7" borderId="0" xfId="0" applyFill="1" applyAlignment="1">
      <alignment wrapText="1"/>
    </xf>
    <xf numFmtId="0" fontId="5" fillId="8" borderId="0" xfId="0" applyFont="1" applyFill="1" applyAlignment="1">
      <alignment wrapText="1"/>
    </xf>
    <xf numFmtId="0" fontId="6" fillId="0" borderId="0" xfId="0" applyFont="1" applyAlignment="1">
      <alignment wrapText="1"/>
    </xf>
    <xf numFmtId="0" fontId="0" fillId="0" borderId="0" xfId="0" applyAlignment="1">
      <alignment vertical="top" wrapText="1"/>
    </xf>
    <xf numFmtId="1" fontId="0" fillId="0" borderId="0" xfId="0" applyNumberFormat="1" applyAlignment="1">
      <alignment vertical="top" wrapText="1"/>
    </xf>
    <xf numFmtId="0" fontId="7" fillId="9" borderId="0" xfId="0" applyFont="1" applyFill="1" applyAlignment="1">
      <alignment horizontal="left" vertical="top" wrapText="1"/>
    </xf>
    <xf numFmtId="0" fontId="7" fillId="9" borderId="0" xfId="0" applyFont="1" applyFill="1" applyAlignment="1">
      <alignment horizontal="left" vertical="top"/>
    </xf>
    <xf numFmtId="0" fontId="2" fillId="2" borderId="0" xfId="0" applyFont="1" applyFill="1" applyAlignment="1">
      <alignment horizontal="left" vertical="center" wrapText="1"/>
    </xf>
  </cellXfs>
  <cellStyles count="1">
    <cellStyle name="Normal" xfId="0" builtinId="0"/>
  </cellStyles>
  <dxfs count="32">
    <dxf>
      <fill>
        <patternFill>
          <bgColor rgb="FFF3F6F8"/>
        </patternFill>
      </fill>
    </dxf>
    <dxf>
      <fill>
        <patternFill>
          <bgColor rgb="FFF3F6F8"/>
        </patternFill>
      </fill>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ilmsTable" displayName="FilmsTable" ref="A1:AA44" headerRowDxfId="31" dataDxfId="30" totalsRowDxfId="29">
  <tableColumns count="27">
    <tableColumn id="1" xr3:uid="{00000000-0010-0000-0000-000001000000}" name="ID" dataDxfId="28"/>
    <tableColumn id="2" xr3:uid="{00000000-0010-0000-0000-000002000000}" name="Titre français" dataDxfId="27"/>
    <tableColumn id="3" xr3:uid="{00000000-0010-0000-0000-000003000000}" name="Titre original" dataDxfId="26"/>
    <tableColumn id="4" xr3:uid="{00000000-0010-0000-0000-000004000000}" name="Année" dataDxfId="25"/>
    <tableColumn id="5" xr3:uid="{00000000-0010-0000-0000-000005000000}" name="Type" dataDxfId="24"/>
    <tableColumn id="6" xr3:uid="{00000000-0010-0000-0000-000006000000}" name="Durée (min)" dataDxfId="23"/>
    <tableColumn id="7" xr3:uid="{00000000-0010-0000-0000-000007000000}" name="Pays" dataDxfId="22"/>
    <tableColumn id="8" xr3:uid="{00000000-0010-0000-0000-000008000000}" name="Réalisation" dataDxfId="21"/>
    <tableColumn id="9" xr3:uid="{00000000-0010-0000-0000-000009000000}" name="Scénario" dataDxfId="20"/>
    <tableColumn id="10" xr3:uid="{00000000-0010-0000-0000-00000A000000}" name="Image" dataDxfId="19"/>
    <tableColumn id="11" xr3:uid="{00000000-0010-0000-0000-00000B000000}" name="Montage" dataDxfId="18"/>
    <tableColumn id="28" xr3:uid="{00000000-0010-0000-0000-00001C000000}" name="Décors" dataDxfId="17"/>
    <tableColumn id="12" xr3:uid="{00000000-0010-0000-0000-00000C000000}" name="Musique" dataDxfId="16"/>
    <tableColumn id="13" xr3:uid="{00000000-0010-0000-0000-00000D000000}" name="Production" dataDxfId="15"/>
    <tableColumn id="14" xr3:uid="{00000000-0010-0000-0000-00000E000000}" name="Distribution artistique" dataDxfId="14"/>
    <tableColumn id="15" xr3:uid="{00000000-0010-0000-0000-00000F000000}" name="Équipe technique" dataDxfId="13"/>
    <tableColumn id="16" xr3:uid="{00000000-0010-0000-0000-000010000000}" name="Synopsis" dataDxfId="12"/>
    <tableColumn id="17" xr3:uid="{00000000-0010-0000-0000-000011000000}" name="Extraits" dataDxfId="11"/>
    <tableColumn id="18" xr3:uid="{00000000-0010-0000-0000-000012000000}" name="Analyse" dataDxfId="10"/>
    <tableColumn id="19" xr3:uid="{00000000-0010-0000-0000-000013000000}" name="Bibliographie" dataDxfId="9"/>
    <tableColumn id="20" xr3:uid="{00000000-0010-0000-0000-000014000000}" name="Affiche" dataDxfId="8"/>
    <tableColumn id="21" xr3:uid="{00000000-0010-0000-0000-000015000000}" name="Légende affiche" dataDxfId="7"/>
    <tableColumn id="22" xr3:uid="{00000000-0010-0000-0000-000016000000}" name="Source affiche" dataDxfId="6"/>
    <tableColumn id="23" xr3:uid="{00000000-0010-0000-0000-000017000000}" name="Liens chronologie" dataDxfId="5"/>
    <tableColumn id="24" xr3:uid="{00000000-0010-0000-0000-000018000000}" name="Mots-clés" dataDxfId="4"/>
    <tableColumn id="25" xr3:uid="{00000000-0010-0000-0000-000019000000}" name="Sources" dataDxfId="3"/>
    <tableColumn id="26" xr3:uid="{00000000-0010-0000-0000-00001A000000}" name="Statut" dataDxfId="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ferentielEntourage" displayName="ReferentielEntourage" ref="A1:N24" totalsRowShown="0">
  <tableColumns count="14">
    <tableColumn id="1" xr3:uid="{00000000-0010-0000-0100-000001000000}" name="ID canonique"/>
    <tableColumn id="2" xr3:uid="{00000000-0010-0000-0100-000002000000}" name="Nom canonique"/>
    <tableColumn id="3" xr3:uid="{00000000-0010-0000-0100-000003000000}" name="Nom source"/>
    <tableColumn id="4" xr3:uid="{00000000-0010-0000-0100-000004000000}" name="Prénom source"/>
    <tableColumn id="5" xr3:uid="{00000000-0010-0000-0100-000005000000}" name="Surnom"/>
    <tableColumn id="6" xr3:uid="{00000000-0010-0000-0100-000006000000}" name="Strate"/>
    <tableColumn id="7" xr3:uid="{00000000-0010-0000-0100-000007000000}" name="Fonction dominante"/>
    <tableColumn id="8" xr3:uid="{00000000-0010-0000-0100-000008000000}" name="Type de collaboration"/>
    <tableColumn id="9" xr3:uid="{00000000-0010-0000-0100-000009000000}" name="Vie privée / lien avec Fassbinder"/>
    <tableColumn id="10" xr3:uid="{00000000-0010-0000-0100-00000A000000}" name="Œuvres de Fassbinder"/>
    <tableColumn id="11" xr3:uid="{00000000-0010-0000-0100-00000B000000}" name="IDs films — Œuvres de Fassbinder"/>
    <tableColumn id="12" xr3:uid="{00000000-0010-0000-0100-00000C000000}" name="Œuvres non rapprochées"/>
    <tableColumn id="13" xr3:uid="{00000000-0010-0000-0100-00000D000000}" name="Rôle dans l’univers Fassbinder"/>
    <tableColumn id="14" xr3:uid="{00000000-0010-0000-0100-00000E000000}" name="Portrait"/>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44"/>
  <sheetViews>
    <sheetView tabSelected="1" topLeftCell="W35" workbookViewId="0">
      <selection activeCell="AB37" sqref="AB37"/>
    </sheetView>
  </sheetViews>
  <sheetFormatPr baseColWidth="10" defaultColWidth="8.83203125" defaultRowHeight="14"/>
  <cols>
    <col min="1" max="1" width="24" customWidth="1"/>
    <col min="2" max="2" width="34" customWidth="1"/>
    <col min="3" max="3" width="32" customWidth="1"/>
    <col min="4" max="4" width="10" customWidth="1"/>
    <col min="5" max="5" width="24" customWidth="1"/>
    <col min="6" max="6" width="12" customWidth="1"/>
    <col min="7" max="7" width="14" customWidth="1"/>
    <col min="8" max="8" width="24" customWidth="1"/>
    <col min="9" max="9" width="34" customWidth="1"/>
    <col min="10" max="12" width="24" customWidth="1"/>
    <col min="13" max="13" width="20" customWidth="1"/>
    <col min="14" max="14" width="26" customWidth="1"/>
    <col min="15" max="16" width="42" customWidth="1"/>
    <col min="17" max="17" width="50" customWidth="1"/>
    <col min="18" max="18" width="35" customWidth="1"/>
    <col min="19" max="19" width="50" customWidth="1"/>
    <col min="20" max="20" width="35" customWidth="1"/>
    <col min="21" max="21" width="24" customWidth="1"/>
    <col min="22" max="23" width="30" customWidth="1"/>
    <col min="24" max="24" width="18" customWidth="1"/>
    <col min="25" max="25" width="34" customWidth="1"/>
    <col min="26" max="26" width="30" customWidth="1"/>
    <col min="27" max="27" width="22" customWidth="1"/>
    <col min="28" max="28" width="16" customWidth="1"/>
    <col min="29" max="30" width="42" customWidth="1"/>
    <col min="31" max="31" width="38" customWidth="1"/>
  </cols>
  <sheetData>
    <row r="1" spans="1:30" ht="80.25" customHeight="1">
      <c r="A1" s="5" t="s">
        <v>0</v>
      </c>
      <c r="B1" s="5" t="s">
        <v>1</v>
      </c>
      <c r="C1" s="5" t="s">
        <v>2</v>
      </c>
      <c r="D1" s="5" t="s">
        <v>3</v>
      </c>
      <c r="E1" s="5" t="s">
        <v>4</v>
      </c>
      <c r="F1" s="5" t="s">
        <v>5</v>
      </c>
      <c r="G1" s="5" t="s">
        <v>6</v>
      </c>
      <c r="H1" s="5" t="s">
        <v>7</v>
      </c>
      <c r="I1" s="5" t="s">
        <v>8</v>
      </c>
      <c r="J1" s="5" t="s">
        <v>9</v>
      </c>
      <c r="K1" s="5" t="s">
        <v>10</v>
      </c>
      <c r="L1" s="5" t="s">
        <v>11</v>
      </c>
      <c r="M1" s="5" t="s">
        <v>12</v>
      </c>
      <c r="N1" s="5" t="s">
        <v>13</v>
      </c>
      <c r="O1" s="5" t="s">
        <v>14</v>
      </c>
      <c r="P1" s="5" t="s">
        <v>15</v>
      </c>
      <c r="Q1" s="5" t="s">
        <v>16</v>
      </c>
      <c r="R1" s="5" t="s">
        <v>17</v>
      </c>
      <c r="S1" s="5" t="s">
        <v>18</v>
      </c>
      <c r="T1" s="5" t="s">
        <v>19</v>
      </c>
      <c r="U1" s="5" t="s">
        <v>20</v>
      </c>
      <c r="V1" s="5" t="s">
        <v>21</v>
      </c>
      <c r="W1" s="5" t="s">
        <v>22</v>
      </c>
      <c r="X1" s="5" t="s">
        <v>23</v>
      </c>
      <c r="Y1" s="5" t="s">
        <v>24</v>
      </c>
      <c r="Z1" s="5" t="s">
        <v>25</v>
      </c>
      <c r="AA1" s="5" t="s">
        <v>26</v>
      </c>
      <c r="AB1" s="1" t="s">
        <v>27</v>
      </c>
      <c r="AC1" s="1" t="s">
        <v>28</v>
      </c>
      <c r="AD1" s="1" t="s">
        <v>29</v>
      </c>
    </row>
    <row r="2" spans="1:30" s="12" customFormat="1" ht="80.25" customHeight="1">
      <c r="A2" s="11" t="s">
        <v>594</v>
      </c>
      <c r="B2" s="11" t="s">
        <v>592</v>
      </c>
      <c r="C2" s="11"/>
      <c r="D2" s="11">
        <v>1966</v>
      </c>
      <c r="E2" s="11" t="s">
        <v>591</v>
      </c>
      <c r="F2" s="11"/>
      <c r="G2" s="11" t="s">
        <v>34</v>
      </c>
      <c r="H2" s="9" t="s">
        <v>35</v>
      </c>
      <c r="I2" s="11"/>
      <c r="J2" s="11"/>
      <c r="K2" s="11"/>
      <c r="L2" s="11"/>
      <c r="M2" s="11"/>
      <c r="N2" s="11"/>
      <c r="O2" s="11"/>
      <c r="P2" s="11"/>
      <c r="Q2" s="11"/>
      <c r="R2" s="11"/>
      <c r="S2" s="11"/>
      <c r="T2" s="11"/>
      <c r="U2" s="11"/>
      <c r="V2" s="11"/>
      <c r="W2" s="11"/>
      <c r="X2" s="11"/>
      <c r="Y2" s="11"/>
      <c r="Z2" s="11"/>
      <c r="AA2" s="11"/>
      <c r="AB2" s="1" t="s">
        <v>595</v>
      </c>
      <c r="AC2" s="11"/>
      <c r="AD2" s="11"/>
    </row>
    <row r="3" spans="1:30" s="12" customFormat="1" ht="80.25" customHeight="1">
      <c r="A3" s="11" t="s">
        <v>593</v>
      </c>
      <c r="B3" s="11" t="s">
        <v>590</v>
      </c>
      <c r="C3" s="11"/>
      <c r="D3" s="11">
        <v>1967</v>
      </c>
      <c r="E3" s="11" t="s">
        <v>591</v>
      </c>
      <c r="F3" s="11"/>
      <c r="G3" s="11" t="s">
        <v>34</v>
      </c>
      <c r="H3" s="9" t="s">
        <v>35</v>
      </c>
      <c r="I3" s="11"/>
      <c r="J3" s="11"/>
      <c r="K3" s="11"/>
      <c r="L3" s="11"/>
      <c r="M3" s="11"/>
      <c r="N3" s="11"/>
      <c r="O3" s="11"/>
      <c r="P3" s="11"/>
      <c r="Q3" s="11"/>
      <c r="R3" s="11"/>
      <c r="S3" s="11"/>
      <c r="T3" s="11"/>
      <c r="U3" s="11"/>
      <c r="V3" s="11"/>
      <c r="W3" s="11"/>
      <c r="X3" s="11"/>
      <c r="Y3" s="11"/>
      <c r="Z3" s="11"/>
      <c r="AA3" s="11"/>
      <c r="AB3" s="11" t="s">
        <v>596</v>
      </c>
      <c r="AC3" s="11"/>
      <c r="AD3" s="11"/>
    </row>
    <row r="4" spans="1:30" ht="170.75" customHeight="1">
      <c r="A4" s="9" t="s">
        <v>30</v>
      </c>
      <c r="B4" s="9" t="s">
        <v>31</v>
      </c>
      <c r="C4" s="9" t="s">
        <v>32</v>
      </c>
      <c r="D4" s="10">
        <v>1969</v>
      </c>
      <c r="E4" s="9" t="s">
        <v>33</v>
      </c>
      <c r="F4" s="10"/>
      <c r="G4" s="9" t="s">
        <v>34</v>
      </c>
      <c r="H4" s="9" t="s">
        <v>35</v>
      </c>
      <c r="I4" s="9"/>
      <c r="J4" s="9"/>
      <c r="K4" s="9"/>
      <c r="L4" s="9"/>
      <c r="M4" s="9"/>
      <c r="N4" s="9"/>
      <c r="O4" s="9"/>
      <c r="P4" s="9"/>
      <c r="Q4" s="9"/>
      <c r="R4" s="9"/>
      <c r="S4" s="9"/>
      <c r="T4" s="9"/>
      <c r="U4" s="9" t="s">
        <v>36</v>
      </c>
      <c r="V4" s="9"/>
      <c r="W4" s="9"/>
      <c r="X4" s="9" t="s">
        <v>37</v>
      </c>
      <c r="Y4" s="9"/>
      <c r="Z4" s="9"/>
      <c r="AA4" s="9" t="s">
        <v>38</v>
      </c>
      <c r="AB4" s="1" t="s">
        <v>39</v>
      </c>
      <c r="AC4" s="7" t="str">
        <f>IF(O4="","",_xlfn.TEXTJOIN("; ",TRUE,IF(ISNUMBER(SEARCH('Référentiel entourage'!$B$2,O4)),'Référentiel entourage'!$A$2,""),IF(ISNUMBER(SEARCH('Référentiel entourage'!$B$3,O4)),'Référentiel entourage'!$A$3,""),IF(ISNUMBER(SEARCH('Référentiel entourage'!$B$4,O4)),'Référentiel entourage'!$A$4,""),IF(ISNUMBER(SEARCH('Référentiel entourage'!$B$5,O4)),'Référentiel entourage'!$A$5,""),IF(ISNUMBER(SEARCH('Référentiel entourage'!$B$6,O4)),'Référentiel entourage'!$A$6,""),IF(ISNUMBER(SEARCH('Référentiel entourage'!$B$7,O4)),'Référentiel entourage'!$A$7,""),IF(ISNUMBER(SEARCH('Référentiel entourage'!$B$8,O4)),'Référentiel entourage'!$A$8,""),IF(ISNUMBER(SEARCH('Référentiel entourage'!$B$9,O4)),'Référentiel entourage'!$A$9,""),IF(ISNUMBER(SEARCH('Référentiel entourage'!$B$10,O4)),'Référentiel entourage'!$A$10,""),IF(ISNUMBER(SEARCH('Référentiel entourage'!$B$11,O4)),'Référentiel entourage'!$A$11,""),IF(ISNUMBER(SEARCH('Référentiel entourage'!$B$12,O4)),'Référentiel entourage'!$A$12,""),IF(ISNUMBER(SEARCH('Référentiel entourage'!$B$13,O4)),'Référentiel entourage'!$A$13,""),IF(ISNUMBER(SEARCH('Référentiel entourage'!$B$14,O4)),'Référentiel entourage'!$A$14,""),IF(ISNUMBER(SEARCH('Référentiel entourage'!$B$15,O4)),'Référentiel entourage'!$A$15,""),IF(ISNUMBER(SEARCH('Référentiel entourage'!$B$16,O4)),'Référentiel entourage'!$A$16,""),IF(ISNUMBER(SEARCH('Référentiel entourage'!$B$17,O4)),'Référentiel entourage'!$A$17,""),IF(ISNUMBER(SEARCH('Référentiel entourage'!$B$18,O4)),'Référentiel entourage'!$A$18,""),IF(ISNUMBER(SEARCH('Référentiel entourage'!$B$19,O4)),'Référentiel entourage'!$A$19,""),IF(ISNUMBER(SEARCH('Référentiel entourage'!$B$20,O4)),'Référentiel entourage'!$A$20,""),IF(ISNUMBER(SEARCH('Référentiel entourage'!$B$21,O4)),'Référentiel entourage'!$A$21,""),IF(ISNUMBER(SEARCH('Référentiel entourage'!$B$22,O4)),'Référentiel entourage'!$A$22,""),IF(ISNUMBER(SEARCH('Référentiel entourage'!$B$23,O4)),'Référentiel entourage'!$A$23,""),IF(ISNUMBER(SEARCH('Référentiel entourage'!$B$24,O4)),'Référentiel entourage'!$A$24,"")))</f>
        <v/>
      </c>
      <c r="AD4" s="7" t="str">
        <f>_xlfn.LET(_xlpm.texte,_xlfn.TEXTJOIN(" | ",TRUE,H4:N4,P4),IF(_xlpm.texte="","",_xlfn.TEXTJOIN(";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5" spans="1:30" ht="170.75" customHeight="1">
      <c r="A5" s="9" t="s">
        <v>40</v>
      </c>
      <c r="B5" s="9" t="s">
        <v>41</v>
      </c>
      <c r="C5" s="9" t="s">
        <v>42</v>
      </c>
      <c r="D5" s="10">
        <v>1969</v>
      </c>
      <c r="E5" s="9" t="s">
        <v>33</v>
      </c>
      <c r="F5" s="10"/>
      <c r="G5" s="9" t="s">
        <v>34</v>
      </c>
      <c r="H5" s="9" t="s">
        <v>35</v>
      </c>
      <c r="I5" s="9"/>
      <c r="J5" s="9"/>
      <c r="K5" s="9"/>
      <c r="L5" s="9"/>
      <c r="M5" s="9"/>
      <c r="N5" s="9"/>
      <c r="O5" s="9"/>
      <c r="P5" s="9"/>
      <c r="Q5" s="9"/>
      <c r="R5" s="9"/>
      <c r="S5" s="9" t="s">
        <v>588</v>
      </c>
      <c r="T5" s="9"/>
      <c r="U5" s="9" t="s">
        <v>43</v>
      </c>
      <c r="V5" s="9"/>
      <c r="W5" s="9"/>
      <c r="X5" s="9" t="s">
        <v>37</v>
      </c>
      <c r="Y5" s="9"/>
      <c r="Z5" s="9"/>
      <c r="AA5" s="9" t="s">
        <v>38</v>
      </c>
      <c r="AB5" s="1" t="s">
        <v>44</v>
      </c>
      <c r="AC5" s="7" t="str">
        <f>IF(O5="","",_xlfn.TEXTJOIN("; ",TRUE,IF(ISNUMBER(SEARCH('Référentiel entourage'!$B$2,O5)),'Référentiel entourage'!$A$2,""),IF(ISNUMBER(SEARCH('Référentiel entourage'!$B$3,O5)),'Référentiel entourage'!$A$3,""),IF(ISNUMBER(SEARCH('Référentiel entourage'!$B$4,O5)),'Référentiel entourage'!$A$4,""),IF(ISNUMBER(SEARCH('Référentiel entourage'!$B$5,O5)),'Référentiel entourage'!$A$5,""),IF(ISNUMBER(SEARCH('Référentiel entourage'!$B$6,O5)),'Référentiel entourage'!$A$6,""),IF(ISNUMBER(SEARCH('Référentiel entourage'!$B$7,O5)),'Référentiel entourage'!$A$7,""),IF(ISNUMBER(SEARCH('Référentiel entourage'!$B$8,O5)),'Référentiel entourage'!$A$8,""),IF(ISNUMBER(SEARCH('Référentiel entourage'!$B$9,O5)),'Référentiel entourage'!$A$9,""),IF(ISNUMBER(SEARCH('Référentiel entourage'!$B$10,O5)),'Référentiel entourage'!$A$10,""),IF(ISNUMBER(SEARCH('Référentiel entourage'!$B$11,O5)),'Référentiel entourage'!$A$11,""),IF(ISNUMBER(SEARCH('Référentiel entourage'!$B$12,O5)),'Référentiel entourage'!$A$12,""),IF(ISNUMBER(SEARCH('Référentiel entourage'!$B$13,O5)),'Référentiel entourage'!$A$13,""),IF(ISNUMBER(SEARCH('Référentiel entourage'!$B$14,O5)),'Référentiel entourage'!$A$14,""),IF(ISNUMBER(SEARCH('Référentiel entourage'!$B$15,O5)),'Référentiel entourage'!$A$15,""),IF(ISNUMBER(SEARCH('Référentiel entourage'!$B$16,O5)),'Référentiel entourage'!$A$16,""),IF(ISNUMBER(SEARCH('Référentiel entourage'!$B$17,O5)),'Référentiel entourage'!$A$17,""),IF(ISNUMBER(SEARCH('Référentiel entourage'!$B$18,O5)),'Référentiel entourage'!$A$18,""),IF(ISNUMBER(SEARCH('Référentiel entourage'!$B$19,O5)),'Référentiel entourage'!$A$19,""),IF(ISNUMBER(SEARCH('Référentiel entourage'!$B$20,O5)),'Référentiel entourage'!$A$20,""),IF(ISNUMBER(SEARCH('Référentiel entourage'!$B$21,O5)),'Référentiel entourage'!$A$21,""),IF(ISNUMBER(SEARCH('Référentiel entourage'!$B$22,O5)),'Référentiel entourage'!$A$22,""),IF(ISNUMBER(SEARCH('Référentiel entourage'!$B$23,O5)),'Référentiel entourage'!$A$23,""),IF(ISNUMBER(SEARCH('Référentiel entourage'!$B$24,O5)),'Référentiel entourage'!$A$24,"")))</f>
        <v/>
      </c>
      <c r="AD5" s="7" t="str">
        <f>_xlfn.LET(_xlpm.texte,_xlfn.TEXTJOIN(" | ",TRUE,H5:N5,P5),IF(_xlpm.texte="","",_xlfn.TEXTJOIN(";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6" spans="1:30" ht="170.75" customHeight="1">
      <c r="A6" s="9" t="s">
        <v>45</v>
      </c>
      <c r="B6" s="9" t="s">
        <v>46</v>
      </c>
      <c r="C6" s="9"/>
      <c r="D6" s="10">
        <v>1970</v>
      </c>
      <c r="E6" s="9" t="s">
        <v>33</v>
      </c>
      <c r="F6" s="10"/>
      <c r="G6" s="9" t="s">
        <v>34</v>
      </c>
      <c r="H6" s="9" t="s">
        <v>35</v>
      </c>
      <c r="I6" s="9"/>
      <c r="J6" s="9"/>
      <c r="K6" s="9"/>
      <c r="L6" s="9"/>
      <c r="M6" s="9"/>
      <c r="N6" s="9"/>
      <c r="O6" s="9"/>
      <c r="P6" s="9"/>
      <c r="Q6" s="9"/>
      <c r="R6" s="9"/>
      <c r="S6" s="9"/>
      <c r="T6" s="9"/>
      <c r="U6" s="9" t="s">
        <v>47</v>
      </c>
      <c r="V6" s="9"/>
      <c r="W6" s="9"/>
      <c r="X6" s="9" t="s">
        <v>48</v>
      </c>
      <c r="Y6" s="9"/>
      <c r="Z6" s="9"/>
      <c r="AA6" s="9" t="s">
        <v>38</v>
      </c>
      <c r="AB6" s="1" t="s">
        <v>49</v>
      </c>
      <c r="AC6" s="7" t="str">
        <f>IF(O6="","",_xlfn.TEXTJOIN("; ",TRUE,IF(ISNUMBER(SEARCH('Référentiel entourage'!$B$2,O6)),'Référentiel entourage'!$A$2,""),IF(ISNUMBER(SEARCH('Référentiel entourage'!$B$3,O6)),'Référentiel entourage'!$A$3,""),IF(ISNUMBER(SEARCH('Référentiel entourage'!$B$4,O6)),'Référentiel entourage'!$A$4,""),IF(ISNUMBER(SEARCH('Référentiel entourage'!$B$5,O6)),'Référentiel entourage'!$A$5,""),IF(ISNUMBER(SEARCH('Référentiel entourage'!$B$6,O6)),'Référentiel entourage'!$A$6,""),IF(ISNUMBER(SEARCH('Référentiel entourage'!$B$7,O6)),'Référentiel entourage'!$A$7,""),IF(ISNUMBER(SEARCH('Référentiel entourage'!$B$8,O6)),'Référentiel entourage'!$A$8,""),IF(ISNUMBER(SEARCH('Référentiel entourage'!$B$9,O6)),'Référentiel entourage'!$A$9,""),IF(ISNUMBER(SEARCH('Référentiel entourage'!$B$10,O6)),'Référentiel entourage'!$A$10,""),IF(ISNUMBER(SEARCH('Référentiel entourage'!$B$11,O6)),'Référentiel entourage'!$A$11,""),IF(ISNUMBER(SEARCH('Référentiel entourage'!$B$12,O6)),'Référentiel entourage'!$A$12,""),IF(ISNUMBER(SEARCH('Référentiel entourage'!$B$13,O6)),'Référentiel entourage'!$A$13,""),IF(ISNUMBER(SEARCH('Référentiel entourage'!$B$14,O6)),'Référentiel entourage'!$A$14,""),IF(ISNUMBER(SEARCH('Référentiel entourage'!$B$15,O6)),'Référentiel entourage'!$A$15,""),IF(ISNUMBER(SEARCH('Référentiel entourage'!$B$16,O6)),'Référentiel entourage'!$A$16,""),IF(ISNUMBER(SEARCH('Référentiel entourage'!$B$17,O6)),'Référentiel entourage'!$A$17,""),IF(ISNUMBER(SEARCH('Référentiel entourage'!$B$18,O6)),'Référentiel entourage'!$A$18,""),IF(ISNUMBER(SEARCH('Référentiel entourage'!$B$19,O6)),'Référentiel entourage'!$A$19,""),IF(ISNUMBER(SEARCH('Référentiel entourage'!$B$20,O6)),'Référentiel entourage'!$A$20,""),IF(ISNUMBER(SEARCH('Référentiel entourage'!$B$21,O6)),'Référentiel entourage'!$A$21,""),IF(ISNUMBER(SEARCH('Référentiel entourage'!$B$22,O6)),'Référentiel entourage'!$A$22,""),IF(ISNUMBER(SEARCH('Référentiel entourage'!$B$23,O6)),'Référentiel entourage'!$A$23,""),IF(ISNUMBER(SEARCH('Référentiel entourage'!$B$24,O6)),'Référentiel entourage'!$A$24,"")))</f>
        <v/>
      </c>
      <c r="AD6" s="7" t="str">
        <f>_xlfn.LET(_xlpm.texte,_xlfn.TEXTJOIN(" | ",TRUE,H6:N6,P6),IF(_xlpm.texte="","",_xlfn.TEXTJOIN(";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7" spans="1:30" ht="170.75" customHeight="1">
      <c r="A7" s="9" t="s">
        <v>50</v>
      </c>
      <c r="B7" s="9" t="s">
        <v>51</v>
      </c>
      <c r="C7" s="9"/>
      <c r="D7" s="10">
        <v>1970</v>
      </c>
      <c r="E7" s="9" t="s">
        <v>33</v>
      </c>
      <c r="F7" s="10"/>
      <c r="G7" s="9" t="s">
        <v>34</v>
      </c>
      <c r="H7" s="9" t="s">
        <v>600</v>
      </c>
      <c r="I7" s="9"/>
      <c r="J7" s="9"/>
      <c r="K7" s="9"/>
      <c r="L7" s="9"/>
      <c r="M7" s="9"/>
      <c r="N7" s="9"/>
      <c r="O7" s="9"/>
      <c r="P7" s="9"/>
      <c r="Q7" s="9"/>
      <c r="R7" s="9"/>
      <c r="S7" s="9"/>
      <c r="T7" s="9"/>
      <c r="U7" s="9"/>
      <c r="V7" s="9"/>
      <c r="W7" s="9"/>
      <c r="X7" s="9" t="s">
        <v>48</v>
      </c>
      <c r="Y7" s="9"/>
      <c r="Z7" s="9"/>
      <c r="AA7" s="9" t="s">
        <v>38</v>
      </c>
      <c r="AB7" s="1" t="s">
        <v>52</v>
      </c>
      <c r="AC7" s="7" t="str">
        <f>IF(O7="","",_xlfn.TEXTJOIN("; ",TRUE,IF(ISNUMBER(SEARCH('Référentiel entourage'!$B$2,O7)),'Référentiel entourage'!$A$2,""),IF(ISNUMBER(SEARCH('Référentiel entourage'!$B$3,O7)),'Référentiel entourage'!$A$3,""),IF(ISNUMBER(SEARCH('Référentiel entourage'!$B$4,O7)),'Référentiel entourage'!$A$4,""),IF(ISNUMBER(SEARCH('Référentiel entourage'!$B$5,O7)),'Référentiel entourage'!$A$5,""),IF(ISNUMBER(SEARCH('Référentiel entourage'!$B$6,O7)),'Référentiel entourage'!$A$6,""),IF(ISNUMBER(SEARCH('Référentiel entourage'!$B$7,O7)),'Référentiel entourage'!$A$7,""),IF(ISNUMBER(SEARCH('Référentiel entourage'!$B$8,O7)),'Référentiel entourage'!$A$8,""),IF(ISNUMBER(SEARCH('Référentiel entourage'!$B$9,O7)),'Référentiel entourage'!$A$9,""),IF(ISNUMBER(SEARCH('Référentiel entourage'!$B$10,O7)),'Référentiel entourage'!$A$10,""),IF(ISNUMBER(SEARCH('Référentiel entourage'!$B$11,O7)),'Référentiel entourage'!$A$11,""),IF(ISNUMBER(SEARCH('Référentiel entourage'!$B$12,O7)),'Référentiel entourage'!$A$12,""),IF(ISNUMBER(SEARCH('Référentiel entourage'!$B$13,O7)),'Référentiel entourage'!$A$13,""),IF(ISNUMBER(SEARCH('Référentiel entourage'!$B$14,O7)),'Référentiel entourage'!$A$14,""),IF(ISNUMBER(SEARCH('Référentiel entourage'!$B$15,O7)),'Référentiel entourage'!$A$15,""),IF(ISNUMBER(SEARCH('Référentiel entourage'!$B$16,O7)),'Référentiel entourage'!$A$16,""),IF(ISNUMBER(SEARCH('Référentiel entourage'!$B$17,O7)),'Référentiel entourage'!$A$17,""),IF(ISNUMBER(SEARCH('Référentiel entourage'!$B$18,O7)),'Référentiel entourage'!$A$18,""),IF(ISNUMBER(SEARCH('Référentiel entourage'!$B$19,O7)),'Référentiel entourage'!$A$19,""),IF(ISNUMBER(SEARCH('Référentiel entourage'!$B$20,O7)),'Référentiel entourage'!$A$20,""),IF(ISNUMBER(SEARCH('Référentiel entourage'!$B$21,O7)),'Référentiel entourage'!$A$21,""),IF(ISNUMBER(SEARCH('Référentiel entourage'!$B$22,O7)),'Référentiel entourage'!$A$22,""),IF(ISNUMBER(SEARCH('Référentiel entourage'!$B$23,O7)),'Référentiel entourage'!$A$23,""),IF(ISNUMBER(SEARCH('Référentiel entourage'!$B$24,O7)),'Référentiel entourage'!$A$24,"")))</f>
        <v/>
      </c>
      <c r="AD7" s="7" t="str">
        <f>_xlfn.LET(_xlpm.texte,_xlfn.TEXTJOIN(" | ",TRUE,H7:N7,P7),IF(_xlpm.texte="","",_xlfn.TEXTJOIN(";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8" spans="1:30" ht="170.75" customHeight="1">
      <c r="A8" s="9" t="s">
        <v>53</v>
      </c>
      <c r="B8" s="9" t="s">
        <v>54</v>
      </c>
      <c r="C8" s="9"/>
      <c r="D8" s="10">
        <v>1970</v>
      </c>
      <c r="E8" s="9" t="s">
        <v>33</v>
      </c>
      <c r="F8" s="10"/>
      <c r="G8" s="9" t="s">
        <v>34</v>
      </c>
      <c r="H8" s="9" t="s">
        <v>35</v>
      </c>
      <c r="I8" s="9"/>
      <c r="J8" s="9"/>
      <c r="K8" s="9"/>
      <c r="L8" s="9"/>
      <c r="M8" s="9"/>
      <c r="N8" s="9"/>
      <c r="O8" s="9"/>
      <c r="P8" s="9"/>
      <c r="Q8" s="9"/>
      <c r="R8" s="9"/>
      <c r="S8" s="9"/>
      <c r="T8" s="9"/>
      <c r="U8" s="9" t="s">
        <v>55</v>
      </c>
      <c r="V8" s="9"/>
      <c r="W8" s="9"/>
      <c r="X8" s="9" t="s">
        <v>48</v>
      </c>
      <c r="Y8" s="9"/>
      <c r="Z8" s="9"/>
      <c r="AA8" s="9" t="s">
        <v>38</v>
      </c>
      <c r="AB8" s="1" t="s">
        <v>56</v>
      </c>
      <c r="AC8" s="7" t="str">
        <f>IF(O8="","",_xlfn.TEXTJOIN("; ",TRUE,IF(ISNUMBER(SEARCH('Référentiel entourage'!$B$2,O8)),'Référentiel entourage'!$A$2,""),IF(ISNUMBER(SEARCH('Référentiel entourage'!$B$3,O8)),'Référentiel entourage'!$A$3,""),IF(ISNUMBER(SEARCH('Référentiel entourage'!$B$4,O8)),'Référentiel entourage'!$A$4,""),IF(ISNUMBER(SEARCH('Référentiel entourage'!$B$5,O8)),'Référentiel entourage'!$A$5,""),IF(ISNUMBER(SEARCH('Référentiel entourage'!$B$6,O8)),'Référentiel entourage'!$A$6,""),IF(ISNUMBER(SEARCH('Référentiel entourage'!$B$7,O8)),'Référentiel entourage'!$A$7,""),IF(ISNUMBER(SEARCH('Référentiel entourage'!$B$8,O8)),'Référentiel entourage'!$A$8,""),IF(ISNUMBER(SEARCH('Référentiel entourage'!$B$9,O8)),'Référentiel entourage'!$A$9,""),IF(ISNUMBER(SEARCH('Référentiel entourage'!$B$10,O8)),'Référentiel entourage'!$A$10,""),IF(ISNUMBER(SEARCH('Référentiel entourage'!$B$11,O8)),'Référentiel entourage'!$A$11,""),IF(ISNUMBER(SEARCH('Référentiel entourage'!$B$12,O8)),'Référentiel entourage'!$A$12,""),IF(ISNUMBER(SEARCH('Référentiel entourage'!$B$13,O8)),'Référentiel entourage'!$A$13,""),IF(ISNUMBER(SEARCH('Référentiel entourage'!$B$14,O8)),'Référentiel entourage'!$A$14,""),IF(ISNUMBER(SEARCH('Référentiel entourage'!$B$15,O8)),'Référentiel entourage'!$A$15,""),IF(ISNUMBER(SEARCH('Référentiel entourage'!$B$16,O8)),'Référentiel entourage'!$A$16,""),IF(ISNUMBER(SEARCH('Référentiel entourage'!$B$17,O8)),'Référentiel entourage'!$A$17,""),IF(ISNUMBER(SEARCH('Référentiel entourage'!$B$18,O8)),'Référentiel entourage'!$A$18,""),IF(ISNUMBER(SEARCH('Référentiel entourage'!$B$19,O8)),'Référentiel entourage'!$A$19,""),IF(ISNUMBER(SEARCH('Référentiel entourage'!$B$20,O8)),'Référentiel entourage'!$A$20,""),IF(ISNUMBER(SEARCH('Référentiel entourage'!$B$21,O8)),'Référentiel entourage'!$A$21,""),IF(ISNUMBER(SEARCH('Référentiel entourage'!$B$22,O8)),'Référentiel entourage'!$A$22,""),IF(ISNUMBER(SEARCH('Référentiel entourage'!$B$23,O8)),'Référentiel entourage'!$A$23,""),IF(ISNUMBER(SEARCH('Référentiel entourage'!$B$24,O8)),'Référentiel entourage'!$A$24,"")))</f>
        <v/>
      </c>
      <c r="AD8" s="7" t="str">
        <f>_xlfn.LET(_xlpm.texte,_xlfn.TEXTJOIN(" | ",TRUE,H8:N8,P8),IF(_xlpm.texte="","",_xlfn.TEXTJOIN(";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9" spans="1:30" ht="170.75" customHeight="1">
      <c r="A9" s="9" t="s">
        <v>57</v>
      </c>
      <c r="B9" s="9" t="s">
        <v>58</v>
      </c>
      <c r="C9" s="9"/>
      <c r="D9" s="10">
        <v>1970</v>
      </c>
      <c r="E9" s="9" t="s">
        <v>59</v>
      </c>
      <c r="F9" s="10"/>
      <c r="G9" s="9" t="s">
        <v>34</v>
      </c>
      <c r="H9" s="9" t="s">
        <v>35</v>
      </c>
      <c r="I9" s="9"/>
      <c r="J9" s="9"/>
      <c r="K9" s="9"/>
      <c r="L9" s="9"/>
      <c r="M9" s="9"/>
      <c r="N9" s="9"/>
      <c r="O9" s="9"/>
      <c r="P9" s="9"/>
      <c r="Q9" s="9"/>
      <c r="R9" s="9"/>
      <c r="S9" s="9"/>
      <c r="T9" s="9"/>
      <c r="U9" s="9"/>
      <c r="V9" s="9"/>
      <c r="W9" s="9"/>
      <c r="X9" s="9" t="s">
        <v>48</v>
      </c>
      <c r="Y9" s="9"/>
      <c r="Z9" s="9"/>
      <c r="AA9" s="9" t="s">
        <v>38</v>
      </c>
      <c r="AB9" s="1" t="s">
        <v>60</v>
      </c>
      <c r="AC9" s="7" t="str">
        <f>IF(O9="","",_xlfn.TEXTJOIN("; ",TRUE,IF(ISNUMBER(SEARCH('Référentiel entourage'!$B$2,O9)),'Référentiel entourage'!$A$2,""),IF(ISNUMBER(SEARCH('Référentiel entourage'!$B$3,O9)),'Référentiel entourage'!$A$3,""),IF(ISNUMBER(SEARCH('Référentiel entourage'!$B$4,O9)),'Référentiel entourage'!$A$4,""),IF(ISNUMBER(SEARCH('Référentiel entourage'!$B$5,O9)),'Référentiel entourage'!$A$5,""),IF(ISNUMBER(SEARCH('Référentiel entourage'!$B$6,O9)),'Référentiel entourage'!$A$6,""),IF(ISNUMBER(SEARCH('Référentiel entourage'!$B$7,O9)),'Référentiel entourage'!$A$7,""),IF(ISNUMBER(SEARCH('Référentiel entourage'!$B$8,O9)),'Référentiel entourage'!$A$8,""),IF(ISNUMBER(SEARCH('Référentiel entourage'!$B$9,O9)),'Référentiel entourage'!$A$9,""),IF(ISNUMBER(SEARCH('Référentiel entourage'!$B$10,O9)),'Référentiel entourage'!$A$10,""),IF(ISNUMBER(SEARCH('Référentiel entourage'!$B$11,O9)),'Référentiel entourage'!$A$11,""),IF(ISNUMBER(SEARCH('Référentiel entourage'!$B$12,O9)),'Référentiel entourage'!$A$12,""),IF(ISNUMBER(SEARCH('Référentiel entourage'!$B$13,O9)),'Référentiel entourage'!$A$13,""),IF(ISNUMBER(SEARCH('Référentiel entourage'!$B$14,O9)),'Référentiel entourage'!$A$14,""),IF(ISNUMBER(SEARCH('Référentiel entourage'!$B$15,O9)),'Référentiel entourage'!$A$15,""),IF(ISNUMBER(SEARCH('Référentiel entourage'!$B$16,O9)),'Référentiel entourage'!$A$16,""),IF(ISNUMBER(SEARCH('Référentiel entourage'!$B$17,O9)),'Référentiel entourage'!$A$17,""),IF(ISNUMBER(SEARCH('Référentiel entourage'!$B$18,O9)),'Référentiel entourage'!$A$18,""),IF(ISNUMBER(SEARCH('Référentiel entourage'!$B$19,O9)),'Référentiel entourage'!$A$19,""),IF(ISNUMBER(SEARCH('Référentiel entourage'!$B$20,O9)),'Référentiel entourage'!$A$20,""),IF(ISNUMBER(SEARCH('Référentiel entourage'!$B$21,O9)),'Référentiel entourage'!$A$21,""),IF(ISNUMBER(SEARCH('Référentiel entourage'!$B$22,O9)),'Référentiel entourage'!$A$22,""),IF(ISNUMBER(SEARCH('Référentiel entourage'!$B$23,O9)),'Référentiel entourage'!$A$23,""),IF(ISNUMBER(SEARCH('Référentiel entourage'!$B$24,O9)),'Référentiel entourage'!$A$24,"")))</f>
        <v/>
      </c>
      <c r="AD9" s="7" t="str">
        <f>_xlfn.LET(_xlpm.texte,_xlfn.TEXTJOIN(" | ",TRUE,H9:N9,P9),IF(_xlpm.texte="","",_xlfn.TEXTJOIN(";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10" spans="1:30" ht="170.75" customHeight="1">
      <c r="A10" s="9" t="s">
        <v>597</v>
      </c>
      <c r="B10" s="9" t="s">
        <v>598</v>
      </c>
      <c r="C10" s="9"/>
      <c r="D10" s="10">
        <v>1970</v>
      </c>
      <c r="E10" s="9" t="s">
        <v>599</v>
      </c>
      <c r="F10" s="10"/>
      <c r="G10" s="9" t="s">
        <v>34</v>
      </c>
      <c r="H10" s="9" t="s">
        <v>35</v>
      </c>
      <c r="I10" s="9"/>
      <c r="J10" s="9"/>
      <c r="K10" s="9"/>
      <c r="L10" s="9"/>
      <c r="M10" s="9"/>
      <c r="N10" s="9"/>
      <c r="O10" s="9"/>
      <c r="P10" s="9"/>
      <c r="Q10" s="9"/>
      <c r="R10" s="9"/>
      <c r="S10" s="9"/>
      <c r="T10" s="9"/>
      <c r="U10" s="9"/>
      <c r="V10" s="9"/>
      <c r="W10" s="9"/>
      <c r="X10" s="9">
        <v>1970</v>
      </c>
      <c r="Y10" s="9"/>
      <c r="Z10" s="9"/>
      <c r="AA10" s="9"/>
      <c r="AB10" s="1" t="s">
        <v>601</v>
      </c>
      <c r="AC10" s="7"/>
      <c r="AD10" s="7"/>
    </row>
    <row r="11" spans="1:30" ht="170.75" customHeight="1">
      <c r="A11" s="9" t="s">
        <v>61</v>
      </c>
      <c r="B11" s="9" t="s">
        <v>62</v>
      </c>
      <c r="C11" s="9"/>
      <c r="D11" s="10">
        <v>1971</v>
      </c>
      <c r="E11" s="9" t="s">
        <v>33</v>
      </c>
      <c r="F11" s="10"/>
      <c r="G11" s="9" t="s">
        <v>34</v>
      </c>
      <c r="H11" s="9" t="s">
        <v>35</v>
      </c>
      <c r="I11" s="9"/>
      <c r="J11" s="9"/>
      <c r="K11" s="9"/>
      <c r="L11" s="9"/>
      <c r="M11" s="9"/>
      <c r="N11" s="9"/>
      <c r="O11" s="9"/>
      <c r="P11" s="9"/>
      <c r="Q11" s="9"/>
      <c r="R11" s="9"/>
      <c r="S11" s="9"/>
      <c r="T11" s="9"/>
      <c r="U11" s="9"/>
      <c r="V11" s="9"/>
      <c r="W11" s="9"/>
      <c r="X11" s="9" t="s">
        <v>63</v>
      </c>
      <c r="Y11" s="9"/>
      <c r="Z11" s="9"/>
      <c r="AA11" s="9" t="s">
        <v>38</v>
      </c>
      <c r="AB11" s="1" t="s">
        <v>64</v>
      </c>
      <c r="AC11" s="7" t="str">
        <f>IF(O11="","",_xlfn.TEXTJOIN("; ",TRUE,IF(ISNUMBER(SEARCH('Référentiel entourage'!$B$2,O11)),'Référentiel entourage'!$A$2,""),IF(ISNUMBER(SEARCH('Référentiel entourage'!$B$3,O11)),'Référentiel entourage'!$A$3,""),IF(ISNUMBER(SEARCH('Référentiel entourage'!$B$4,O11)),'Référentiel entourage'!$A$4,""),IF(ISNUMBER(SEARCH('Référentiel entourage'!$B$5,O11)),'Référentiel entourage'!$A$5,""),IF(ISNUMBER(SEARCH('Référentiel entourage'!$B$6,O11)),'Référentiel entourage'!$A$6,""),IF(ISNUMBER(SEARCH('Référentiel entourage'!$B$7,O11)),'Référentiel entourage'!$A$7,""),IF(ISNUMBER(SEARCH('Référentiel entourage'!$B$8,O11)),'Référentiel entourage'!$A$8,""),IF(ISNUMBER(SEARCH('Référentiel entourage'!$B$9,O11)),'Référentiel entourage'!$A$9,""),IF(ISNUMBER(SEARCH('Référentiel entourage'!$B$10,O11)),'Référentiel entourage'!$A$10,""),IF(ISNUMBER(SEARCH('Référentiel entourage'!$B$11,O11)),'Référentiel entourage'!$A$11,""),IF(ISNUMBER(SEARCH('Référentiel entourage'!$B$12,O11)),'Référentiel entourage'!$A$12,""),IF(ISNUMBER(SEARCH('Référentiel entourage'!$B$13,O11)),'Référentiel entourage'!$A$13,""),IF(ISNUMBER(SEARCH('Référentiel entourage'!$B$14,O11)),'Référentiel entourage'!$A$14,""),IF(ISNUMBER(SEARCH('Référentiel entourage'!$B$15,O11)),'Référentiel entourage'!$A$15,""),IF(ISNUMBER(SEARCH('Référentiel entourage'!$B$16,O11)),'Référentiel entourage'!$A$16,""),IF(ISNUMBER(SEARCH('Référentiel entourage'!$B$17,O11)),'Référentiel entourage'!$A$17,""),IF(ISNUMBER(SEARCH('Référentiel entourage'!$B$18,O11)),'Référentiel entourage'!$A$18,""),IF(ISNUMBER(SEARCH('Référentiel entourage'!$B$19,O11)),'Référentiel entourage'!$A$19,""),IF(ISNUMBER(SEARCH('Référentiel entourage'!$B$20,O11)),'Référentiel entourage'!$A$20,""),IF(ISNUMBER(SEARCH('Référentiel entourage'!$B$21,O11)),'Référentiel entourage'!$A$21,""),IF(ISNUMBER(SEARCH('Référentiel entourage'!$B$22,O11)),'Référentiel entourage'!$A$22,""),IF(ISNUMBER(SEARCH('Référentiel entourage'!$B$23,O11)),'Référentiel entourage'!$A$23,""),IF(ISNUMBER(SEARCH('Référentiel entourage'!$B$24,O11)),'Référentiel entourage'!$A$24,"")))</f>
        <v/>
      </c>
      <c r="AD11" s="7" t="str">
        <f>_xlfn.LET(_xlpm.texte,_xlfn.TEXTJOIN(" | ",TRUE,H11:N11,P11),IF(_xlpm.texte="","",_xlfn.TEXTJOIN(";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12" spans="1:30" ht="170.75" customHeight="1">
      <c r="A12" s="9" t="s">
        <v>65</v>
      </c>
      <c r="B12" s="9" t="s">
        <v>66</v>
      </c>
      <c r="C12" s="9"/>
      <c r="D12" s="10">
        <v>1971</v>
      </c>
      <c r="E12" s="9" t="s">
        <v>33</v>
      </c>
      <c r="F12" s="10"/>
      <c r="G12" s="9" t="s">
        <v>34</v>
      </c>
      <c r="H12" s="9" t="s">
        <v>35</v>
      </c>
      <c r="I12" s="9"/>
      <c r="J12" s="9"/>
      <c r="K12" s="9"/>
      <c r="L12" s="9"/>
      <c r="M12" s="9"/>
      <c r="N12" s="9"/>
      <c r="O12" s="9"/>
      <c r="P12" s="9"/>
      <c r="Q12" s="9"/>
      <c r="R12" s="9"/>
      <c r="S12" s="9"/>
      <c r="T12" s="9"/>
      <c r="U12" s="9" t="s">
        <v>67</v>
      </c>
      <c r="V12" s="9"/>
      <c r="W12" s="9"/>
      <c r="X12" s="9" t="s">
        <v>63</v>
      </c>
      <c r="Y12" s="9"/>
      <c r="Z12" s="9"/>
      <c r="AA12" s="9" t="s">
        <v>38</v>
      </c>
      <c r="AB12" s="1" t="s">
        <v>68</v>
      </c>
      <c r="AC12" s="7" t="str">
        <f>IF(O12="","",_xlfn.TEXTJOIN("; ",TRUE,IF(ISNUMBER(SEARCH('Référentiel entourage'!$B$2,O12)),'Référentiel entourage'!$A$2,""),IF(ISNUMBER(SEARCH('Référentiel entourage'!$B$3,O12)),'Référentiel entourage'!$A$3,""),IF(ISNUMBER(SEARCH('Référentiel entourage'!$B$4,O12)),'Référentiel entourage'!$A$4,""),IF(ISNUMBER(SEARCH('Référentiel entourage'!$B$5,O12)),'Référentiel entourage'!$A$5,""),IF(ISNUMBER(SEARCH('Référentiel entourage'!$B$6,O12)),'Référentiel entourage'!$A$6,""),IF(ISNUMBER(SEARCH('Référentiel entourage'!$B$7,O12)),'Référentiel entourage'!$A$7,""),IF(ISNUMBER(SEARCH('Référentiel entourage'!$B$8,O12)),'Référentiel entourage'!$A$8,""),IF(ISNUMBER(SEARCH('Référentiel entourage'!$B$9,O12)),'Référentiel entourage'!$A$9,""),IF(ISNUMBER(SEARCH('Référentiel entourage'!$B$10,O12)),'Référentiel entourage'!$A$10,""),IF(ISNUMBER(SEARCH('Référentiel entourage'!$B$11,O12)),'Référentiel entourage'!$A$11,""),IF(ISNUMBER(SEARCH('Référentiel entourage'!$B$12,O12)),'Référentiel entourage'!$A$12,""),IF(ISNUMBER(SEARCH('Référentiel entourage'!$B$13,O12)),'Référentiel entourage'!$A$13,""),IF(ISNUMBER(SEARCH('Référentiel entourage'!$B$14,O12)),'Référentiel entourage'!$A$14,""),IF(ISNUMBER(SEARCH('Référentiel entourage'!$B$15,O12)),'Référentiel entourage'!$A$15,""),IF(ISNUMBER(SEARCH('Référentiel entourage'!$B$16,O12)),'Référentiel entourage'!$A$16,""),IF(ISNUMBER(SEARCH('Référentiel entourage'!$B$17,O12)),'Référentiel entourage'!$A$17,""),IF(ISNUMBER(SEARCH('Référentiel entourage'!$B$18,O12)),'Référentiel entourage'!$A$18,""),IF(ISNUMBER(SEARCH('Référentiel entourage'!$B$19,O12)),'Référentiel entourage'!$A$19,""),IF(ISNUMBER(SEARCH('Référentiel entourage'!$B$20,O12)),'Référentiel entourage'!$A$20,""),IF(ISNUMBER(SEARCH('Référentiel entourage'!$B$21,O12)),'Référentiel entourage'!$A$21,""),IF(ISNUMBER(SEARCH('Référentiel entourage'!$B$22,O12)),'Référentiel entourage'!$A$22,""),IF(ISNUMBER(SEARCH('Référentiel entourage'!$B$23,O12)),'Référentiel entourage'!$A$23,""),IF(ISNUMBER(SEARCH('Référentiel entourage'!$B$24,O12)),'Référentiel entourage'!$A$24,"")))</f>
        <v/>
      </c>
      <c r="AD12" s="7" t="str">
        <f>_xlfn.LET(_xlpm.texte,_xlfn.TEXTJOIN(" | ",TRUE,H12:N12,P12),IF(_xlpm.texte="","",_xlfn.TEXTJOIN(";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13" spans="1:30" ht="170.75" customHeight="1">
      <c r="A13" s="9" t="s">
        <v>69</v>
      </c>
      <c r="B13" s="9" t="s">
        <v>70</v>
      </c>
      <c r="C13" s="9"/>
      <c r="D13" s="10">
        <v>1971</v>
      </c>
      <c r="E13" s="9" t="s">
        <v>59</v>
      </c>
      <c r="F13" s="10"/>
      <c r="G13" s="9" t="s">
        <v>34</v>
      </c>
      <c r="H13" s="9" t="s">
        <v>35</v>
      </c>
      <c r="I13" s="9"/>
      <c r="J13" s="9"/>
      <c r="K13" s="9"/>
      <c r="L13" s="9"/>
      <c r="M13" s="9"/>
      <c r="N13" s="9"/>
      <c r="O13" s="9"/>
      <c r="P13" s="9"/>
      <c r="Q13" s="9"/>
      <c r="R13" s="9"/>
      <c r="S13" s="9"/>
      <c r="T13" s="9"/>
      <c r="U13" s="9"/>
      <c r="V13" s="9"/>
      <c r="W13" s="9"/>
      <c r="X13" s="9" t="s">
        <v>63</v>
      </c>
      <c r="Y13" s="9"/>
      <c r="Z13" s="9"/>
      <c r="AA13" s="9" t="s">
        <v>38</v>
      </c>
      <c r="AB13" s="1" t="s">
        <v>71</v>
      </c>
      <c r="AC13" s="7" t="str">
        <f>IF(O13="","",_xlfn.TEXTJOIN("; ",TRUE,IF(ISNUMBER(SEARCH('Référentiel entourage'!$B$2,O13)),'Référentiel entourage'!$A$2,""),IF(ISNUMBER(SEARCH('Référentiel entourage'!$B$3,O13)),'Référentiel entourage'!$A$3,""),IF(ISNUMBER(SEARCH('Référentiel entourage'!$B$4,O13)),'Référentiel entourage'!$A$4,""),IF(ISNUMBER(SEARCH('Référentiel entourage'!$B$5,O13)),'Référentiel entourage'!$A$5,""),IF(ISNUMBER(SEARCH('Référentiel entourage'!$B$6,O13)),'Référentiel entourage'!$A$6,""),IF(ISNUMBER(SEARCH('Référentiel entourage'!$B$7,O13)),'Référentiel entourage'!$A$7,""),IF(ISNUMBER(SEARCH('Référentiel entourage'!$B$8,O13)),'Référentiel entourage'!$A$8,""),IF(ISNUMBER(SEARCH('Référentiel entourage'!$B$9,O13)),'Référentiel entourage'!$A$9,""),IF(ISNUMBER(SEARCH('Référentiel entourage'!$B$10,O13)),'Référentiel entourage'!$A$10,""),IF(ISNUMBER(SEARCH('Référentiel entourage'!$B$11,O13)),'Référentiel entourage'!$A$11,""),IF(ISNUMBER(SEARCH('Référentiel entourage'!$B$12,O13)),'Référentiel entourage'!$A$12,""),IF(ISNUMBER(SEARCH('Référentiel entourage'!$B$13,O13)),'Référentiel entourage'!$A$13,""),IF(ISNUMBER(SEARCH('Référentiel entourage'!$B$14,O13)),'Référentiel entourage'!$A$14,""),IF(ISNUMBER(SEARCH('Référentiel entourage'!$B$15,O13)),'Référentiel entourage'!$A$15,""),IF(ISNUMBER(SEARCH('Référentiel entourage'!$B$16,O13)),'Référentiel entourage'!$A$16,""),IF(ISNUMBER(SEARCH('Référentiel entourage'!$B$17,O13)),'Référentiel entourage'!$A$17,""),IF(ISNUMBER(SEARCH('Référentiel entourage'!$B$18,O13)),'Référentiel entourage'!$A$18,""),IF(ISNUMBER(SEARCH('Référentiel entourage'!$B$19,O13)),'Référentiel entourage'!$A$19,""),IF(ISNUMBER(SEARCH('Référentiel entourage'!$B$20,O13)),'Référentiel entourage'!$A$20,""),IF(ISNUMBER(SEARCH('Référentiel entourage'!$B$21,O13)),'Référentiel entourage'!$A$21,""),IF(ISNUMBER(SEARCH('Référentiel entourage'!$B$22,O13)),'Référentiel entourage'!$A$22,""),IF(ISNUMBER(SEARCH('Référentiel entourage'!$B$23,O13)),'Référentiel entourage'!$A$23,""),IF(ISNUMBER(SEARCH('Référentiel entourage'!$B$24,O13)),'Référentiel entourage'!$A$24,"")))</f>
        <v/>
      </c>
      <c r="AD13" s="7" t="str">
        <f>_xlfn.LET(_xlpm.texte,_xlfn.TEXTJOIN(" | ",TRUE,H13:N13,P13),IF(_xlpm.texte="","",_xlfn.TEXTJOIN(";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14" spans="1:30" ht="170.75" customHeight="1">
      <c r="A14" s="9" t="s">
        <v>72</v>
      </c>
      <c r="B14" s="9" t="s">
        <v>73</v>
      </c>
      <c r="C14" s="9" t="s">
        <v>74</v>
      </c>
      <c r="D14" s="10">
        <v>1972</v>
      </c>
      <c r="E14" s="9" t="s">
        <v>33</v>
      </c>
      <c r="F14" s="10"/>
      <c r="G14" s="9" t="s">
        <v>34</v>
      </c>
      <c r="H14" s="9" t="s">
        <v>35</v>
      </c>
      <c r="I14" s="9"/>
      <c r="J14" s="9"/>
      <c r="K14" s="9"/>
      <c r="L14" s="9"/>
      <c r="M14" s="9"/>
      <c r="N14" s="9"/>
      <c r="O14" s="9"/>
      <c r="P14" s="9"/>
      <c r="Q14" s="9"/>
      <c r="R14" s="9"/>
      <c r="S14" s="9"/>
      <c r="T14" s="9"/>
      <c r="U14" s="9" t="s">
        <v>75</v>
      </c>
      <c r="V14" s="9"/>
      <c r="W14" s="9"/>
      <c r="X14" s="9" t="s">
        <v>76</v>
      </c>
      <c r="Y14" s="9"/>
      <c r="Z14" s="9"/>
      <c r="AA14" s="9" t="s">
        <v>38</v>
      </c>
      <c r="AB14" s="1" t="s">
        <v>77</v>
      </c>
      <c r="AC14" s="7" t="str">
        <f>IF(O14="","",_xlfn.TEXTJOIN("; ",TRUE,IF(ISNUMBER(SEARCH('Référentiel entourage'!$B$2,O14)),'Référentiel entourage'!$A$2,""),IF(ISNUMBER(SEARCH('Référentiel entourage'!$B$3,O14)),'Référentiel entourage'!$A$3,""),IF(ISNUMBER(SEARCH('Référentiel entourage'!$B$4,O14)),'Référentiel entourage'!$A$4,""),IF(ISNUMBER(SEARCH('Référentiel entourage'!$B$5,O14)),'Référentiel entourage'!$A$5,""),IF(ISNUMBER(SEARCH('Référentiel entourage'!$B$6,O14)),'Référentiel entourage'!$A$6,""),IF(ISNUMBER(SEARCH('Référentiel entourage'!$B$7,O14)),'Référentiel entourage'!$A$7,""),IF(ISNUMBER(SEARCH('Référentiel entourage'!$B$8,O14)),'Référentiel entourage'!$A$8,""),IF(ISNUMBER(SEARCH('Référentiel entourage'!$B$9,O14)),'Référentiel entourage'!$A$9,""),IF(ISNUMBER(SEARCH('Référentiel entourage'!$B$10,O14)),'Référentiel entourage'!$A$10,""),IF(ISNUMBER(SEARCH('Référentiel entourage'!$B$11,O14)),'Référentiel entourage'!$A$11,""),IF(ISNUMBER(SEARCH('Référentiel entourage'!$B$12,O14)),'Référentiel entourage'!$A$12,""),IF(ISNUMBER(SEARCH('Référentiel entourage'!$B$13,O14)),'Référentiel entourage'!$A$13,""),IF(ISNUMBER(SEARCH('Référentiel entourage'!$B$14,O14)),'Référentiel entourage'!$A$14,""),IF(ISNUMBER(SEARCH('Référentiel entourage'!$B$15,O14)),'Référentiel entourage'!$A$15,""),IF(ISNUMBER(SEARCH('Référentiel entourage'!$B$16,O14)),'Référentiel entourage'!$A$16,""),IF(ISNUMBER(SEARCH('Référentiel entourage'!$B$17,O14)),'Référentiel entourage'!$A$17,""),IF(ISNUMBER(SEARCH('Référentiel entourage'!$B$18,O14)),'Référentiel entourage'!$A$18,""),IF(ISNUMBER(SEARCH('Référentiel entourage'!$B$19,O14)),'Référentiel entourage'!$A$19,""),IF(ISNUMBER(SEARCH('Référentiel entourage'!$B$20,O14)),'Référentiel entourage'!$A$20,""),IF(ISNUMBER(SEARCH('Référentiel entourage'!$B$21,O14)),'Référentiel entourage'!$A$21,""),IF(ISNUMBER(SEARCH('Référentiel entourage'!$B$22,O14)),'Référentiel entourage'!$A$22,""),IF(ISNUMBER(SEARCH('Référentiel entourage'!$B$23,O14)),'Référentiel entourage'!$A$23,""),IF(ISNUMBER(SEARCH('Référentiel entourage'!$B$24,O14)),'Référentiel entourage'!$A$24,"")))</f>
        <v/>
      </c>
      <c r="AD14" s="7" t="str">
        <f>_xlfn.LET(_xlpm.texte,_xlfn.TEXTJOIN(" | ",TRUE,H14:N14,P14),IF(_xlpm.texte="","",_xlfn.TEXTJOIN(";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15" spans="1:30" ht="170.75" customHeight="1">
      <c r="A15" s="9" t="s">
        <v>78</v>
      </c>
      <c r="B15" s="9" t="s">
        <v>79</v>
      </c>
      <c r="C15" s="9" t="s">
        <v>80</v>
      </c>
      <c r="D15" s="10">
        <v>1972</v>
      </c>
      <c r="E15" s="9" t="s">
        <v>33</v>
      </c>
      <c r="F15" s="10"/>
      <c r="G15" s="9" t="s">
        <v>34</v>
      </c>
      <c r="H15" s="9" t="s">
        <v>35</v>
      </c>
      <c r="I15" s="9"/>
      <c r="J15" s="9"/>
      <c r="K15" s="9"/>
      <c r="L15" s="9"/>
      <c r="M15" s="9"/>
      <c r="N15" s="9"/>
      <c r="O15" s="9"/>
      <c r="P15" s="9"/>
      <c r="Q15" s="9"/>
      <c r="R15" s="9"/>
      <c r="S15" s="9"/>
      <c r="T15" s="9"/>
      <c r="U15" s="9" t="s">
        <v>81</v>
      </c>
      <c r="V15" s="9"/>
      <c r="W15" s="9"/>
      <c r="X15" s="9" t="s">
        <v>76</v>
      </c>
      <c r="Y15" s="9"/>
      <c r="Z15" s="9"/>
      <c r="AA15" s="9" t="s">
        <v>38</v>
      </c>
      <c r="AB15" s="1" t="s">
        <v>82</v>
      </c>
      <c r="AC15" s="7" t="str">
        <f>IF(O15="","",_xlfn.TEXTJOIN("; ",TRUE,IF(ISNUMBER(SEARCH('Référentiel entourage'!$B$2,O15)),'Référentiel entourage'!$A$2,""),IF(ISNUMBER(SEARCH('Référentiel entourage'!$B$3,O15)),'Référentiel entourage'!$A$3,""),IF(ISNUMBER(SEARCH('Référentiel entourage'!$B$4,O15)),'Référentiel entourage'!$A$4,""),IF(ISNUMBER(SEARCH('Référentiel entourage'!$B$5,O15)),'Référentiel entourage'!$A$5,""),IF(ISNUMBER(SEARCH('Référentiel entourage'!$B$6,O15)),'Référentiel entourage'!$A$6,""),IF(ISNUMBER(SEARCH('Référentiel entourage'!$B$7,O15)),'Référentiel entourage'!$A$7,""),IF(ISNUMBER(SEARCH('Référentiel entourage'!$B$8,O15)),'Référentiel entourage'!$A$8,""),IF(ISNUMBER(SEARCH('Référentiel entourage'!$B$9,O15)),'Référentiel entourage'!$A$9,""),IF(ISNUMBER(SEARCH('Référentiel entourage'!$B$10,O15)),'Référentiel entourage'!$A$10,""),IF(ISNUMBER(SEARCH('Référentiel entourage'!$B$11,O15)),'Référentiel entourage'!$A$11,""),IF(ISNUMBER(SEARCH('Référentiel entourage'!$B$12,O15)),'Référentiel entourage'!$A$12,""),IF(ISNUMBER(SEARCH('Référentiel entourage'!$B$13,O15)),'Référentiel entourage'!$A$13,""),IF(ISNUMBER(SEARCH('Référentiel entourage'!$B$14,O15)),'Référentiel entourage'!$A$14,""),IF(ISNUMBER(SEARCH('Référentiel entourage'!$B$15,O15)),'Référentiel entourage'!$A$15,""),IF(ISNUMBER(SEARCH('Référentiel entourage'!$B$16,O15)),'Référentiel entourage'!$A$16,""),IF(ISNUMBER(SEARCH('Référentiel entourage'!$B$17,O15)),'Référentiel entourage'!$A$17,""),IF(ISNUMBER(SEARCH('Référentiel entourage'!$B$18,O15)),'Référentiel entourage'!$A$18,""),IF(ISNUMBER(SEARCH('Référentiel entourage'!$B$19,O15)),'Référentiel entourage'!$A$19,""),IF(ISNUMBER(SEARCH('Référentiel entourage'!$B$20,O15)),'Référentiel entourage'!$A$20,""),IF(ISNUMBER(SEARCH('Référentiel entourage'!$B$21,O15)),'Référentiel entourage'!$A$21,""),IF(ISNUMBER(SEARCH('Référentiel entourage'!$B$22,O15)),'Référentiel entourage'!$A$22,""),IF(ISNUMBER(SEARCH('Référentiel entourage'!$B$23,O15)),'Référentiel entourage'!$A$23,""),IF(ISNUMBER(SEARCH('Référentiel entourage'!$B$24,O15)),'Référentiel entourage'!$A$24,"")))</f>
        <v/>
      </c>
      <c r="AD15" s="7" t="str">
        <f>_xlfn.LET(_xlpm.texte,_xlfn.TEXTJOIN(" | ",TRUE,H15:N15,P15),IF(_xlpm.texte="","",_xlfn.TEXTJOIN(";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16" spans="1:30" ht="170.75" customHeight="1">
      <c r="A16" s="9" t="s">
        <v>83</v>
      </c>
      <c r="B16" s="9" t="s">
        <v>84</v>
      </c>
      <c r="C16" s="9"/>
      <c r="D16" s="10">
        <v>1972</v>
      </c>
      <c r="E16" s="9" t="s">
        <v>59</v>
      </c>
      <c r="F16" s="10"/>
      <c r="G16" s="9" t="s">
        <v>34</v>
      </c>
      <c r="H16" s="9" t="s">
        <v>35</v>
      </c>
      <c r="I16" s="9"/>
      <c r="J16" s="9"/>
      <c r="K16" s="9"/>
      <c r="L16" s="9"/>
      <c r="M16" s="9"/>
      <c r="N16" s="9"/>
      <c r="O16" s="9"/>
      <c r="P16" s="9"/>
      <c r="Q16" s="9"/>
      <c r="R16" s="9"/>
      <c r="S16" s="9"/>
      <c r="T16" s="9"/>
      <c r="U16" s="9"/>
      <c r="V16" s="9"/>
      <c r="W16" s="9"/>
      <c r="X16" s="9" t="s">
        <v>76</v>
      </c>
      <c r="Y16" s="9"/>
      <c r="Z16" s="9"/>
      <c r="AA16" s="9" t="s">
        <v>38</v>
      </c>
      <c r="AB16" s="1" t="s">
        <v>85</v>
      </c>
      <c r="AC16" s="7" t="str">
        <f>IF(O16="","",_xlfn.TEXTJOIN("; ",TRUE,IF(ISNUMBER(SEARCH('Référentiel entourage'!$B$2,O16)),'Référentiel entourage'!$A$2,""),IF(ISNUMBER(SEARCH('Référentiel entourage'!$B$3,O16)),'Référentiel entourage'!$A$3,""),IF(ISNUMBER(SEARCH('Référentiel entourage'!$B$4,O16)),'Référentiel entourage'!$A$4,""),IF(ISNUMBER(SEARCH('Référentiel entourage'!$B$5,O16)),'Référentiel entourage'!$A$5,""),IF(ISNUMBER(SEARCH('Référentiel entourage'!$B$6,O16)),'Référentiel entourage'!$A$6,""),IF(ISNUMBER(SEARCH('Référentiel entourage'!$B$7,O16)),'Référentiel entourage'!$A$7,""),IF(ISNUMBER(SEARCH('Référentiel entourage'!$B$8,O16)),'Référentiel entourage'!$A$8,""),IF(ISNUMBER(SEARCH('Référentiel entourage'!$B$9,O16)),'Référentiel entourage'!$A$9,""),IF(ISNUMBER(SEARCH('Référentiel entourage'!$B$10,O16)),'Référentiel entourage'!$A$10,""),IF(ISNUMBER(SEARCH('Référentiel entourage'!$B$11,O16)),'Référentiel entourage'!$A$11,""),IF(ISNUMBER(SEARCH('Référentiel entourage'!$B$12,O16)),'Référentiel entourage'!$A$12,""),IF(ISNUMBER(SEARCH('Référentiel entourage'!$B$13,O16)),'Référentiel entourage'!$A$13,""),IF(ISNUMBER(SEARCH('Référentiel entourage'!$B$14,O16)),'Référentiel entourage'!$A$14,""),IF(ISNUMBER(SEARCH('Référentiel entourage'!$B$15,O16)),'Référentiel entourage'!$A$15,""),IF(ISNUMBER(SEARCH('Référentiel entourage'!$B$16,O16)),'Référentiel entourage'!$A$16,""),IF(ISNUMBER(SEARCH('Référentiel entourage'!$B$17,O16)),'Référentiel entourage'!$A$17,""),IF(ISNUMBER(SEARCH('Référentiel entourage'!$B$18,O16)),'Référentiel entourage'!$A$18,""),IF(ISNUMBER(SEARCH('Référentiel entourage'!$B$19,O16)),'Référentiel entourage'!$A$19,""),IF(ISNUMBER(SEARCH('Référentiel entourage'!$B$20,O16)),'Référentiel entourage'!$A$20,""),IF(ISNUMBER(SEARCH('Référentiel entourage'!$B$21,O16)),'Référentiel entourage'!$A$21,""),IF(ISNUMBER(SEARCH('Référentiel entourage'!$B$22,O16)),'Référentiel entourage'!$A$22,""),IF(ISNUMBER(SEARCH('Référentiel entourage'!$B$23,O16)),'Référentiel entourage'!$A$23,""),IF(ISNUMBER(SEARCH('Référentiel entourage'!$B$24,O16)),'Référentiel entourage'!$A$24,"")))</f>
        <v/>
      </c>
      <c r="AD16" s="7" t="str">
        <f>_xlfn.LET(_xlpm.texte,_xlfn.TEXTJOIN(" | ",TRUE,H16:N16,P16),IF(_xlpm.texte="","",_xlfn.TEXTJOIN(";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17" spans="1:30" ht="170.75" customHeight="1">
      <c r="A17" s="9" t="s">
        <v>86</v>
      </c>
      <c r="B17" s="9" t="s">
        <v>87</v>
      </c>
      <c r="C17" s="9" t="s">
        <v>88</v>
      </c>
      <c r="D17" s="10">
        <v>1972</v>
      </c>
      <c r="E17" s="9" t="s">
        <v>89</v>
      </c>
      <c r="F17" s="10">
        <v>467</v>
      </c>
      <c r="G17" s="9" t="s">
        <v>34</v>
      </c>
      <c r="H17" s="9" t="s">
        <v>35</v>
      </c>
      <c r="I17" s="9" t="s">
        <v>35</v>
      </c>
      <c r="J17" s="9" t="s">
        <v>90</v>
      </c>
      <c r="K17" s="9" t="s">
        <v>91</v>
      </c>
      <c r="L17" s="9" t="s">
        <v>92</v>
      </c>
      <c r="M17" s="9"/>
      <c r="N17" s="9" t="s">
        <v>93</v>
      </c>
      <c r="O17" s="9" t="s">
        <v>94</v>
      </c>
      <c r="P17" s="9" t="s">
        <v>95</v>
      </c>
      <c r="Q17" s="9" t="s">
        <v>96</v>
      </c>
      <c r="R17" s="9"/>
      <c r="S17" s="9"/>
      <c r="T17" s="9"/>
      <c r="U17" s="9"/>
      <c r="V17" s="9"/>
      <c r="W17" s="9"/>
      <c r="X17" s="9" t="s">
        <v>97</v>
      </c>
      <c r="Y17" s="9" t="s">
        <v>98</v>
      </c>
      <c r="Z17" s="9" t="s">
        <v>99</v>
      </c>
      <c r="AA17" s="9" t="s">
        <v>100</v>
      </c>
      <c r="AB17" s="1" t="s">
        <v>101</v>
      </c>
      <c r="AC17" s="7" t="str">
        <f>IF(O17="","",_xlfn.TEXTJOIN("; ",TRUE,IF(ISNUMBER(SEARCH('Référentiel entourage'!$B$2,O17)),'Référentiel entourage'!$A$2,""),IF(ISNUMBER(SEARCH('Référentiel entourage'!$B$3,O17)),'Référentiel entourage'!$A$3,""),IF(ISNUMBER(SEARCH('Référentiel entourage'!$B$4,O17)),'Référentiel entourage'!$A$4,""),IF(ISNUMBER(SEARCH('Référentiel entourage'!$B$5,O17)),'Référentiel entourage'!$A$5,""),IF(ISNUMBER(SEARCH('Référentiel entourage'!$B$6,O17)),'Référentiel entourage'!$A$6,""),IF(ISNUMBER(SEARCH('Référentiel entourage'!$B$7,O17)),'Référentiel entourage'!$A$7,""),IF(ISNUMBER(SEARCH('Référentiel entourage'!$B$8,O17)),'Référentiel entourage'!$A$8,""),IF(ISNUMBER(SEARCH('Référentiel entourage'!$B$9,O17)),'Référentiel entourage'!$A$9,""),IF(ISNUMBER(SEARCH('Référentiel entourage'!$B$10,O17)),'Référentiel entourage'!$A$10,""),IF(ISNUMBER(SEARCH('Référentiel entourage'!$B$11,O17)),'Référentiel entourage'!$A$11,""),IF(ISNUMBER(SEARCH('Référentiel entourage'!$B$12,O17)),'Référentiel entourage'!$A$12,""),IF(ISNUMBER(SEARCH('Référentiel entourage'!$B$13,O17)),'Référentiel entourage'!$A$13,""),IF(ISNUMBER(SEARCH('Référentiel entourage'!$B$14,O17)),'Référentiel entourage'!$A$14,""),IF(ISNUMBER(SEARCH('Référentiel entourage'!$B$15,O17)),'Référentiel entourage'!$A$15,""),IF(ISNUMBER(SEARCH('Référentiel entourage'!$B$16,O17)),'Référentiel entourage'!$A$16,""),IF(ISNUMBER(SEARCH('Référentiel entourage'!$B$17,O17)),'Référentiel entourage'!$A$17,""),IF(ISNUMBER(SEARCH('Référentiel entourage'!$B$18,O17)),'Référentiel entourage'!$A$18,""),IF(ISNUMBER(SEARCH('Référentiel entourage'!$B$19,O17)),'Référentiel entourage'!$A$19,""),IF(ISNUMBER(SEARCH('Référentiel entourage'!$B$20,O17)),'Référentiel entourage'!$A$20,""),IF(ISNUMBER(SEARCH('Référentiel entourage'!$B$21,O17)),'Référentiel entourage'!$A$21,""),IF(ISNUMBER(SEARCH('Référentiel entourage'!$B$22,O17)),'Référentiel entourage'!$A$22,""),IF(ISNUMBER(SEARCH('Référentiel entourage'!$B$23,O17)),'Référentiel entourage'!$A$23,""),IF(ISNUMBER(SEARCH('Référentiel entourage'!$B$24,O17)),'Référentiel entourage'!$A$24,"")))</f>
        <v>pers-gottfried-john; pers-irm-hermann; pers-kurt-raab; pers-hanna-schygulla</v>
      </c>
      <c r="AD17" s="7" t="str">
        <f>_xlfn.LET(_xlpm.texte,_xlfn.TEXTJOIN(" | ",TRUE,H17:N17,P17),IF(_xlpm.texte="","",_xlfn.TEXTJOIN(";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pers-kurt-raab</v>
      </c>
    </row>
    <row r="18" spans="1:30" ht="170.75" customHeight="1">
      <c r="A18" s="9" t="s">
        <v>102</v>
      </c>
      <c r="B18" s="9" t="s">
        <v>103</v>
      </c>
      <c r="C18" s="9"/>
      <c r="D18" s="10">
        <v>1973</v>
      </c>
      <c r="E18" s="9" t="s">
        <v>59</v>
      </c>
      <c r="F18" s="10"/>
      <c r="G18" s="9" t="s">
        <v>34</v>
      </c>
      <c r="H18" s="9" t="s">
        <v>35</v>
      </c>
      <c r="I18" s="9"/>
      <c r="J18" s="9"/>
      <c r="K18" s="9"/>
      <c r="L18" s="9"/>
      <c r="M18" s="9"/>
      <c r="N18" s="9"/>
      <c r="O18" s="9"/>
      <c r="P18" s="9"/>
      <c r="Q18" s="9"/>
      <c r="R18" s="9"/>
      <c r="S18" s="9"/>
      <c r="T18" s="9"/>
      <c r="U18" s="9"/>
      <c r="V18" s="9"/>
      <c r="W18" s="9"/>
      <c r="X18" s="9" t="s">
        <v>104</v>
      </c>
      <c r="Y18" s="9"/>
      <c r="Z18" s="9"/>
      <c r="AA18" s="9" t="s">
        <v>38</v>
      </c>
      <c r="AB18" s="1" t="s">
        <v>105</v>
      </c>
      <c r="AC18" s="7" t="str">
        <f>IF(O18="","",_xlfn.TEXTJOIN("; ",TRUE,IF(ISNUMBER(SEARCH('Référentiel entourage'!$B$2,O18)),'Référentiel entourage'!$A$2,""),IF(ISNUMBER(SEARCH('Référentiel entourage'!$B$3,O18)),'Référentiel entourage'!$A$3,""),IF(ISNUMBER(SEARCH('Référentiel entourage'!$B$4,O18)),'Référentiel entourage'!$A$4,""),IF(ISNUMBER(SEARCH('Référentiel entourage'!$B$5,O18)),'Référentiel entourage'!$A$5,""),IF(ISNUMBER(SEARCH('Référentiel entourage'!$B$6,O18)),'Référentiel entourage'!$A$6,""),IF(ISNUMBER(SEARCH('Référentiel entourage'!$B$7,O18)),'Référentiel entourage'!$A$7,""),IF(ISNUMBER(SEARCH('Référentiel entourage'!$B$8,O18)),'Référentiel entourage'!$A$8,""),IF(ISNUMBER(SEARCH('Référentiel entourage'!$B$9,O18)),'Référentiel entourage'!$A$9,""),IF(ISNUMBER(SEARCH('Référentiel entourage'!$B$10,O18)),'Référentiel entourage'!$A$10,""),IF(ISNUMBER(SEARCH('Référentiel entourage'!$B$11,O18)),'Référentiel entourage'!$A$11,""),IF(ISNUMBER(SEARCH('Référentiel entourage'!$B$12,O18)),'Référentiel entourage'!$A$12,""),IF(ISNUMBER(SEARCH('Référentiel entourage'!$B$13,O18)),'Référentiel entourage'!$A$13,""),IF(ISNUMBER(SEARCH('Référentiel entourage'!$B$14,O18)),'Référentiel entourage'!$A$14,""),IF(ISNUMBER(SEARCH('Référentiel entourage'!$B$15,O18)),'Référentiel entourage'!$A$15,""),IF(ISNUMBER(SEARCH('Référentiel entourage'!$B$16,O18)),'Référentiel entourage'!$A$16,""),IF(ISNUMBER(SEARCH('Référentiel entourage'!$B$17,O18)),'Référentiel entourage'!$A$17,""),IF(ISNUMBER(SEARCH('Référentiel entourage'!$B$18,O18)),'Référentiel entourage'!$A$18,""),IF(ISNUMBER(SEARCH('Référentiel entourage'!$B$19,O18)),'Référentiel entourage'!$A$19,""),IF(ISNUMBER(SEARCH('Référentiel entourage'!$B$20,O18)),'Référentiel entourage'!$A$20,""),IF(ISNUMBER(SEARCH('Référentiel entourage'!$B$21,O18)),'Référentiel entourage'!$A$21,""),IF(ISNUMBER(SEARCH('Référentiel entourage'!$B$22,O18)),'Référentiel entourage'!$A$22,""),IF(ISNUMBER(SEARCH('Référentiel entourage'!$B$23,O18)),'Référentiel entourage'!$A$23,""),IF(ISNUMBER(SEARCH('Référentiel entourage'!$B$24,O18)),'Référentiel entourage'!$A$24,"")))</f>
        <v/>
      </c>
      <c r="AD18" s="7" t="str">
        <f>_xlfn.LET(_xlpm.texte,_xlfn.TEXTJOIN(" | ",TRUE,H18:N18,P18),IF(_xlpm.texte="","",_xlfn.TEXTJOIN(";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19" spans="1:30" ht="170.75" customHeight="1">
      <c r="A19" s="9" t="s">
        <v>106</v>
      </c>
      <c r="B19" s="9" t="s">
        <v>107</v>
      </c>
      <c r="C19" s="9" t="s">
        <v>108</v>
      </c>
      <c r="D19" s="10">
        <v>1973</v>
      </c>
      <c r="E19" s="9" t="s">
        <v>109</v>
      </c>
      <c r="F19" s="10">
        <v>212</v>
      </c>
      <c r="G19" s="9" t="s">
        <v>34</v>
      </c>
      <c r="H19" s="9" t="s">
        <v>35</v>
      </c>
      <c r="I19" s="9" t="s">
        <v>110</v>
      </c>
      <c r="J19" s="9"/>
      <c r="K19" s="9"/>
      <c r="L19" s="9"/>
      <c r="M19" s="9"/>
      <c r="N19" s="9" t="s">
        <v>93</v>
      </c>
      <c r="O19" s="9"/>
      <c r="P19" s="9" t="s">
        <v>111</v>
      </c>
      <c r="Q19" s="9" t="s">
        <v>112</v>
      </c>
      <c r="R19" s="9"/>
      <c r="S19" s="9"/>
      <c r="T19" s="9" t="s">
        <v>113</v>
      </c>
      <c r="U19" s="9" t="s">
        <v>114</v>
      </c>
      <c r="V19" s="9"/>
      <c r="W19" s="9"/>
      <c r="X19" s="9" t="s">
        <v>104</v>
      </c>
      <c r="Y19" s="9" t="s">
        <v>115</v>
      </c>
      <c r="Z19" s="9" t="s">
        <v>99</v>
      </c>
      <c r="AA19" s="9" t="s">
        <v>116</v>
      </c>
      <c r="AB19" s="1" t="s">
        <v>117</v>
      </c>
      <c r="AC19" s="7" t="str">
        <f>IF(O19="","",_xlfn.TEXTJOIN("; ",TRUE,IF(ISNUMBER(SEARCH('Référentiel entourage'!$B$2,O19)),'Référentiel entourage'!$A$2,""),IF(ISNUMBER(SEARCH('Référentiel entourage'!$B$3,O19)),'Référentiel entourage'!$A$3,""),IF(ISNUMBER(SEARCH('Référentiel entourage'!$B$4,O19)),'Référentiel entourage'!$A$4,""),IF(ISNUMBER(SEARCH('Référentiel entourage'!$B$5,O19)),'Référentiel entourage'!$A$5,""),IF(ISNUMBER(SEARCH('Référentiel entourage'!$B$6,O19)),'Référentiel entourage'!$A$6,""),IF(ISNUMBER(SEARCH('Référentiel entourage'!$B$7,O19)),'Référentiel entourage'!$A$7,""),IF(ISNUMBER(SEARCH('Référentiel entourage'!$B$8,O19)),'Référentiel entourage'!$A$8,""),IF(ISNUMBER(SEARCH('Référentiel entourage'!$B$9,O19)),'Référentiel entourage'!$A$9,""),IF(ISNUMBER(SEARCH('Référentiel entourage'!$B$10,O19)),'Référentiel entourage'!$A$10,""),IF(ISNUMBER(SEARCH('Référentiel entourage'!$B$11,O19)),'Référentiel entourage'!$A$11,""),IF(ISNUMBER(SEARCH('Référentiel entourage'!$B$12,O19)),'Référentiel entourage'!$A$12,""),IF(ISNUMBER(SEARCH('Référentiel entourage'!$B$13,O19)),'Référentiel entourage'!$A$13,""),IF(ISNUMBER(SEARCH('Référentiel entourage'!$B$14,O19)),'Référentiel entourage'!$A$14,""),IF(ISNUMBER(SEARCH('Référentiel entourage'!$B$15,O19)),'Référentiel entourage'!$A$15,""),IF(ISNUMBER(SEARCH('Référentiel entourage'!$B$16,O19)),'Référentiel entourage'!$A$16,""),IF(ISNUMBER(SEARCH('Référentiel entourage'!$B$17,O19)),'Référentiel entourage'!$A$17,""),IF(ISNUMBER(SEARCH('Référentiel entourage'!$B$18,O19)),'Référentiel entourage'!$A$18,""),IF(ISNUMBER(SEARCH('Référentiel entourage'!$B$19,O19)),'Référentiel entourage'!$A$19,""),IF(ISNUMBER(SEARCH('Référentiel entourage'!$B$20,O19)),'Référentiel entourage'!$A$20,""),IF(ISNUMBER(SEARCH('Référentiel entourage'!$B$21,O19)),'Référentiel entourage'!$A$21,""),IF(ISNUMBER(SEARCH('Référentiel entourage'!$B$22,O19)),'Référentiel entourage'!$A$22,""),IF(ISNUMBER(SEARCH('Référentiel entourage'!$B$23,O19)),'Référentiel entourage'!$A$23,""),IF(ISNUMBER(SEARCH('Référentiel entourage'!$B$24,O19)),'Référentiel entourage'!$A$24,"")))</f>
        <v/>
      </c>
      <c r="AD19" s="7" t="str">
        <f>_xlfn.LET(_xlpm.texte,_xlfn.TEXTJOIN(" | ",TRUE,H19:N19,P19),IF(_xlpm.texte="","",_xlfn.TEXTJOIN(";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20" spans="1:30" ht="170.75" customHeight="1">
      <c r="A20" s="9" t="s">
        <v>118</v>
      </c>
      <c r="B20" s="9" t="s">
        <v>119</v>
      </c>
      <c r="C20" s="9" t="s">
        <v>120</v>
      </c>
      <c r="D20" s="10">
        <v>1974</v>
      </c>
      <c r="E20" s="9" t="s">
        <v>33</v>
      </c>
      <c r="F20" s="10">
        <v>93</v>
      </c>
      <c r="G20" s="9" t="s">
        <v>34</v>
      </c>
      <c r="H20" s="9" t="s">
        <v>35</v>
      </c>
      <c r="I20" s="9" t="s">
        <v>35</v>
      </c>
      <c r="J20" s="9"/>
      <c r="K20" s="9"/>
      <c r="L20" s="9"/>
      <c r="M20" s="9"/>
      <c r="N20" s="9"/>
      <c r="O20" s="9" t="s">
        <v>121</v>
      </c>
      <c r="P20" s="9" t="s">
        <v>122</v>
      </c>
      <c r="Q20" s="9" t="s">
        <v>123</v>
      </c>
      <c r="R20" s="9"/>
      <c r="S20" s="9"/>
      <c r="T20" s="9"/>
      <c r="U20" s="9" t="s">
        <v>124</v>
      </c>
      <c r="V20" s="9"/>
      <c r="W20" s="9"/>
      <c r="X20" s="9" t="s">
        <v>125</v>
      </c>
      <c r="Y20" s="9" t="s">
        <v>126</v>
      </c>
      <c r="Z20" s="9" t="s">
        <v>99</v>
      </c>
      <c r="AA20" s="9" t="s">
        <v>100</v>
      </c>
      <c r="AB20" s="1" t="s">
        <v>127</v>
      </c>
      <c r="AC20" s="7" t="str">
        <f>IF(O20="","",_xlfn.TEXTJOIN("; ",TRUE,IF(ISNUMBER(SEARCH('Référentiel entourage'!$B$2,O20)),'Référentiel entourage'!$A$2,""),IF(ISNUMBER(SEARCH('Référentiel entourage'!$B$3,O20)),'Référentiel entourage'!$A$3,""),IF(ISNUMBER(SEARCH('Référentiel entourage'!$B$4,O20)),'Référentiel entourage'!$A$4,""),IF(ISNUMBER(SEARCH('Référentiel entourage'!$B$5,O20)),'Référentiel entourage'!$A$5,""),IF(ISNUMBER(SEARCH('Référentiel entourage'!$B$6,O20)),'Référentiel entourage'!$A$6,""),IF(ISNUMBER(SEARCH('Référentiel entourage'!$B$7,O20)),'Référentiel entourage'!$A$7,""),IF(ISNUMBER(SEARCH('Référentiel entourage'!$B$8,O20)),'Référentiel entourage'!$A$8,""),IF(ISNUMBER(SEARCH('Référentiel entourage'!$B$9,O20)),'Référentiel entourage'!$A$9,""),IF(ISNUMBER(SEARCH('Référentiel entourage'!$B$10,O20)),'Référentiel entourage'!$A$10,""),IF(ISNUMBER(SEARCH('Référentiel entourage'!$B$11,O20)),'Référentiel entourage'!$A$11,""),IF(ISNUMBER(SEARCH('Référentiel entourage'!$B$12,O20)),'Référentiel entourage'!$A$12,""),IF(ISNUMBER(SEARCH('Référentiel entourage'!$B$13,O20)),'Référentiel entourage'!$A$13,""),IF(ISNUMBER(SEARCH('Référentiel entourage'!$B$14,O20)),'Référentiel entourage'!$A$14,""),IF(ISNUMBER(SEARCH('Référentiel entourage'!$B$15,O20)),'Référentiel entourage'!$A$15,""),IF(ISNUMBER(SEARCH('Référentiel entourage'!$B$16,O20)),'Référentiel entourage'!$A$16,""),IF(ISNUMBER(SEARCH('Référentiel entourage'!$B$17,O20)),'Référentiel entourage'!$A$17,""),IF(ISNUMBER(SEARCH('Référentiel entourage'!$B$18,O20)),'Référentiel entourage'!$A$18,""),IF(ISNUMBER(SEARCH('Référentiel entourage'!$B$19,O20)),'Référentiel entourage'!$A$19,""),IF(ISNUMBER(SEARCH('Référentiel entourage'!$B$20,O20)),'Référentiel entourage'!$A$20,""),IF(ISNUMBER(SEARCH('Référentiel entourage'!$B$21,O20)),'Référentiel entourage'!$A$21,""),IF(ISNUMBER(SEARCH('Référentiel entourage'!$B$22,O20)),'Référentiel entourage'!$A$22,""),IF(ISNUMBER(SEARCH('Référentiel entourage'!$B$23,O20)),'Référentiel entourage'!$A$23,""),IF(ISNUMBER(SEARCH('Référentiel entourage'!$B$24,O20)),'Référentiel entourage'!$A$24,"")))</f>
        <v>pers-el-hedi-ben-salem; pers-peter-chatel; pers-lilo-pempeit; pers-irm-hermann; pers-brigitte-mira; pers-barbara-valentin</v>
      </c>
      <c r="AD20" s="7" t="str">
        <f>_xlfn.LET(_xlpm.texte,_xlfn.TEXTJOIN(" | ",TRUE,H20:N20,P20),IF(_xlpm.texte="","",_xlfn.TEXTJOIN(";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21" spans="1:30" ht="170.75" customHeight="1">
      <c r="A21" s="9" t="s">
        <v>128</v>
      </c>
      <c r="B21" s="9" t="s">
        <v>129</v>
      </c>
      <c r="C21" s="9" t="s">
        <v>130</v>
      </c>
      <c r="D21" s="10">
        <v>1974</v>
      </c>
      <c r="E21" s="9" t="s">
        <v>33</v>
      </c>
      <c r="F21" s="10">
        <v>140</v>
      </c>
      <c r="G21" s="9" t="s">
        <v>34</v>
      </c>
      <c r="H21" s="9" t="s">
        <v>35</v>
      </c>
      <c r="I21" s="9" t="s">
        <v>131</v>
      </c>
      <c r="J21" s="9" t="s">
        <v>132</v>
      </c>
      <c r="K21" s="9" t="s">
        <v>133</v>
      </c>
      <c r="L21" s="9" t="s">
        <v>92</v>
      </c>
      <c r="M21" s="9"/>
      <c r="N21" s="9" t="s">
        <v>35</v>
      </c>
      <c r="O21" s="9" t="s">
        <v>134</v>
      </c>
      <c r="P21" s="9" t="s">
        <v>135</v>
      </c>
      <c r="Q21" s="9" t="s">
        <v>136</v>
      </c>
      <c r="R21" s="9"/>
      <c r="S21" s="9"/>
      <c r="T21" s="9" t="s">
        <v>137</v>
      </c>
      <c r="U21" s="9" t="s">
        <v>138</v>
      </c>
      <c r="V21" s="9"/>
      <c r="W21" s="9"/>
      <c r="X21" s="9" t="s">
        <v>125</v>
      </c>
      <c r="Y21" s="9" t="s">
        <v>139</v>
      </c>
      <c r="Z21" s="9" t="s">
        <v>99</v>
      </c>
      <c r="AA21" s="9" t="s">
        <v>100</v>
      </c>
      <c r="AB21" s="1" t="s">
        <v>140</v>
      </c>
      <c r="AC21" s="7" t="str">
        <f>IF(O21="","",_xlfn.TEXTJOIN("; ",TRUE,IF(ISNUMBER(SEARCH('Référentiel entourage'!$B$2,O21)),'Référentiel entourage'!$A$2,""),IF(ISNUMBER(SEARCH('Référentiel entourage'!$B$3,O21)),'Référentiel entourage'!$A$3,""),IF(ISNUMBER(SEARCH('Référentiel entourage'!$B$4,O21)),'Référentiel entourage'!$A$4,""),IF(ISNUMBER(SEARCH('Référentiel entourage'!$B$5,O21)),'Référentiel entourage'!$A$5,""),IF(ISNUMBER(SEARCH('Référentiel entourage'!$B$6,O21)),'Référentiel entourage'!$A$6,""),IF(ISNUMBER(SEARCH('Référentiel entourage'!$B$7,O21)),'Référentiel entourage'!$A$7,""),IF(ISNUMBER(SEARCH('Référentiel entourage'!$B$8,O21)),'Référentiel entourage'!$A$8,""),IF(ISNUMBER(SEARCH('Référentiel entourage'!$B$9,O21)),'Référentiel entourage'!$A$9,""),IF(ISNUMBER(SEARCH('Référentiel entourage'!$B$10,O21)),'Référentiel entourage'!$A$10,""),IF(ISNUMBER(SEARCH('Référentiel entourage'!$B$11,O21)),'Référentiel entourage'!$A$11,""),IF(ISNUMBER(SEARCH('Référentiel entourage'!$B$12,O21)),'Référentiel entourage'!$A$12,""),IF(ISNUMBER(SEARCH('Référentiel entourage'!$B$13,O21)),'Référentiel entourage'!$A$13,""),IF(ISNUMBER(SEARCH('Référentiel entourage'!$B$14,O21)),'Référentiel entourage'!$A$14,""),IF(ISNUMBER(SEARCH('Référentiel entourage'!$B$15,O21)),'Référentiel entourage'!$A$15,""),IF(ISNUMBER(SEARCH('Référentiel entourage'!$B$16,O21)),'Référentiel entourage'!$A$16,""),IF(ISNUMBER(SEARCH('Référentiel entourage'!$B$17,O21)),'Référentiel entourage'!$A$17,""),IF(ISNUMBER(SEARCH('Référentiel entourage'!$B$18,O21)),'Référentiel entourage'!$A$18,""),IF(ISNUMBER(SEARCH('Référentiel entourage'!$B$19,O21)),'Référentiel entourage'!$A$19,""),IF(ISNUMBER(SEARCH('Référentiel entourage'!$B$20,O21)),'Référentiel entourage'!$A$20,""),IF(ISNUMBER(SEARCH('Référentiel entourage'!$B$21,O21)),'Référentiel entourage'!$A$21,""),IF(ISNUMBER(SEARCH('Référentiel entourage'!$B$22,O21)),'Référentiel entourage'!$A$22,""),IF(ISNUMBER(SEARCH('Référentiel entourage'!$B$23,O21)),'Référentiel entourage'!$A$23,""),IF(ISNUMBER(SEARCH('Référentiel entourage'!$B$24,O21)),'Référentiel entourage'!$A$24,"")))</f>
        <v>pers-karlheinz-bohm; pers-lilo-pempeit; pers-irm-hermann; pers-ulli-lommel; pers-hanna-schygulla; pers-ursula-stratz; pers-barbara-valentin</v>
      </c>
      <c r="AD21" s="7" t="str">
        <f>_xlfn.LET(_xlpm.texte,_xlfn.TEXTJOIN(" | ",TRUE,H21:N21,P21),IF(_xlpm.texte="","",_xlfn.TEXTJOIN(";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pers-kurt-raab</v>
      </c>
    </row>
    <row r="22" spans="1:30" ht="30">
      <c r="A22" s="9" t="s">
        <v>141</v>
      </c>
      <c r="B22" s="9" t="s">
        <v>142</v>
      </c>
      <c r="C22" s="9"/>
      <c r="D22" s="10">
        <v>1974</v>
      </c>
      <c r="E22" s="9" t="s">
        <v>59</v>
      </c>
      <c r="F22" s="10"/>
      <c r="G22" s="9" t="s">
        <v>34</v>
      </c>
      <c r="H22" s="9" t="s">
        <v>35</v>
      </c>
      <c r="I22" s="9"/>
      <c r="J22" s="9"/>
      <c r="K22" s="9"/>
      <c r="L22" s="9"/>
      <c r="M22" s="9"/>
      <c r="N22" s="9"/>
      <c r="O22" s="9"/>
      <c r="P22" s="9"/>
      <c r="Q22" s="9"/>
      <c r="R22" s="9"/>
      <c r="S22" s="9"/>
      <c r="T22" s="9"/>
      <c r="U22" s="9"/>
      <c r="V22" s="9"/>
      <c r="W22" s="9"/>
      <c r="X22" s="9" t="s">
        <v>125</v>
      </c>
      <c r="Y22" s="9"/>
      <c r="Z22" s="9"/>
      <c r="AA22" s="9" t="s">
        <v>38</v>
      </c>
      <c r="AB22" s="1" t="s">
        <v>143</v>
      </c>
      <c r="AC22" s="7" t="str">
        <f>IF(O22="","",_xlfn.TEXTJOIN("; ",TRUE,IF(ISNUMBER(SEARCH('Référentiel entourage'!$B$2,O22)),'Référentiel entourage'!$A$2,""),IF(ISNUMBER(SEARCH('Référentiel entourage'!$B$3,O22)),'Référentiel entourage'!$A$3,""),IF(ISNUMBER(SEARCH('Référentiel entourage'!$B$4,O22)),'Référentiel entourage'!$A$4,""),IF(ISNUMBER(SEARCH('Référentiel entourage'!$B$5,O22)),'Référentiel entourage'!$A$5,""),IF(ISNUMBER(SEARCH('Référentiel entourage'!$B$6,O22)),'Référentiel entourage'!$A$6,""),IF(ISNUMBER(SEARCH('Référentiel entourage'!$B$7,O22)),'Référentiel entourage'!$A$7,""),IF(ISNUMBER(SEARCH('Référentiel entourage'!$B$8,O22)),'Référentiel entourage'!$A$8,""),IF(ISNUMBER(SEARCH('Référentiel entourage'!$B$9,O22)),'Référentiel entourage'!$A$9,""),IF(ISNUMBER(SEARCH('Référentiel entourage'!$B$10,O22)),'Référentiel entourage'!$A$10,""),IF(ISNUMBER(SEARCH('Référentiel entourage'!$B$11,O22)),'Référentiel entourage'!$A$11,""),IF(ISNUMBER(SEARCH('Référentiel entourage'!$B$12,O22)),'Référentiel entourage'!$A$12,""),IF(ISNUMBER(SEARCH('Référentiel entourage'!$B$13,O22)),'Référentiel entourage'!$A$13,""),IF(ISNUMBER(SEARCH('Référentiel entourage'!$B$14,O22)),'Référentiel entourage'!$A$14,""),IF(ISNUMBER(SEARCH('Référentiel entourage'!$B$15,O22)),'Référentiel entourage'!$A$15,""),IF(ISNUMBER(SEARCH('Référentiel entourage'!$B$16,O22)),'Référentiel entourage'!$A$16,""),IF(ISNUMBER(SEARCH('Référentiel entourage'!$B$17,O22)),'Référentiel entourage'!$A$17,""),IF(ISNUMBER(SEARCH('Référentiel entourage'!$B$18,O22)),'Référentiel entourage'!$A$18,""),IF(ISNUMBER(SEARCH('Référentiel entourage'!$B$19,O22)),'Référentiel entourage'!$A$19,""),IF(ISNUMBER(SEARCH('Référentiel entourage'!$B$20,O22)),'Référentiel entourage'!$A$20,""),IF(ISNUMBER(SEARCH('Référentiel entourage'!$B$21,O22)),'Référentiel entourage'!$A$21,""),IF(ISNUMBER(SEARCH('Référentiel entourage'!$B$22,O22)),'Référentiel entourage'!$A$22,""),IF(ISNUMBER(SEARCH('Référentiel entourage'!$B$23,O22)),'Référentiel entourage'!$A$23,""),IF(ISNUMBER(SEARCH('Référentiel entourage'!$B$24,O22)),'Référentiel entourage'!$A$24,"")))</f>
        <v/>
      </c>
      <c r="AD22" s="7" t="str">
        <f>_xlfn.LET(_xlpm.texte,_xlfn.TEXTJOIN(" | ",TRUE,H22:N22,P22),IF(_xlpm.texte="","",_xlfn.TEXTJOIN(";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23" spans="1:30" ht="150">
      <c r="A23" s="9" t="s">
        <v>144</v>
      </c>
      <c r="B23" s="9" t="s">
        <v>145</v>
      </c>
      <c r="C23" s="9" t="s">
        <v>145</v>
      </c>
      <c r="D23" s="10">
        <v>1974</v>
      </c>
      <c r="E23" s="9" t="s">
        <v>59</v>
      </c>
      <c r="F23" s="10">
        <v>116</v>
      </c>
      <c r="G23" s="9" t="s">
        <v>34</v>
      </c>
      <c r="H23" s="9" t="s">
        <v>35</v>
      </c>
      <c r="I23" s="9" t="s">
        <v>146</v>
      </c>
      <c r="J23" s="9" t="s">
        <v>147</v>
      </c>
      <c r="K23" s="9" t="s">
        <v>148</v>
      </c>
      <c r="L23" s="9" t="s">
        <v>92</v>
      </c>
      <c r="M23" s="9"/>
      <c r="N23" s="9" t="s">
        <v>149</v>
      </c>
      <c r="O23" s="9" t="s">
        <v>150</v>
      </c>
      <c r="P23" s="9" t="s">
        <v>151</v>
      </c>
      <c r="Q23" s="9" t="s">
        <v>152</v>
      </c>
      <c r="R23" s="9"/>
      <c r="S23" s="9" t="s">
        <v>153</v>
      </c>
      <c r="T23" s="9" t="s">
        <v>154</v>
      </c>
      <c r="U23" s="9"/>
      <c r="V23" s="9"/>
      <c r="W23" s="9"/>
      <c r="X23" s="9" t="s">
        <v>125</v>
      </c>
      <c r="Y23" s="9" t="s">
        <v>155</v>
      </c>
      <c r="Z23" s="9" t="s">
        <v>99</v>
      </c>
      <c r="AA23" s="9" t="s">
        <v>100</v>
      </c>
      <c r="AB23" s="1" t="s">
        <v>156</v>
      </c>
      <c r="AC23" s="7" t="str">
        <f>IF(O23="","",_xlfn.TEXTJOIN("; ",TRUE,IF(ISNUMBER(SEARCH('Référentiel entourage'!$B$2,O23)),'Référentiel entourage'!$A$2,""),IF(ISNUMBER(SEARCH('Référentiel entourage'!$B$3,O23)),'Référentiel entourage'!$A$3,""),IF(ISNUMBER(SEARCH('Référentiel entourage'!$B$4,O23)),'Référentiel entourage'!$A$4,""),IF(ISNUMBER(SEARCH('Référentiel entourage'!$B$5,O23)),'Référentiel entourage'!$A$5,""),IF(ISNUMBER(SEARCH('Référentiel entourage'!$B$6,O23)),'Référentiel entourage'!$A$6,""),IF(ISNUMBER(SEARCH('Référentiel entourage'!$B$7,O23)),'Référentiel entourage'!$A$7,""),IF(ISNUMBER(SEARCH('Référentiel entourage'!$B$8,O23)),'Référentiel entourage'!$A$8,""),IF(ISNUMBER(SEARCH('Référentiel entourage'!$B$9,O23)),'Référentiel entourage'!$A$9,""),IF(ISNUMBER(SEARCH('Référentiel entourage'!$B$10,O23)),'Référentiel entourage'!$A$10,""),IF(ISNUMBER(SEARCH('Référentiel entourage'!$B$11,O23)),'Référentiel entourage'!$A$11,""),IF(ISNUMBER(SEARCH('Référentiel entourage'!$B$12,O23)),'Référentiel entourage'!$A$12,""),IF(ISNUMBER(SEARCH('Référentiel entourage'!$B$13,O23)),'Référentiel entourage'!$A$13,""),IF(ISNUMBER(SEARCH('Référentiel entourage'!$B$14,O23)),'Référentiel entourage'!$A$14,""),IF(ISNUMBER(SEARCH('Référentiel entourage'!$B$15,O23)),'Référentiel entourage'!$A$15,""),IF(ISNUMBER(SEARCH('Référentiel entourage'!$B$16,O23)),'Référentiel entourage'!$A$16,""),IF(ISNUMBER(SEARCH('Référentiel entourage'!$B$17,O23)),'Référentiel entourage'!$A$17,""),IF(ISNUMBER(SEARCH('Référentiel entourage'!$B$18,O23)),'Référentiel entourage'!$A$18,""),IF(ISNUMBER(SEARCH('Référentiel entourage'!$B$19,O23)),'Référentiel entourage'!$A$19,""),IF(ISNUMBER(SEARCH('Référentiel entourage'!$B$20,O23)),'Référentiel entourage'!$A$20,""),IF(ISNUMBER(SEARCH('Référentiel entourage'!$B$21,O23)),'Référentiel entourage'!$A$21,""),IF(ISNUMBER(SEARCH('Référentiel entourage'!$B$22,O23)),'Référentiel entourage'!$A$22,""),IF(ISNUMBER(SEARCH('Référentiel entourage'!$B$23,O23)),'Référentiel entourage'!$A$23,""),IF(ISNUMBER(SEARCH('Référentiel entourage'!$B$24,O23)),'Référentiel entourage'!$A$24,"")))</f>
        <v>pers-el-hedi-ben-salem; pers-karlheinz-bohm; pers-margit-carstensen; pers-ingrid-caven; pers-peter-chatel; pers-kurt-raab; pers-barbara-valentin</v>
      </c>
      <c r="AD23" s="7" t="str">
        <f>_xlfn.LET(_xlpm.texte,_xlfn.TEXTJOIN(" | ",TRUE,H23:N23,P23),IF(_xlpm.texte="","",_xlfn.TEXTJOIN(";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pers-kurt-raab</v>
      </c>
    </row>
    <row r="24" spans="1:30" ht="255">
      <c r="A24" s="9" t="s">
        <v>157</v>
      </c>
      <c r="B24" s="9" t="s">
        <v>158</v>
      </c>
      <c r="C24" s="9" t="s">
        <v>159</v>
      </c>
      <c r="D24" s="10">
        <v>1975</v>
      </c>
      <c r="E24" s="9" t="s">
        <v>33</v>
      </c>
      <c r="F24" s="10">
        <v>123</v>
      </c>
      <c r="G24" s="9" t="s">
        <v>34</v>
      </c>
      <c r="H24" s="9" t="s">
        <v>35</v>
      </c>
      <c r="I24" s="9" t="s">
        <v>160</v>
      </c>
      <c r="J24" s="9" t="s">
        <v>147</v>
      </c>
      <c r="K24" s="9" t="s">
        <v>133</v>
      </c>
      <c r="L24" s="9"/>
      <c r="M24" s="9" t="s">
        <v>161</v>
      </c>
      <c r="N24" s="9" t="s">
        <v>162</v>
      </c>
      <c r="O24" s="9" t="s">
        <v>163</v>
      </c>
      <c r="P24" s="9" t="s">
        <v>164</v>
      </c>
      <c r="Q24" s="9" t="s">
        <v>165</v>
      </c>
      <c r="R24" s="9"/>
      <c r="S24" s="9" t="s">
        <v>166</v>
      </c>
      <c r="T24" s="9"/>
      <c r="U24" s="9" t="s">
        <v>167</v>
      </c>
      <c r="V24" s="9"/>
      <c r="W24" s="9"/>
      <c r="X24" s="9" t="s">
        <v>168</v>
      </c>
      <c r="Y24" s="9" t="s">
        <v>169</v>
      </c>
      <c r="Z24" s="9" t="s">
        <v>99</v>
      </c>
      <c r="AA24" s="9" t="s">
        <v>100</v>
      </c>
      <c r="AB24" s="1" t="s">
        <v>170</v>
      </c>
      <c r="AC24" s="7" t="str">
        <f>IF(O24="","",_xlfn.TEXTJOIN("; ",TRUE,IF(ISNUMBER(SEARCH('Référentiel entourage'!$B$2,O24)),'Référentiel entourage'!$A$2,""),IF(ISNUMBER(SEARCH('Référentiel entourage'!$B$3,O24)),'Référentiel entourage'!$A$3,""),IF(ISNUMBER(SEARCH('Référentiel entourage'!$B$4,O24)),'Référentiel entourage'!$A$4,""),IF(ISNUMBER(SEARCH('Référentiel entourage'!$B$5,O24)),'Référentiel entourage'!$A$5,""),IF(ISNUMBER(SEARCH('Référentiel entourage'!$B$6,O24)),'Référentiel entourage'!$A$6,""),IF(ISNUMBER(SEARCH('Référentiel entourage'!$B$7,O24)),'Référentiel entourage'!$A$7,""),IF(ISNUMBER(SEARCH('Référentiel entourage'!$B$8,O24)),'Référentiel entourage'!$A$8,""),IF(ISNUMBER(SEARCH('Référentiel entourage'!$B$9,O24)),'Référentiel entourage'!$A$9,""),IF(ISNUMBER(SEARCH('Référentiel entourage'!$B$10,O24)),'Référentiel entourage'!$A$10,""),IF(ISNUMBER(SEARCH('Référentiel entourage'!$B$11,O24)),'Référentiel entourage'!$A$11,""),IF(ISNUMBER(SEARCH('Référentiel entourage'!$B$12,O24)),'Référentiel entourage'!$A$12,""),IF(ISNUMBER(SEARCH('Référentiel entourage'!$B$13,O24)),'Référentiel entourage'!$A$13,""),IF(ISNUMBER(SEARCH('Référentiel entourage'!$B$14,O24)),'Référentiel entourage'!$A$14,""),IF(ISNUMBER(SEARCH('Référentiel entourage'!$B$15,O24)),'Référentiel entourage'!$A$15,""),IF(ISNUMBER(SEARCH('Référentiel entourage'!$B$16,O24)),'Référentiel entourage'!$A$16,""),IF(ISNUMBER(SEARCH('Référentiel entourage'!$B$17,O24)),'Référentiel entourage'!$A$17,""),IF(ISNUMBER(SEARCH('Référentiel entourage'!$B$18,O24)),'Référentiel entourage'!$A$18,""),IF(ISNUMBER(SEARCH('Référentiel entourage'!$B$19,O24)),'Référentiel entourage'!$A$19,""),IF(ISNUMBER(SEARCH('Référentiel entourage'!$B$20,O24)),'Référentiel entourage'!$A$20,""),IF(ISNUMBER(SEARCH('Référentiel entourage'!$B$21,O24)),'Référentiel entourage'!$A$21,""),IF(ISNUMBER(SEARCH('Référentiel entourage'!$B$22,O24)),'Référentiel entourage'!$A$22,""),IF(ISNUMBER(SEARCH('Référentiel entourage'!$B$23,O24)),'Référentiel entourage'!$A$23,""),IF(ISNUMBER(SEARCH('Référentiel entourage'!$B$24,O24)),'Référentiel entourage'!$A$24,"")))</f>
        <v>pers-harry-baer; pers-el-hedi-ben-salem; pers-karlheinz-bohm; pers-ingrid-caven; pers-peter-chatel; pers-irm-hermann; pers-brigitte-mira; pers-kurt-raab; pers-barbara-valentin</v>
      </c>
      <c r="AD24" s="7" t="str">
        <f>_xlfn.LET(_xlpm.texte,_xlfn.TEXTJOIN(" | ",TRUE,H24:N24,P24),IF(_xlpm.texte="","",_xlfn.TEXTJOIN(";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pers-peer-raben</v>
      </c>
    </row>
    <row r="25" spans="1:30" ht="240">
      <c r="A25" s="9" t="s">
        <v>171</v>
      </c>
      <c r="B25" s="9" t="s">
        <v>172</v>
      </c>
      <c r="C25" s="9" t="s">
        <v>173</v>
      </c>
      <c r="D25" s="10">
        <v>1975</v>
      </c>
      <c r="E25" s="9" t="s">
        <v>33</v>
      </c>
      <c r="F25" s="10">
        <v>120</v>
      </c>
      <c r="G25" s="9" t="s">
        <v>34</v>
      </c>
      <c r="H25" s="9" t="s">
        <v>35</v>
      </c>
      <c r="I25" s="9" t="s">
        <v>174</v>
      </c>
      <c r="J25" s="9" t="s">
        <v>147</v>
      </c>
      <c r="K25" s="9" t="s">
        <v>133</v>
      </c>
      <c r="L25" s="9" t="s">
        <v>92</v>
      </c>
      <c r="M25" s="9" t="s">
        <v>161</v>
      </c>
      <c r="N25" s="9" t="s">
        <v>175</v>
      </c>
      <c r="O25" s="9" t="s">
        <v>176</v>
      </c>
      <c r="P25" s="9" t="s">
        <v>177</v>
      </c>
      <c r="Q25" s="9" t="s">
        <v>178</v>
      </c>
      <c r="R25" s="9"/>
      <c r="S25" s="9" t="s">
        <v>179</v>
      </c>
      <c r="T25" s="9" t="s">
        <v>180</v>
      </c>
      <c r="U25" s="9" t="s">
        <v>181</v>
      </c>
      <c r="V25" s="9"/>
      <c r="W25" s="9"/>
      <c r="X25" s="9" t="s">
        <v>168</v>
      </c>
      <c r="Y25" s="9" t="s">
        <v>182</v>
      </c>
      <c r="Z25" s="9" t="s">
        <v>99</v>
      </c>
      <c r="AA25" s="9" t="s">
        <v>100</v>
      </c>
      <c r="AB25" s="1" t="s">
        <v>183</v>
      </c>
      <c r="AC25" s="7" t="str">
        <f>IF(O25="","",_xlfn.TEXTJOIN("; ",TRUE,IF(ISNUMBER(SEARCH('Référentiel entourage'!$B$2,O25)),'Référentiel entourage'!$A$2,""),IF(ISNUMBER(SEARCH('Référentiel entourage'!$B$3,O25)),'Référentiel entourage'!$A$3,""),IF(ISNUMBER(SEARCH('Référentiel entourage'!$B$4,O25)),'Référentiel entourage'!$A$4,""),IF(ISNUMBER(SEARCH('Référentiel entourage'!$B$5,O25)),'Référentiel entourage'!$A$5,""),IF(ISNUMBER(SEARCH('Référentiel entourage'!$B$6,O25)),'Référentiel entourage'!$A$6,""),IF(ISNUMBER(SEARCH('Référentiel entourage'!$B$7,O25)),'Référentiel entourage'!$A$7,""),IF(ISNUMBER(SEARCH('Référentiel entourage'!$B$8,O25)),'Référentiel entourage'!$A$8,""),IF(ISNUMBER(SEARCH('Référentiel entourage'!$B$9,O25)),'Référentiel entourage'!$A$9,""),IF(ISNUMBER(SEARCH('Référentiel entourage'!$B$10,O25)),'Référentiel entourage'!$A$10,""),IF(ISNUMBER(SEARCH('Référentiel entourage'!$B$11,O25)),'Référentiel entourage'!$A$11,""),IF(ISNUMBER(SEARCH('Référentiel entourage'!$B$12,O25)),'Référentiel entourage'!$A$12,""),IF(ISNUMBER(SEARCH('Référentiel entourage'!$B$13,O25)),'Référentiel entourage'!$A$13,""),IF(ISNUMBER(SEARCH('Référentiel entourage'!$B$14,O25)),'Référentiel entourage'!$A$14,""),IF(ISNUMBER(SEARCH('Référentiel entourage'!$B$15,O25)),'Référentiel entourage'!$A$15,""),IF(ISNUMBER(SEARCH('Référentiel entourage'!$B$16,O25)),'Référentiel entourage'!$A$16,""),IF(ISNUMBER(SEARCH('Référentiel entourage'!$B$17,O25)),'Référentiel entourage'!$A$17,""),IF(ISNUMBER(SEARCH('Référentiel entourage'!$B$18,O25)),'Référentiel entourage'!$A$18,""),IF(ISNUMBER(SEARCH('Référentiel entourage'!$B$19,O25)),'Référentiel entourage'!$A$19,""),IF(ISNUMBER(SEARCH('Référentiel entourage'!$B$20,O25)),'Référentiel entourage'!$A$20,""),IF(ISNUMBER(SEARCH('Référentiel entourage'!$B$21,O25)),'Référentiel entourage'!$A$21,""),IF(ISNUMBER(SEARCH('Référentiel entourage'!$B$22,O25)),'Référentiel entourage'!$A$22,""),IF(ISNUMBER(SEARCH('Référentiel entourage'!$B$23,O25)),'Référentiel entourage'!$A$23,""),IF(ISNUMBER(SEARCH('Référentiel entourage'!$B$24,O25)),'Référentiel entourage'!$A$24,"")))</f>
        <v>pers-karlheinz-bohm; pers-margit-carstensen; pers-ingrid-caven; pers-peter-chatel; pers-lilo-pempeit; pers-gottfried-john; pers-irm-hermann; pers-armin-meier; pers-brigitte-mira; pers-kurt-raab; pers-volker-spengler</v>
      </c>
      <c r="AD25" s="7" t="str">
        <f>_xlfn.LET(_xlpm.texte,_xlfn.TEXTJOIN(" | ",TRUE,H25:N25,P25),IF(_xlpm.texte="","",_xlfn.TEXTJOIN(";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pers-kurt-raab; pers-peer-raben</v>
      </c>
    </row>
    <row r="26" spans="1:30" ht="30">
      <c r="A26" s="9" t="s">
        <v>184</v>
      </c>
      <c r="B26" s="9" t="s">
        <v>185</v>
      </c>
      <c r="C26" s="9"/>
      <c r="D26" s="10">
        <v>1975</v>
      </c>
      <c r="E26" s="9" t="s">
        <v>59</v>
      </c>
      <c r="F26" s="10"/>
      <c r="G26" s="9" t="s">
        <v>34</v>
      </c>
      <c r="H26" s="9" t="s">
        <v>35</v>
      </c>
      <c r="I26" s="9"/>
      <c r="J26" s="9"/>
      <c r="K26" s="9"/>
      <c r="L26" s="9"/>
      <c r="M26" s="9"/>
      <c r="N26" s="9"/>
      <c r="O26" s="9"/>
      <c r="P26" s="9"/>
      <c r="Q26" s="9"/>
      <c r="R26" s="9"/>
      <c r="S26" s="9"/>
      <c r="T26" s="9"/>
      <c r="U26" s="9"/>
      <c r="V26" s="9"/>
      <c r="W26" s="9"/>
      <c r="X26" s="9" t="s">
        <v>168</v>
      </c>
      <c r="Y26" s="9"/>
      <c r="Z26" s="9"/>
      <c r="AA26" s="9" t="s">
        <v>38</v>
      </c>
      <c r="AB26" s="1" t="s">
        <v>186</v>
      </c>
      <c r="AC26" s="7" t="str">
        <f>IF(O26="","",_xlfn.TEXTJOIN("; ",TRUE,IF(ISNUMBER(SEARCH('Référentiel entourage'!$B$2,O26)),'Référentiel entourage'!$A$2,""),IF(ISNUMBER(SEARCH('Référentiel entourage'!$B$3,O26)),'Référentiel entourage'!$A$3,""),IF(ISNUMBER(SEARCH('Référentiel entourage'!$B$4,O26)),'Référentiel entourage'!$A$4,""),IF(ISNUMBER(SEARCH('Référentiel entourage'!$B$5,O26)),'Référentiel entourage'!$A$5,""),IF(ISNUMBER(SEARCH('Référentiel entourage'!$B$6,O26)),'Référentiel entourage'!$A$6,""),IF(ISNUMBER(SEARCH('Référentiel entourage'!$B$7,O26)),'Référentiel entourage'!$A$7,""),IF(ISNUMBER(SEARCH('Référentiel entourage'!$B$8,O26)),'Référentiel entourage'!$A$8,""),IF(ISNUMBER(SEARCH('Référentiel entourage'!$B$9,O26)),'Référentiel entourage'!$A$9,""),IF(ISNUMBER(SEARCH('Référentiel entourage'!$B$10,O26)),'Référentiel entourage'!$A$10,""),IF(ISNUMBER(SEARCH('Référentiel entourage'!$B$11,O26)),'Référentiel entourage'!$A$11,""),IF(ISNUMBER(SEARCH('Référentiel entourage'!$B$12,O26)),'Référentiel entourage'!$A$12,""),IF(ISNUMBER(SEARCH('Référentiel entourage'!$B$13,O26)),'Référentiel entourage'!$A$13,""),IF(ISNUMBER(SEARCH('Référentiel entourage'!$B$14,O26)),'Référentiel entourage'!$A$14,""),IF(ISNUMBER(SEARCH('Référentiel entourage'!$B$15,O26)),'Référentiel entourage'!$A$15,""),IF(ISNUMBER(SEARCH('Référentiel entourage'!$B$16,O26)),'Référentiel entourage'!$A$16,""),IF(ISNUMBER(SEARCH('Référentiel entourage'!$B$17,O26)),'Référentiel entourage'!$A$17,""),IF(ISNUMBER(SEARCH('Référentiel entourage'!$B$18,O26)),'Référentiel entourage'!$A$18,""),IF(ISNUMBER(SEARCH('Référentiel entourage'!$B$19,O26)),'Référentiel entourage'!$A$19,""),IF(ISNUMBER(SEARCH('Référentiel entourage'!$B$20,O26)),'Référentiel entourage'!$A$20,""),IF(ISNUMBER(SEARCH('Référentiel entourage'!$B$21,O26)),'Référentiel entourage'!$A$21,""),IF(ISNUMBER(SEARCH('Référentiel entourage'!$B$22,O26)),'Référentiel entourage'!$A$22,""),IF(ISNUMBER(SEARCH('Référentiel entourage'!$B$23,O26)),'Référentiel entourage'!$A$23,""),IF(ISNUMBER(SEARCH('Référentiel entourage'!$B$24,O26)),'Référentiel entourage'!$A$24,"")))</f>
        <v/>
      </c>
      <c r="AD26" s="7" t="str">
        <f>_xlfn.LET(_xlpm.texte,_xlfn.TEXTJOIN(" | ",TRUE,H26:N26,P26),IF(_xlpm.texte="","",_xlfn.TEXTJOIN(";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27" spans="1:30" ht="30">
      <c r="A27" s="9" t="s">
        <v>187</v>
      </c>
      <c r="B27" s="9" t="s">
        <v>188</v>
      </c>
      <c r="C27" s="9"/>
      <c r="D27" s="10">
        <v>1975</v>
      </c>
      <c r="E27" s="9" t="s">
        <v>59</v>
      </c>
      <c r="F27" s="10"/>
      <c r="G27" s="9" t="s">
        <v>34</v>
      </c>
      <c r="H27" s="9" t="s">
        <v>35</v>
      </c>
      <c r="I27" s="9"/>
      <c r="J27" s="9"/>
      <c r="K27" s="9"/>
      <c r="L27" s="9"/>
      <c r="M27" s="9"/>
      <c r="N27" s="9"/>
      <c r="O27" s="9"/>
      <c r="P27" s="9"/>
      <c r="Q27" s="9"/>
      <c r="R27" s="9"/>
      <c r="S27" s="9"/>
      <c r="T27" s="9"/>
      <c r="U27" s="9"/>
      <c r="V27" s="9"/>
      <c r="W27" s="9"/>
      <c r="X27" s="9" t="s">
        <v>168</v>
      </c>
      <c r="Y27" s="9"/>
      <c r="Z27" s="9"/>
      <c r="AA27" s="9" t="s">
        <v>38</v>
      </c>
      <c r="AB27" s="1" t="s">
        <v>189</v>
      </c>
      <c r="AC27" s="7" t="str">
        <f>IF(O27="","",_xlfn.TEXTJOIN("; ",TRUE,IF(ISNUMBER(SEARCH('Référentiel entourage'!$B$2,O27)),'Référentiel entourage'!$A$2,""),IF(ISNUMBER(SEARCH('Référentiel entourage'!$B$3,O27)),'Référentiel entourage'!$A$3,""),IF(ISNUMBER(SEARCH('Référentiel entourage'!$B$4,O27)),'Référentiel entourage'!$A$4,""),IF(ISNUMBER(SEARCH('Référentiel entourage'!$B$5,O27)),'Référentiel entourage'!$A$5,""),IF(ISNUMBER(SEARCH('Référentiel entourage'!$B$6,O27)),'Référentiel entourage'!$A$6,""),IF(ISNUMBER(SEARCH('Référentiel entourage'!$B$7,O27)),'Référentiel entourage'!$A$7,""),IF(ISNUMBER(SEARCH('Référentiel entourage'!$B$8,O27)),'Référentiel entourage'!$A$8,""),IF(ISNUMBER(SEARCH('Référentiel entourage'!$B$9,O27)),'Référentiel entourage'!$A$9,""),IF(ISNUMBER(SEARCH('Référentiel entourage'!$B$10,O27)),'Référentiel entourage'!$A$10,""),IF(ISNUMBER(SEARCH('Référentiel entourage'!$B$11,O27)),'Référentiel entourage'!$A$11,""),IF(ISNUMBER(SEARCH('Référentiel entourage'!$B$12,O27)),'Référentiel entourage'!$A$12,""),IF(ISNUMBER(SEARCH('Référentiel entourage'!$B$13,O27)),'Référentiel entourage'!$A$13,""),IF(ISNUMBER(SEARCH('Référentiel entourage'!$B$14,O27)),'Référentiel entourage'!$A$14,""),IF(ISNUMBER(SEARCH('Référentiel entourage'!$B$15,O27)),'Référentiel entourage'!$A$15,""),IF(ISNUMBER(SEARCH('Référentiel entourage'!$B$16,O27)),'Référentiel entourage'!$A$16,""),IF(ISNUMBER(SEARCH('Référentiel entourage'!$B$17,O27)),'Référentiel entourage'!$A$17,""),IF(ISNUMBER(SEARCH('Référentiel entourage'!$B$18,O27)),'Référentiel entourage'!$A$18,""),IF(ISNUMBER(SEARCH('Référentiel entourage'!$B$19,O27)),'Référentiel entourage'!$A$19,""),IF(ISNUMBER(SEARCH('Référentiel entourage'!$B$20,O27)),'Référentiel entourage'!$A$20,""),IF(ISNUMBER(SEARCH('Référentiel entourage'!$B$21,O27)),'Référentiel entourage'!$A$21,""),IF(ISNUMBER(SEARCH('Référentiel entourage'!$B$22,O27)),'Référentiel entourage'!$A$22,""),IF(ISNUMBER(SEARCH('Référentiel entourage'!$B$23,O27)),'Référentiel entourage'!$A$23,""),IF(ISNUMBER(SEARCH('Référentiel entourage'!$B$24,O27)),'Référentiel entourage'!$A$24,"")))</f>
        <v/>
      </c>
      <c r="AD27" s="7" t="str">
        <f>_xlfn.LET(_xlpm.texte,_xlfn.TEXTJOIN(" | ",TRUE,H27:N27,P27),IF(_xlpm.texte="","",_xlfn.TEXTJOIN(";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28" spans="1:30" ht="30">
      <c r="A28" s="9" t="s">
        <v>190</v>
      </c>
      <c r="B28" s="9" t="s">
        <v>191</v>
      </c>
      <c r="C28" s="9"/>
      <c r="D28" s="10">
        <v>1976</v>
      </c>
      <c r="E28" s="9" t="s">
        <v>33</v>
      </c>
      <c r="F28" s="10"/>
      <c r="G28" s="9" t="s">
        <v>34</v>
      </c>
      <c r="H28" s="9" t="s">
        <v>35</v>
      </c>
      <c r="I28" s="9"/>
      <c r="J28" s="9"/>
      <c r="K28" s="9"/>
      <c r="L28" s="9"/>
      <c r="M28" s="9"/>
      <c r="N28" s="9"/>
      <c r="O28" s="9"/>
      <c r="P28" s="9"/>
      <c r="Q28" s="9"/>
      <c r="R28" s="9"/>
      <c r="S28" s="9"/>
      <c r="T28" s="9"/>
      <c r="U28" s="9" t="s">
        <v>192</v>
      </c>
      <c r="V28" s="9"/>
      <c r="W28" s="9"/>
      <c r="X28" s="9" t="s">
        <v>193</v>
      </c>
      <c r="Y28" s="9"/>
      <c r="Z28" s="9"/>
      <c r="AA28" s="9" t="s">
        <v>38</v>
      </c>
      <c r="AB28" s="1" t="s">
        <v>194</v>
      </c>
      <c r="AC28" s="7" t="str">
        <f>IF(O28="","",_xlfn.TEXTJOIN("; ",TRUE,IF(ISNUMBER(SEARCH('Référentiel entourage'!$B$2,O28)),'Référentiel entourage'!$A$2,""),IF(ISNUMBER(SEARCH('Référentiel entourage'!$B$3,O28)),'Référentiel entourage'!$A$3,""),IF(ISNUMBER(SEARCH('Référentiel entourage'!$B$4,O28)),'Référentiel entourage'!$A$4,""),IF(ISNUMBER(SEARCH('Référentiel entourage'!$B$5,O28)),'Référentiel entourage'!$A$5,""),IF(ISNUMBER(SEARCH('Référentiel entourage'!$B$6,O28)),'Référentiel entourage'!$A$6,""),IF(ISNUMBER(SEARCH('Référentiel entourage'!$B$7,O28)),'Référentiel entourage'!$A$7,""),IF(ISNUMBER(SEARCH('Référentiel entourage'!$B$8,O28)),'Référentiel entourage'!$A$8,""),IF(ISNUMBER(SEARCH('Référentiel entourage'!$B$9,O28)),'Référentiel entourage'!$A$9,""),IF(ISNUMBER(SEARCH('Référentiel entourage'!$B$10,O28)),'Référentiel entourage'!$A$10,""),IF(ISNUMBER(SEARCH('Référentiel entourage'!$B$11,O28)),'Référentiel entourage'!$A$11,""),IF(ISNUMBER(SEARCH('Référentiel entourage'!$B$12,O28)),'Référentiel entourage'!$A$12,""),IF(ISNUMBER(SEARCH('Référentiel entourage'!$B$13,O28)),'Référentiel entourage'!$A$13,""),IF(ISNUMBER(SEARCH('Référentiel entourage'!$B$14,O28)),'Référentiel entourage'!$A$14,""),IF(ISNUMBER(SEARCH('Référentiel entourage'!$B$15,O28)),'Référentiel entourage'!$A$15,""),IF(ISNUMBER(SEARCH('Référentiel entourage'!$B$16,O28)),'Référentiel entourage'!$A$16,""),IF(ISNUMBER(SEARCH('Référentiel entourage'!$B$17,O28)),'Référentiel entourage'!$A$17,""),IF(ISNUMBER(SEARCH('Référentiel entourage'!$B$18,O28)),'Référentiel entourage'!$A$18,""),IF(ISNUMBER(SEARCH('Référentiel entourage'!$B$19,O28)),'Référentiel entourage'!$A$19,""),IF(ISNUMBER(SEARCH('Référentiel entourage'!$B$20,O28)),'Référentiel entourage'!$A$20,""),IF(ISNUMBER(SEARCH('Référentiel entourage'!$B$21,O28)),'Référentiel entourage'!$A$21,""),IF(ISNUMBER(SEARCH('Référentiel entourage'!$B$22,O28)),'Référentiel entourage'!$A$22,""),IF(ISNUMBER(SEARCH('Référentiel entourage'!$B$23,O28)),'Référentiel entourage'!$A$23,""),IF(ISNUMBER(SEARCH('Référentiel entourage'!$B$24,O28)),'Référentiel entourage'!$A$24,"")))</f>
        <v/>
      </c>
      <c r="AD28" s="7" t="str">
        <f>_xlfn.LET(_xlpm.texte,_xlfn.TEXTJOIN(" | ",TRUE,H28:N28,P28),IF(_xlpm.texte="","",_xlfn.TEXTJOIN(";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29" spans="1:30" ht="210">
      <c r="A29" s="9" t="s">
        <v>195</v>
      </c>
      <c r="B29" s="9" t="s">
        <v>196</v>
      </c>
      <c r="C29" s="9" t="s">
        <v>197</v>
      </c>
      <c r="D29" s="10">
        <v>1976</v>
      </c>
      <c r="E29" s="9" t="s">
        <v>33</v>
      </c>
      <c r="F29" s="10">
        <v>112</v>
      </c>
      <c r="G29" s="9" t="s">
        <v>34</v>
      </c>
      <c r="H29" s="9" t="s">
        <v>35</v>
      </c>
      <c r="I29" s="9" t="s">
        <v>35</v>
      </c>
      <c r="J29" s="9" t="s">
        <v>198</v>
      </c>
      <c r="K29" s="9" t="s">
        <v>133</v>
      </c>
      <c r="L29" s="9"/>
      <c r="M29" s="9" t="s">
        <v>161</v>
      </c>
      <c r="N29" s="9" t="s">
        <v>199</v>
      </c>
      <c r="O29" s="9" t="s">
        <v>200</v>
      </c>
      <c r="P29" s="9" t="s">
        <v>201</v>
      </c>
      <c r="Q29" s="9" t="s">
        <v>202</v>
      </c>
      <c r="R29" s="9"/>
      <c r="S29" s="9" t="s">
        <v>203</v>
      </c>
      <c r="T29" s="9" t="s">
        <v>204</v>
      </c>
      <c r="U29" s="9" t="s">
        <v>205</v>
      </c>
      <c r="V29" s="9"/>
      <c r="W29" s="9"/>
      <c r="X29" s="9" t="s">
        <v>193</v>
      </c>
      <c r="Y29" s="9" t="s">
        <v>206</v>
      </c>
      <c r="Z29" s="9" t="s">
        <v>99</v>
      </c>
      <c r="AA29" s="9" t="s">
        <v>100</v>
      </c>
      <c r="AB29" s="1" t="s">
        <v>207</v>
      </c>
      <c r="AC29" s="7" t="str">
        <f>IF(O29="","",_xlfn.TEXTJOIN("; ",TRUE,IF(ISNUMBER(SEARCH('Référentiel entourage'!$B$2,O29)),'Référentiel entourage'!$A$2,""),IF(ISNUMBER(SEARCH('Référentiel entourage'!$B$3,O29)),'Référentiel entourage'!$A$3,""),IF(ISNUMBER(SEARCH('Référentiel entourage'!$B$4,O29)),'Référentiel entourage'!$A$4,""),IF(ISNUMBER(SEARCH('Référentiel entourage'!$B$5,O29)),'Référentiel entourage'!$A$5,""),IF(ISNUMBER(SEARCH('Référentiel entourage'!$B$6,O29)),'Référentiel entourage'!$A$6,""),IF(ISNUMBER(SEARCH('Référentiel entourage'!$B$7,O29)),'Référentiel entourage'!$A$7,""),IF(ISNUMBER(SEARCH('Référentiel entourage'!$B$8,O29)),'Référentiel entourage'!$A$8,""),IF(ISNUMBER(SEARCH('Référentiel entourage'!$B$9,O29)),'Référentiel entourage'!$A$9,""),IF(ISNUMBER(SEARCH('Référentiel entourage'!$B$10,O29)),'Référentiel entourage'!$A$10,""),IF(ISNUMBER(SEARCH('Référentiel entourage'!$B$11,O29)),'Référentiel entourage'!$A$11,""),IF(ISNUMBER(SEARCH('Référentiel entourage'!$B$12,O29)),'Référentiel entourage'!$A$12,""),IF(ISNUMBER(SEARCH('Référentiel entourage'!$B$13,O29)),'Référentiel entourage'!$A$13,""),IF(ISNUMBER(SEARCH('Référentiel entourage'!$B$14,O29)),'Référentiel entourage'!$A$14,""),IF(ISNUMBER(SEARCH('Référentiel entourage'!$B$15,O29)),'Référentiel entourage'!$A$15,""),IF(ISNUMBER(SEARCH('Référentiel entourage'!$B$16,O29)),'Référentiel entourage'!$A$16,""),IF(ISNUMBER(SEARCH('Référentiel entourage'!$B$17,O29)),'Référentiel entourage'!$A$17,""),IF(ISNUMBER(SEARCH('Référentiel entourage'!$B$18,O29)),'Référentiel entourage'!$A$18,""),IF(ISNUMBER(SEARCH('Référentiel entourage'!$B$19,O29)),'Référentiel entourage'!$A$19,""),IF(ISNUMBER(SEARCH('Référentiel entourage'!$B$20,O29)),'Référentiel entourage'!$A$20,""),IF(ISNUMBER(SEARCH('Référentiel entourage'!$B$21,O29)),'Référentiel entourage'!$A$21,""),IF(ISNUMBER(SEARCH('Référentiel entourage'!$B$22,O29)),'Référentiel entourage'!$A$22,""),IF(ISNUMBER(SEARCH('Référentiel entourage'!$B$23,O29)),'Référentiel entourage'!$A$23,""),IF(ISNUMBER(SEARCH('Référentiel entourage'!$B$24,O29)),'Référentiel entourage'!$A$24,"")))</f>
        <v>pers-margit-carstensen; pers-ingrid-caven; pers-peter-chatel; pers-ulli-lommel; pers-armin-meier; pers-brigitte-mira; pers-kurt-raab; pers-volker-spengler</v>
      </c>
      <c r="AD29" s="7" t="str">
        <f>_xlfn.LET(_xlpm.texte,_xlfn.TEXTJOIN(" | ",TRUE,H29:N29,P29),IF(_xlpm.texte="","",_xlfn.TEXTJOIN(";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pers-peer-raben</v>
      </c>
    </row>
    <row r="30" spans="1:30" ht="150">
      <c r="A30" s="9" t="s">
        <v>208</v>
      </c>
      <c r="B30" s="9" t="s">
        <v>209</v>
      </c>
      <c r="C30" s="9" t="s">
        <v>210</v>
      </c>
      <c r="D30" s="10">
        <v>1976</v>
      </c>
      <c r="E30" s="9" t="s">
        <v>33</v>
      </c>
      <c r="F30" s="10">
        <v>96</v>
      </c>
      <c r="G30" s="9" t="s">
        <v>211</v>
      </c>
      <c r="H30" s="9" t="s">
        <v>35</v>
      </c>
      <c r="I30" s="9" t="s">
        <v>35</v>
      </c>
      <c r="J30" s="9" t="s">
        <v>147</v>
      </c>
      <c r="K30" s="9" t="s">
        <v>212</v>
      </c>
      <c r="L30" s="9"/>
      <c r="M30" s="9" t="s">
        <v>161</v>
      </c>
      <c r="N30" s="9" t="s">
        <v>213</v>
      </c>
      <c r="O30" s="9" t="s">
        <v>214</v>
      </c>
      <c r="P30" s="9" t="s">
        <v>215</v>
      </c>
      <c r="Q30" s="9" t="s">
        <v>216</v>
      </c>
      <c r="R30" s="9"/>
      <c r="S30" s="9" t="s">
        <v>217</v>
      </c>
      <c r="T30" s="9"/>
      <c r="U30" s="9" t="s">
        <v>218</v>
      </c>
      <c r="V30" s="9"/>
      <c r="W30" s="9"/>
      <c r="X30" s="9" t="s">
        <v>193</v>
      </c>
      <c r="Y30" s="9" t="s">
        <v>219</v>
      </c>
      <c r="Z30" s="9" t="s">
        <v>99</v>
      </c>
      <c r="AA30" s="9" t="s">
        <v>100</v>
      </c>
      <c r="AB30" s="1" t="s">
        <v>220</v>
      </c>
      <c r="AC30" s="7" t="str">
        <f>IF(O30="","",_xlfn.TEXTJOIN("; ",TRUE,IF(ISNUMBER(SEARCH('Référentiel entourage'!$B$2,O30)),'Référentiel entourage'!$A$2,""),IF(ISNUMBER(SEARCH('Référentiel entourage'!$B$3,O30)),'Référentiel entourage'!$A$3,""),IF(ISNUMBER(SEARCH('Référentiel entourage'!$B$4,O30)),'Référentiel entourage'!$A$4,""),IF(ISNUMBER(SEARCH('Référentiel entourage'!$B$5,O30)),'Référentiel entourage'!$A$5,""),IF(ISNUMBER(SEARCH('Référentiel entourage'!$B$6,O30)),'Référentiel entourage'!$A$6,""),IF(ISNUMBER(SEARCH('Référentiel entourage'!$B$7,O30)),'Référentiel entourage'!$A$7,""),IF(ISNUMBER(SEARCH('Référentiel entourage'!$B$8,O30)),'Référentiel entourage'!$A$8,""),IF(ISNUMBER(SEARCH('Référentiel entourage'!$B$9,O30)),'Référentiel entourage'!$A$9,""),IF(ISNUMBER(SEARCH('Référentiel entourage'!$B$10,O30)),'Référentiel entourage'!$A$10,""),IF(ISNUMBER(SEARCH('Référentiel entourage'!$B$11,O30)),'Référentiel entourage'!$A$11,""),IF(ISNUMBER(SEARCH('Référentiel entourage'!$B$12,O30)),'Référentiel entourage'!$A$12,""),IF(ISNUMBER(SEARCH('Référentiel entourage'!$B$13,O30)),'Référentiel entourage'!$A$13,""),IF(ISNUMBER(SEARCH('Référentiel entourage'!$B$14,O30)),'Référentiel entourage'!$A$14,""),IF(ISNUMBER(SEARCH('Référentiel entourage'!$B$15,O30)),'Référentiel entourage'!$A$15,""),IF(ISNUMBER(SEARCH('Référentiel entourage'!$B$16,O30)),'Référentiel entourage'!$A$16,""),IF(ISNUMBER(SEARCH('Référentiel entourage'!$B$17,O30)),'Référentiel entourage'!$A$17,""),IF(ISNUMBER(SEARCH('Référentiel entourage'!$B$18,O30)),'Référentiel entourage'!$A$18,""),IF(ISNUMBER(SEARCH('Référentiel entourage'!$B$19,O30)),'Référentiel entourage'!$A$19,""),IF(ISNUMBER(SEARCH('Référentiel entourage'!$B$20,O30)),'Référentiel entourage'!$A$20,""),IF(ISNUMBER(SEARCH('Référentiel entourage'!$B$21,O30)),'Référentiel entourage'!$A$21,""),IF(ISNUMBER(SEARCH('Référentiel entourage'!$B$22,O30)),'Référentiel entourage'!$A$22,""),IF(ISNUMBER(SEARCH('Référentiel entourage'!$B$23,O30)),'Référentiel entourage'!$A$23,""),IF(ISNUMBER(SEARCH('Référentiel entourage'!$B$24,O30)),'Référentiel entourage'!$A$24,"")))</f>
        <v>pers-margit-carstensen; pers-ulli-lommel; pers-armin-meier; pers-brigitte-mira; pers-volker-spengler</v>
      </c>
      <c r="AD30" s="7" t="str">
        <f>_xlfn.LET(_xlpm.texte,_xlfn.TEXTJOIN(" | ",TRUE,H30:N30,P30),IF(_xlpm.texte="","",_xlfn.TEXTJOIN(";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pers-peer-raben</v>
      </c>
    </row>
    <row r="31" spans="1:30" ht="342">
      <c r="A31" s="9" t="s">
        <v>221</v>
      </c>
      <c r="B31" s="9" t="s">
        <v>222</v>
      </c>
      <c r="C31" s="9" t="s">
        <v>570</v>
      </c>
      <c r="D31" s="10">
        <v>1976</v>
      </c>
      <c r="E31" s="9" t="s">
        <v>59</v>
      </c>
      <c r="F31" s="10">
        <v>104</v>
      </c>
      <c r="G31" s="9" t="s">
        <v>34</v>
      </c>
      <c r="H31" s="9" t="s">
        <v>35</v>
      </c>
      <c r="I31" s="9"/>
      <c r="J31" s="9" t="s">
        <v>147</v>
      </c>
      <c r="K31" s="9" t="s">
        <v>148</v>
      </c>
      <c r="L31" s="9" t="s">
        <v>92</v>
      </c>
      <c r="M31" s="9" t="s">
        <v>161</v>
      </c>
      <c r="N31" s="9" t="s">
        <v>571</v>
      </c>
      <c r="O31" s="9" t="s">
        <v>572</v>
      </c>
      <c r="P31" s="9" t="s">
        <v>573</v>
      </c>
      <c r="Q31" s="9" t="s">
        <v>574</v>
      </c>
      <c r="R31" s="9"/>
      <c r="S31" s="9" t="s">
        <v>575</v>
      </c>
      <c r="T31" s="9"/>
      <c r="U31" s="9" t="s">
        <v>223</v>
      </c>
      <c r="V31" s="9"/>
      <c r="W31" s="9"/>
      <c r="X31" s="9" t="s">
        <v>193</v>
      </c>
      <c r="Y31" s="9" t="s">
        <v>576</v>
      </c>
      <c r="Z31" s="9" t="s">
        <v>99</v>
      </c>
      <c r="AA31" s="9" t="s">
        <v>100</v>
      </c>
      <c r="AB31" s="1" t="s">
        <v>224</v>
      </c>
      <c r="AC31" s="7" t="str">
        <f>IF(O31="","",_xlfn.TEXTJOIN("; ",TRUE,IF(ISNUMBER(SEARCH('Référentiel entourage'!$B$2,O31)),'Référentiel entourage'!$A$2,""),IF(ISNUMBER(SEARCH('Référentiel entourage'!$B$3,O31)),'Référentiel entourage'!$A$3,""),IF(ISNUMBER(SEARCH('Référentiel entourage'!$B$4,O31)),'Référentiel entourage'!$A$4,""),IF(ISNUMBER(SEARCH('Référentiel entourage'!$B$5,O31)),'Référentiel entourage'!$A$5,""),IF(ISNUMBER(SEARCH('Référentiel entourage'!$B$6,O31)),'Référentiel entourage'!$A$6,""),IF(ISNUMBER(SEARCH('Référentiel entourage'!$B$7,O31)),'Référentiel entourage'!$A$7,""),IF(ISNUMBER(SEARCH('Référentiel entourage'!$B$8,O31)),'Référentiel entourage'!$A$8,""),IF(ISNUMBER(SEARCH('Référentiel entourage'!$B$9,O31)),'Référentiel entourage'!$A$9,""),IF(ISNUMBER(SEARCH('Référentiel entourage'!$B$10,O31)),'Référentiel entourage'!$A$10,""),IF(ISNUMBER(SEARCH('Référentiel entourage'!$B$11,O31)),'Référentiel entourage'!$A$11,""),IF(ISNUMBER(SEARCH('Référentiel entourage'!$B$12,O31)),'Référentiel entourage'!$A$12,""),IF(ISNUMBER(SEARCH('Référentiel entourage'!$B$13,O31)),'Référentiel entourage'!$A$13,""),IF(ISNUMBER(SEARCH('Référentiel entourage'!$B$14,O31)),'Référentiel entourage'!$A$14,""),IF(ISNUMBER(SEARCH('Référentiel entourage'!$B$15,O31)),'Référentiel entourage'!$A$15,""),IF(ISNUMBER(SEARCH('Référentiel entourage'!$B$16,O31)),'Référentiel entourage'!$A$16,""),IF(ISNUMBER(SEARCH('Référentiel entourage'!$B$17,O31)),'Référentiel entourage'!$A$17,""),IF(ISNUMBER(SEARCH('Référentiel entourage'!$B$18,O31)),'Référentiel entourage'!$A$18,""),IF(ISNUMBER(SEARCH('Référentiel entourage'!$B$19,O31)),'Référentiel entourage'!$A$19,""),IF(ISNUMBER(SEARCH('Référentiel entourage'!$B$20,O31)),'Référentiel entourage'!$A$20,""),IF(ISNUMBER(SEARCH('Référentiel entourage'!$B$21,O31)),'Référentiel entourage'!$A$21,""),IF(ISNUMBER(SEARCH('Référentiel entourage'!$B$22,O31)),'Référentiel entourage'!$A$22,""),IF(ISNUMBER(SEARCH('Référentiel entourage'!$B$23,O31)),'Référentiel entourage'!$A$23,""),IF(ISNUMBER(SEARCH('Référentiel entourage'!$B$24,O31)),'Référentiel entourage'!$A$24,"")))</f>
        <v>pers-ingrid-caven; pers-lilo-pempeit; pers-armin-meier</v>
      </c>
      <c r="AD31" s="7" t="str">
        <f>_xlfn.LET(_xlpm.texte,_xlfn.TEXTJOIN(" | ",TRUE,H31:N31,P31),IF(_xlpm.texte="","",_xlfn.TEXTJOIN(";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pers-kurt-raab; pers-peer-raben</v>
      </c>
    </row>
    <row r="32" spans="1:30" ht="30">
      <c r="A32" s="9" t="s">
        <v>225</v>
      </c>
      <c r="B32" s="9" t="s">
        <v>226</v>
      </c>
      <c r="C32" s="9"/>
      <c r="D32" s="10">
        <v>1977</v>
      </c>
      <c r="E32" s="9" t="s">
        <v>59</v>
      </c>
      <c r="F32" s="10"/>
      <c r="G32" s="9" t="s">
        <v>34</v>
      </c>
      <c r="H32" s="9" t="s">
        <v>35</v>
      </c>
      <c r="I32" s="9"/>
      <c r="J32" s="9"/>
      <c r="K32" s="9"/>
      <c r="L32" s="9"/>
      <c r="M32" s="9"/>
      <c r="N32" s="9"/>
      <c r="O32" s="9"/>
      <c r="P32" s="9"/>
      <c r="Q32" s="9"/>
      <c r="R32" s="9"/>
      <c r="S32" s="9"/>
      <c r="T32" s="9"/>
      <c r="U32" s="9"/>
      <c r="V32" s="9"/>
      <c r="W32" s="9"/>
      <c r="X32" s="9" t="s">
        <v>227</v>
      </c>
      <c r="Y32" s="9"/>
      <c r="Z32" s="9"/>
      <c r="AA32" s="9" t="s">
        <v>38</v>
      </c>
      <c r="AB32" s="1" t="s">
        <v>228</v>
      </c>
      <c r="AC32" s="7" t="str">
        <f>IF(O32="","",_xlfn.TEXTJOIN("; ",TRUE,IF(ISNUMBER(SEARCH('Référentiel entourage'!$B$2,O32)),'Référentiel entourage'!$A$2,""),IF(ISNUMBER(SEARCH('Référentiel entourage'!$B$3,O32)),'Référentiel entourage'!$A$3,""),IF(ISNUMBER(SEARCH('Référentiel entourage'!$B$4,O32)),'Référentiel entourage'!$A$4,""),IF(ISNUMBER(SEARCH('Référentiel entourage'!$B$5,O32)),'Référentiel entourage'!$A$5,""),IF(ISNUMBER(SEARCH('Référentiel entourage'!$B$6,O32)),'Référentiel entourage'!$A$6,""),IF(ISNUMBER(SEARCH('Référentiel entourage'!$B$7,O32)),'Référentiel entourage'!$A$7,""),IF(ISNUMBER(SEARCH('Référentiel entourage'!$B$8,O32)),'Référentiel entourage'!$A$8,""),IF(ISNUMBER(SEARCH('Référentiel entourage'!$B$9,O32)),'Référentiel entourage'!$A$9,""),IF(ISNUMBER(SEARCH('Référentiel entourage'!$B$10,O32)),'Référentiel entourage'!$A$10,""),IF(ISNUMBER(SEARCH('Référentiel entourage'!$B$11,O32)),'Référentiel entourage'!$A$11,""),IF(ISNUMBER(SEARCH('Référentiel entourage'!$B$12,O32)),'Référentiel entourage'!$A$12,""),IF(ISNUMBER(SEARCH('Référentiel entourage'!$B$13,O32)),'Référentiel entourage'!$A$13,""),IF(ISNUMBER(SEARCH('Référentiel entourage'!$B$14,O32)),'Référentiel entourage'!$A$14,""),IF(ISNUMBER(SEARCH('Référentiel entourage'!$B$15,O32)),'Référentiel entourage'!$A$15,""),IF(ISNUMBER(SEARCH('Référentiel entourage'!$B$16,O32)),'Référentiel entourage'!$A$16,""),IF(ISNUMBER(SEARCH('Référentiel entourage'!$B$17,O32)),'Référentiel entourage'!$A$17,""),IF(ISNUMBER(SEARCH('Référentiel entourage'!$B$18,O32)),'Référentiel entourage'!$A$18,""),IF(ISNUMBER(SEARCH('Référentiel entourage'!$B$19,O32)),'Référentiel entourage'!$A$19,""),IF(ISNUMBER(SEARCH('Référentiel entourage'!$B$20,O32)),'Référentiel entourage'!$A$20,""),IF(ISNUMBER(SEARCH('Référentiel entourage'!$B$21,O32)),'Référentiel entourage'!$A$21,""),IF(ISNUMBER(SEARCH('Référentiel entourage'!$B$22,O32)),'Référentiel entourage'!$A$22,""),IF(ISNUMBER(SEARCH('Référentiel entourage'!$B$23,O32)),'Référentiel entourage'!$A$23,""),IF(ISNUMBER(SEARCH('Référentiel entourage'!$B$24,O32)),'Référentiel entourage'!$A$24,"")))</f>
        <v/>
      </c>
      <c r="AD32" s="7" t="str">
        <f>_xlfn.LET(_xlpm.texte,_xlfn.TEXTJOIN(" | ",TRUE,H32:N32,P32),IF(_xlpm.texte="","",_xlfn.TEXTJOIN(";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3" spans="1:30" ht="45">
      <c r="A33" s="9" t="s">
        <v>229</v>
      </c>
      <c r="B33" s="9" t="s">
        <v>230</v>
      </c>
      <c r="C33" s="9"/>
      <c r="D33" s="10">
        <v>1977</v>
      </c>
      <c r="E33" s="9" t="s">
        <v>59</v>
      </c>
      <c r="F33" s="10"/>
      <c r="G33" s="9" t="s">
        <v>34</v>
      </c>
      <c r="H33" s="9" t="s">
        <v>35</v>
      </c>
      <c r="I33" s="9"/>
      <c r="J33" s="9"/>
      <c r="K33" s="9"/>
      <c r="L33" s="9"/>
      <c r="M33" s="9"/>
      <c r="N33" s="9"/>
      <c r="O33" s="9"/>
      <c r="P33" s="9"/>
      <c r="Q33" s="9"/>
      <c r="R33" s="9"/>
      <c r="S33" s="9"/>
      <c r="T33" s="9"/>
      <c r="U33" s="9"/>
      <c r="V33" s="9"/>
      <c r="W33" s="9"/>
      <c r="X33" s="9" t="s">
        <v>227</v>
      </c>
      <c r="Y33" s="9"/>
      <c r="Z33" s="9"/>
      <c r="AA33" s="9" t="s">
        <v>38</v>
      </c>
      <c r="AB33" s="1" t="s">
        <v>231</v>
      </c>
      <c r="AC33" s="7" t="str">
        <f>IF(O33="","",_xlfn.TEXTJOIN("; ",TRUE,IF(ISNUMBER(SEARCH('Référentiel entourage'!$B$2,O33)),'Référentiel entourage'!$A$2,""),IF(ISNUMBER(SEARCH('Référentiel entourage'!$B$3,O33)),'Référentiel entourage'!$A$3,""),IF(ISNUMBER(SEARCH('Référentiel entourage'!$B$4,O33)),'Référentiel entourage'!$A$4,""),IF(ISNUMBER(SEARCH('Référentiel entourage'!$B$5,O33)),'Référentiel entourage'!$A$5,""),IF(ISNUMBER(SEARCH('Référentiel entourage'!$B$6,O33)),'Référentiel entourage'!$A$6,""),IF(ISNUMBER(SEARCH('Référentiel entourage'!$B$7,O33)),'Référentiel entourage'!$A$7,""),IF(ISNUMBER(SEARCH('Référentiel entourage'!$B$8,O33)),'Référentiel entourage'!$A$8,""),IF(ISNUMBER(SEARCH('Référentiel entourage'!$B$9,O33)),'Référentiel entourage'!$A$9,""),IF(ISNUMBER(SEARCH('Référentiel entourage'!$B$10,O33)),'Référentiel entourage'!$A$10,""),IF(ISNUMBER(SEARCH('Référentiel entourage'!$B$11,O33)),'Référentiel entourage'!$A$11,""),IF(ISNUMBER(SEARCH('Référentiel entourage'!$B$12,O33)),'Référentiel entourage'!$A$12,""),IF(ISNUMBER(SEARCH('Référentiel entourage'!$B$13,O33)),'Référentiel entourage'!$A$13,""),IF(ISNUMBER(SEARCH('Référentiel entourage'!$B$14,O33)),'Référentiel entourage'!$A$14,""),IF(ISNUMBER(SEARCH('Référentiel entourage'!$B$15,O33)),'Référentiel entourage'!$A$15,""),IF(ISNUMBER(SEARCH('Référentiel entourage'!$B$16,O33)),'Référentiel entourage'!$A$16,""),IF(ISNUMBER(SEARCH('Référentiel entourage'!$B$17,O33)),'Référentiel entourage'!$A$17,""),IF(ISNUMBER(SEARCH('Référentiel entourage'!$B$18,O33)),'Référentiel entourage'!$A$18,""),IF(ISNUMBER(SEARCH('Référentiel entourage'!$B$19,O33)),'Référentiel entourage'!$A$19,""),IF(ISNUMBER(SEARCH('Référentiel entourage'!$B$20,O33)),'Référentiel entourage'!$A$20,""),IF(ISNUMBER(SEARCH('Référentiel entourage'!$B$21,O33)),'Référentiel entourage'!$A$21,""),IF(ISNUMBER(SEARCH('Référentiel entourage'!$B$22,O33)),'Référentiel entourage'!$A$22,""),IF(ISNUMBER(SEARCH('Référentiel entourage'!$B$23,O33)),'Référentiel entourage'!$A$23,""),IF(ISNUMBER(SEARCH('Référentiel entourage'!$B$24,O33)),'Référentiel entourage'!$A$24,"")))</f>
        <v/>
      </c>
      <c r="AD33" s="7" t="str">
        <f>_xlfn.LET(_xlpm.texte,_xlfn.TEXTJOIN(" | ",TRUE,H33:N33,P33),IF(_xlpm.texte="","",_xlfn.TEXTJOIN(";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4" spans="1:30" ht="150">
      <c r="A34" s="9" t="s">
        <v>602</v>
      </c>
      <c r="B34" s="9" t="s">
        <v>232</v>
      </c>
      <c r="C34" s="9"/>
      <c r="D34" s="10">
        <v>1978</v>
      </c>
      <c r="E34" s="9" t="s">
        <v>233</v>
      </c>
      <c r="F34" s="10">
        <v>119</v>
      </c>
      <c r="G34" s="9" t="s">
        <v>34</v>
      </c>
      <c r="H34" s="9" t="s">
        <v>35</v>
      </c>
      <c r="I34" s="9"/>
      <c r="J34" s="9"/>
      <c r="K34" s="9"/>
      <c r="L34" s="9"/>
      <c r="M34" s="9"/>
      <c r="N34" s="9"/>
      <c r="O34" s="9"/>
      <c r="P34" s="9" t="s">
        <v>577</v>
      </c>
      <c r="Q34" s="9" t="s">
        <v>578</v>
      </c>
      <c r="R34" s="9"/>
      <c r="S34" s="9" t="s">
        <v>579</v>
      </c>
      <c r="T34" s="9"/>
      <c r="U34" s="9" t="s">
        <v>234</v>
      </c>
      <c r="V34" s="9"/>
      <c r="W34" s="9"/>
      <c r="X34" s="9" t="s">
        <v>235</v>
      </c>
      <c r="Y34" s="9" t="s">
        <v>580</v>
      </c>
      <c r="Z34" s="9" t="s">
        <v>99</v>
      </c>
      <c r="AA34" s="9" t="s">
        <v>100</v>
      </c>
      <c r="AB34" s="1" t="s">
        <v>236</v>
      </c>
      <c r="AC34" s="7" t="str">
        <f>IF(O34="","",_xlfn.TEXTJOIN("; ",TRUE,IF(ISNUMBER(SEARCH('Référentiel entourage'!$B$2,O34)),'Référentiel entourage'!$A$2,""),IF(ISNUMBER(SEARCH('Référentiel entourage'!$B$3,O34)),'Référentiel entourage'!$A$3,""),IF(ISNUMBER(SEARCH('Référentiel entourage'!$B$4,O34)),'Référentiel entourage'!$A$4,""),IF(ISNUMBER(SEARCH('Référentiel entourage'!$B$5,O34)),'Référentiel entourage'!$A$5,""),IF(ISNUMBER(SEARCH('Référentiel entourage'!$B$6,O34)),'Référentiel entourage'!$A$6,""),IF(ISNUMBER(SEARCH('Référentiel entourage'!$B$7,O34)),'Référentiel entourage'!$A$7,""),IF(ISNUMBER(SEARCH('Référentiel entourage'!$B$8,O34)),'Référentiel entourage'!$A$8,""),IF(ISNUMBER(SEARCH('Référentiel entourage'!$B$9,O34)),'Référentiel entourage'!$A$9,""),IF(ISNUMBER(SEARCH('Référentiel entourage'!$B$10,O34)),'Référentiel entourage'!$A$10,""),IF(ISNUMBER(SEARCH('Référentiel entourage'!$B$11,O34)),'Référentiel entourage'!$A$11,""),IF(ISNUMBER(SEARCH('Référentiel entourage'!$B$12,O34)),'Référentiel entourage'!$A$12,""),IF(ISNUMBER(SEARCH('Référentiel entourage'!$B$13,O34)),'Référentiel entourage'!$A$13,""),IF(ISNUMBER(SEARCH('Référentiel entourage'!$B$14,O34)),'Référentiel entourage'!$A$14,""),IF(ISNUMBER(SEARCH('Référentiel entourage'!$B$15,O34)),'Référentiel entourage'!$A$15,""),IF(ISNUMBER(SEARCH('Référentiel entourage'!$B$16,O34)),'Référentiel entourage'!$A$16,""),IF(ISNUMBER(SEARCH('Référentiel entourage'!$B$17,O34)),'Référentiel entourage'!$A$17,""),IF(ISNUMBER(SEARCH('Référentiel entourage'!$B$18,O34)),'Référentiel entourage'!$A$18,""),IF(ISNUMBER(SEARCH('Référentiel entourage'!$B$19,O34)),'Référentiel entourage'!$A$19,""),IF(ISNUMBER(SEARCH('Référentiel entourage'!$B$20,O34)),'Référentiel entourage'!$A$20,""),IF(ISNUMBER(SEARCH('Référentiel entourage'!$B$21,O34)),'Référentiel entourage'!$A$21,""),IF(ISNUMBER(SEARCH('Référentiel entourage'!$B$22,O34)),'Référentiel entourage'!$A$22,""),IF(ISNUMBER(SEARCH('Référentiel entourage'!$B$23,O34)),'Référentiel entourage'!$A$23,""),IF(ISNUMBER(SEARCH('Référentiel entourage'!$B$24,O34)),'Référentiel entourage'!$A$24,"")))</f>
        <v/>
      </c>
      <c r="AD34" s="7" t="str">
        <f>_xlfn.LET(_xlpm.texte,_xlfn.TEXTJOIN(" | ",TRUE,H34:N34,P34),IF(_xlpm.texte="","",_xlfn.TEXTJOIN(";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5" spans="1:30" ht="225">
      <c r="A35" s="9" t="s">
        <v>237</v>
      </c>
      <c r="B35" s="9" t="s">
        <v>238</v>
      </c>
      <c r="C35" s="9" t="s">
        <v>581</v>
      </c>
      <c r="D35" s="10">
        <v>1978</v>
      </c>
      <c r="E35" s="9" t="s">
        <v>33</v>
      </c>
      <c r="F35" s="10">
        <v>119</v>
      </c>
      <c r="G35" s="9" t="s">
        <v>211</v>
      </c>
      <c r="H35" s="9" t="s">
        <v>35</v>
      </c>
      <c r="I35" s="9" t="s">
        <v>582</v>
      </c>
      <c r="J35" s="9"/>
      <c r="K35" s="9"/>
      <c r="L35" s="9"/>
      <c r="M35" s="9"/>
      <c r="N35" s="9"/>
      <c r="O35" s="9" t="s">
        <v>583</v>
      </c>
      <c r="P35" s="9" t="s">
        <v>584</v>
      </c>
      <c r="Q35" s="9" t="s">
        <v>585</v>
      </c>
      <c r="R35" s="9"/>
      <c r="S35" s="9" t="s">
        <v>586</v>
      </c>
      <c r="T35" s="9"/>
      <c r="U35" s="9" t="s">
        <v>239</v>
      </c>
      <c r="V35" s="9"/>
      <c r="W35" s="9"/>
      <c r="X35" s="9" t="s">
        <v>235</v>
      </c>
      <c r="Y35" s="9" t="s">
        <v>587</v>
      </c>
      <c r="Z35" s="9" t="s">
        <v>99</v>
      </c>
      <c r="AA35" s="9" t="s">
        <v>100</v>
      </c>
      <c r="AB35" s="1" t="s">
        <v>240</v>
      </c>
      <c r="AC35" s="7" t="str">
        <f>IF(O35="","",_xlfn.TEXTJOIN("; ",TRUE,IF(ISNUMBER(SEARCH('Référentiel entourage'!$B$2,O35)),'Référentiel entourage'!$A$2,""),IF(ISNUMBER(SEARCH('Référentiel entourage'!$B$3,O35)),'Référentiel entourage'!$A$3,""),IF(ISNUMBER(SEARCH('Référentiel entourage'!$B$4,O35)),'Référentiel entourage'!$A$4,""),IF(ISNUMBER(SEARCH('Référentiel entourage'!$B$5,O35)),'Référentiel entourage'!$A$5,""),IF(ISNUMBER(SEARCH('Référentiel entourage'!$B$6,O35)),'Référentiel entourage'!$A$6,""),IF(ISNUMBER(SEARCH('Référentiel entourage'!$B$7,O35)),'Référentiel entourage'!$A$7,""),IF(ISNUMBER(SEARCH('Référentiel entourage'!$B$8,O35)),'Référentiel entourage'!$A$8,""),IF(ISNUMBER(SEARCH('Référentiel entourage'!$B$9,O35)),'Référentiel entourage'!$A$9,""),IF(ISNUMBER(SEARCH('Référentiel entourage'!$B$10,O35)),'Référentiel entourage'!$A$10,""),IF(ISNUMBER(SEARCH('Référentiel entourage'!$B$11,O35)),'Référentiel entourage'!$A$11,""),IF(ISNUMBER(SEARCH('Référentiel entourage'!$B$12,O35)),'Référentiel entourage'!$A$12,""),IF(ISNUMBER(SEARCH('Référentiel entourage'!$B$13,O35)),'Référentiel entourage'!$A$13,""),IF(ISNUMBER(SEARCH('Référentiel entourage'!$B$14,O35)),'Référentiel entourage'!$A$14,""),IF(ISNUMBER(SEARCH('Référentiel entourage'!$B$15,O35)),'Référentiel entourage'!$A$15,""),IF(ISNUMBER(SEARCH('Référentiel entourage'!$B$16,O35)),'Référentiel entourage'!$A$16,""),IF(ISNUMBER(SEARCH('Référentiel entourage'!$B$17,O35)),'Référentiel entourage'!$A$17,""),IF(ISNUMBER(SEARCH('Référentiel entourage'!$B$18,O35)),'Référentiel entourage'!$A$18,""),IF(ISNUMBER(SEARCH('Référentiel entourage'!$B$19,O35)),'Référentiel entourage'!$A$19,""),IF(ISNUMBER(SEARCH('Référentiel entourage'!$B$20,O35)),'Référentiel entourage'!$A$20,""),IF(ISNUMBER(SEARCH('Référentiel entourage'!$B$21,O35)),'Référentiel entourage'!$A$21,""),IF(ISNUMBER(SEARCH('Référentiel entourage'!$B$22,O35)),'Référentiel entourage'!$A$22,""),IF(ISNUMBER(SEARCH('Référentiel entourage'!$B$23,O35)),'Référentiel entourage'!$A$23,""),IF(ISNUMBER(SEARCH('Référentiel entourage'!$B$24,O35)),'Référentiel entourage'!$A$24,"")))</f>
        <v>pers-ingrid-caven; pers-gottfried-john; pers-volker-spengler</v>
      </c>
      <c r="AD35" s="7" t="str">
        <f>_xlfn.LET(_xlpm.texte,_xlfn.TEXTJOIN(" | ",TRUE,H35:N35,P35),IF(_xlpm.texte="","",_xlfn.TEXTJOIN(";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6" spans="1:30" ht="30">
      <c r="A36" s="9" t="s">
        <v>603</v>
      </c>
      <c r="B36" s="9" t="s">
        <v>241</v>
      </c>
      <c r="C36" s="9"/>
      <c r="D36" s="10">
        <v>1978</v>
      </c>
      <c r="E36" s="9" t="s">
        <v>33</v>
      </c>
      <c r="F36" s="10"/>
      <c r="G36" s="9" t="s">
        <v>34</v>
      </c>
      <c r="H36" s="9" t="s">
        <v>35</v>
      </c>
      <c r="I36" s="9"/>
      <c r="J36" s="9"/>
      <c r="K36" s="9"/>
      <c r="L36" s="9"/>
      <c r="M36" s="9"/>
      <c r="N36" s="9"/>
      <c r="O36" s="9"/>
      <c r="P36" s="9"/>
      <c r="Q36" s="9"/>
      <c r="R36" s="9"/>
      <c r="S36" s="9"/>
      <c r="T36" s="9"/>
      <c r="U36" s="9" t="s">
        <v>242</v>
      </c>
      <c r="V36" s="9"/>
      <c r="W36" s="9"/>
      <c r="X36" s="9" t="s">
        <v>235</v>
      </c>
      <c r="Y36" s="9"/>
      <c r="Z36" s="9"/>
      <c r="AA36" s="9" t="s">
        <v>38</v>
      </c>
      <c r="AB36" s="1" t="s">
        <v>243</v>
      </c>
      <c r="AC36" s="7" t="str">
        <f>IF(O36="","",_xlfn.TEXTJOIN("; ",TRUE,IF(ISNUMBER(SEARCH('Référentiel entourage'!$B$2,O36)),'Référentiel entourage'!$A$2,""),IF(ISNUMBER(SEARCH('Référentiel entourage'!$B$3,O36)),'Référentiel entourage'!$A$3,""),IF(ISNUMBER(SEARCH('Référentiel entourage'!$B$4,O36)),'Référentiel entourage'!$A$4,""),IF(ISNUMBER(SEARCH('Référentiel entourage'!$B$5,O36)),'Référentiel entourage'!$A$5,""),IF(ISNUMBER(SEARCH('Référentiel entourage'!$B$6,O36)),'Référentiel entourage'!$A$6,""),IF(ISNUMBER(SEARCH('Référentiel entourage'!$B$7,O36)),'Référentiel entourage'!$A$7,""),IF(ISNUMBER(SEARCH('Référentiel entourage'!$B$8,O36)),'Référentiel entourage'!$A$8,""),IF(ISNUMBER(SEARCH('Référentiel entourage'!$B$9,O36)),'Référentiel entourage'!$A$9,""),IF(ISNUMBER(SEARCH('Référentiel entourage'!$B$10,O36)),'Référentiel entourage'!$A$10,""),IF(ISNUMBER(SEARCH('Référentiel entourage'!$B$11,O36)),'Référentiel entourage'!$A$11,""),IF(ISNUMBER(SEARCH('Référentiel entourage'!$B$12,O36)),'Référentiel entourage'!$A$12,""),IF(ISNUMBER(SEARCH('Référentiel entourage'!$B$13,O36)),'Référentiel entourage'!$A$13,""),IF(ISNUMBER(SEARCH('Référentiel entourage'!$B$14,O36)),'Référentiel entourage'!$A$14,""),IF(ISNUMBER(SEARCH('Référentiel entourage'!$B$15,O36)),'Référentiel entourage'!$A$15,""),IF(ISNUMBER(SEARCH('Référentiel entourage'!$B$16,O36)),'Référentiel entourage'!$A$16,""),IF(ISNUMBER(SEARCH('Référentiel entourage'!$B$17,O36)),'Référentiel entourage'!$A$17,""),IF(ISNUMBER(SEARCH('Référentiel entourage'!$B$18,O36)),'Référentiel entourage'!$A$18,""),IF(ISNUMBER(SEARCH('Référentiel entourage'!$B$19,O36)),'Référentiel entourage'!$A$19,""),IF(ISNUMBER(SEARCH('Référentiel entourage'!$B$20,O36)),'Référentiel entourage'!$A$20,""),IF(ISNUMBER(SEARCH('Référentiel entourage'!$B$21,O36)),'Référentiel entourage'!$A$21,""),IF(ISNUMBER(SEARCH('Référentiel entourage'!$B$22,O36)),'Référentiel entourage'!$A$22,""),IF(ISNUMBER(SEARCH('Référentiel entourage'!$B$23,O36)),'Référentiel entourage'!$A$23,""),IF(ISNUMBER(SEARCH('Référentiel entourage'!$B$24,O36)),'Référentiel entourage'!$A$24,"")))</f>
        <v/>
      </c>
      <c r="AD36" s="7" t="str">
        <f>_xlfn.LET(_xlpm.texte,_xlfn.TEXTJOIN(" | ",TRUE,H36:N36,P36),IF(_xlpm.texte="","",_xlfn.TEXTJOIN(";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7" spans="1:30" ht="45">
      <c r="A37" s="9" t="s">
        <v>244</v>
      </c>
      <c r="B37" s="9" t="s">
        <v>245</v>
      </c>
      <c r="C37" s="9" t="s">
        <v>246</v>
      </c>
      <c r="D37" s="10">
        <v>1978</v>
      </c>
      <c r="E37" s="9" t="s">
        <v>33</v>
      </c>
      <c r="F37" s="10"/>
      <c r="G37" s="9" t="s">
        <v>34</v>
      </c>
      <c r="H37" s="9" t="s">
        <v>35</v>
      </c>
      <c r="I37" s="9"/>
      <c r="J37" s="9"/>
      <c r="K37" s="9"/>
      <c r="L37" s="9"/>
      <c r="M37" s="9"/>
      <c r="N37" s="9"/>
      <c r="O37" s="9"/>
      <c r="P37" s="9"/>
      <c r="Q37" s="9"/>
      <c r="R37" s="9"/>
      <c r="S37" s="9"/>
      <c r="T37" s="9"/>
      <c r="U37" s="9" t="s">
        <v>247</v>
      </c>
      <c r="V37" s="9"/>
      <c r="W37" s="9"/>
      <c r="X37" s="9" t="s">
        <v>248</v>
      </c>
      <c r="Y37" s="9"/>
      <c r="Z37" s="9"/>
      <c r="AA37" s="9" t="s">
        <v>38</v>
      </c>
      <c r="AB37" s="1" t="s">
        <v>604</v>
      </c>
      <c r="AC37" s="7" t="str">
        <f>IF(O37="","",_xlfn.TEXTJOIN("; ",TRUE,IF(ISNUMBER(SEARCH('Référentiel entourage'!$B$2,O37)),'Référentiel entourage'!$A$2,""),IF(ISNUMBER(SEARCH('Référentiel entourage'!$B$3,O37)),'Référentiel entourage'!$A$3,""),IF(ISNUMBER(SEARCH('Référentiel entourage'!$B$4,O37)),'Référentiel entourage'!$A$4,""),IF(ISNUMBER(SEARCH('Référentiel entourage'!$B$5,O37)),'Référentiel entourage'!$A$5,""),IF(ISNUMBER(SEARCH('Référentiel entourage'!$B$6,O37)),'Référentiel entourage'!$A$6,""),IF(ISNUMBER(SEARCH('Référentiel entourage'!$B$7,O37)),'Référentiel entourage'!$A$7,""),IF(ISNUMBER(SEARCH('Référentiel entourage'!$B$8,O37)),'Référentiel entourage'!$A$8,""),IF(ISNUMBER(SEARCH('Référentiel entourage'!$B$9,O37)),'Référentiel entourage'!$A$9,""),IF(ISNUMBER(SEARCH('Référentiel entourage'!$B$10,O37)),'Référentiel entourage'!$A$10,""),IF(ISNUMBER(SEARCH('Référentiel entourage'!$B$11,O37)),'Référentiel entourage'!$A$11,""),IF(ISNUMBER(SEARCH('Référentiel entourage'!$B$12,O37)),'Référentiel entourage'!$A$12,""),IF(ISNUMBER(SEARCH('Référentiel entourage'!$B$13,O37)),'Référentiel entourage'!$A$13,""),IF(ISNUMBER(SEARCH('Référentiel entourage'!$B$14,O37)),'Référentiel entourage'!$A$14,""),IF(ISNUMBER(SEARCH('Référentiel entourage'!$B$15,O37)),'Référentiel entourage'!$A$15,""),IF(ISNUMBER(SEARCH('Référentiel entourage'!$B$16,O37)),'Référentiel entourage'!$A$16,""),IF(ISNUMBER(SEARCH('Référentiel entourage'!$B$17,O37)),'Référentiel entourage'!$A$17,""),IF(ISNUMBER(SEARCH('Référentiel entourage'!$B$18,O37)),'Référentiel entourage'!$A$18,""),IF(ISNUMBER(SEARCH('Référentiel entourage'!$B$19,O37)),'Référentiel entourage'!$A$19,""),IF(ISNUMBER(SEARCH('Référentiel entourage'!$B$20,O37)),'Référentiel entourage'!$A$20,""),IF(ISNUMBER(SEARCH('Référentiel entourage'!$B$21,O37)),'Référentiel entourage'!$A$21,""),IF(ISNUMBER(SEARCH('Référentiel entourage'!$B$22,O37)),'Référentiel entourage'!$A$22,""),IF(ISNUMBER(SEARCH('Référentiel entourage'!$B$23,O37)),'Référentiel entourage'!$A$23,""),IF(ISNUMBER(SEARCH('Référentiel entourage'!$B$24,O37)),'Référentiel entourage'!$A$24,"")))</f>
        <v/>
      </c>
      <c r="AD37" s="7" t="str">
        <f>_xlfn.LET(_xlpm.texte,_xlfn.TEXTJOIN(" | ",TRUE,H37:N37,P37),IF(_xlpm.texte="","",_xlfn.TEXTJOIN(";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8" spans="1:30" ht="45">
      <c r="A38" s="9" t="s">
        <v>249</v>
      </c>
      <c r="B38" s="9" t="s">
        <v>250</v>
      </c>
      <c r="C38" s="9"/>
      <c r="D38" s="10">
        <v>1979</v>
      </c>
      <c r="E38" s="9" t="s">
        <v>33</v>
      </c>
      <c r="F38" s="10"/>
      <c r="G38" s="9" t="s">
        <v>34</v>
      </c>
      <c r="H38" s="9" t="s">
        <v>35</v>
      </c>
      <c r="I38" s="9"/>
      <c r="J38" s="9"/>
      <c r="K38" s="9"/>
      <c r="L38" s="9"/>
      <c r="M38" s="9"/>
      <c r="N38" s="9"/>
      <c r="O38" s="9"/>
      <c r="P38" s="9"/>
      <c r="Q38" s="9"/>
      <c r="R38" s="9"/>
      <c r="S38" s="9"/>
      <c r="T38" s="9"/>
      <c r="U38" s="9" t="s">
        <v>251</v>
      </c>
      <c r="V38" s="9"/>
      <c r="W38" s="9"/>
      <c r="X38" s="9" t="s">
        <v>248</v>
      </c>
      <c r="Y38" s="9"/>
      <c r="Z38" s="9"/>
      <c r="AA38" s="9" t="s">
        <v>38</v>
      </c>
      <c r="AB38" s="1" t="s">
        <v>252</v>
      </c>
      <c r="AC38" s="7" t="str">
        <f>IF(O38="","",_xlfn.TEXTJOIN("; ",TRUE,IF(ISNUMBER(SEARCH('Référentiel entourage'!$B$2,O38)),'Référentiel entourage'!$A$2,""),IF(ISNUMBER(SEARCH('Référentiel entourage'!$B$3,O38)),'Référentiel entourage'!$A$3,""),IF(ISNUMBER(SEARCH('Référentiel entourage'!$B$4,O38)),'Référentiel entourage'!$A$4,""),IF(ISNUMBER(SEARCH('Référentiel entourage'!$B$5,O38)),'Référentiel entourage'!$A$5,""),IF(ISNUMBER(SEARCH('Référentiel entourage'!$B$6,O38)),'Référentiel entourage'!$A$6,""),IF(ISNUMBER(SEARCH('Référentiel entourage'!$B$7,O38)),'Référentiel entourage'!$A$7,""),IF(ISNUMBER(SEARCH('Référentiel entourage'!$B$8,O38)),'Référentiel entourage'!$A$8,""),IF(ISNUMBER(SEARCH('Référentiel entourage'!$B$9,O38)),'Référentiel entourage'!$A$9,""),IF(ISNUMBER(SEARCH('Référentiel entourage'!$B$10,O38)),'Référentiel entourage'!$A$10,""),IF(ISNUMBER(SEARCH('Référentiel entourage'!$B$11,O38)),'Référentiel entourage'!$A$11,""),IF(ISNUMBER(SEARCH('Référentiel entourage'!$B$12,O38)),'Référentiel entourage'!$A$12,""),IF(ISNUMBER(SEARCH('Référentiel entourage'!$B$13,O38)),'Référentiel entourage'!$A$13,""),IF(ISNUMBER(SEARCH('Référentiel entourage'!$B$14,O38)),'Référentiel entourage'!$A$14,""),IF(ISNUMBER(SEARCH('Référentiel entourage'!$B$15,O38)),'Référentiel entourage'!$A$15,""),IF(ISNUMBER(SEARCH('Référentiel entourage'!$B$16,O38)),'Référentiel entourage'!$A$16,""),IF(ISNUMBER(SEARCH('Référentiel entourage'!$B$17,O38)),'Référentiel entourage'!$A$17,""),IF(ISNUMBER(SEARCH('Référentiel entourage'!$B$18,O38)),'Référentiel entourage'!$A$18,""),IF(ISNUMBER(SEARCH('Référentiel entourage'!$B$19,O38)),'Référentiel entourage'!$A$19,""),IF(ISNUMBER(SEARCH('Référentiel entourage'!$B$20,O38)),'Référentiel entourage'!$A$20,""),IF(ISNUMBER(SEARCH('Référentiel entourage'!$B$21,O38)),'Référentiel entourage'!$A$21,""),IF(ISNUMBER(SEARCH('Référentiel entourage'!$B$22,O38)),'Référentiel entourage'!$A$22,""),IF(ISNUMBER(SEARCH('Référentiel entourage'!$B$23,O38)),'Référentiel entourage'!$A$23,""),IF(ISNUMBER(SEARCH('Référentiel entourage'!$B$24,O38)),'Référentiel entourage'!$A$24,"")))</f>
        <v/>
      </c>
      <c r="AD38" s="7" t="str">
        <f>_xlfn.LET(_xlpm.texte,_xlfn.TEXTJOIN(" | ",TRUE,H38:N38,P38),IF(_xlpm.texte="","",_xlfn.TEXTJOIN(";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9" spans="1:30" ht="30">
      <c r="A39" s="9" t="s">
        <v>253</v>
      </c>
      <c r="B39" s="9" t="s">
        <v>254</v>
      </c>
      <c r="C39" s="9" t="s">
        <v>254</v>
      </c>
      <c r="D39" s="10">
        <v>1980</v>
      </c>
      <c r="E39" s="9" t="s">
        <v>89</v>
      </c>
      <c r="F39" s="10"/>
      <c r="G39" s="9" t="s">
        <v>34</v>
      </c>
      <c r="H39" s="9" t="s">
        <v>35</v>
      </c>
      <c r="I39" s="9"/>
      <c r="J39" s="9"/>
      <c r="K39" s="9"/>
      <c r="L39" s="9"/>
      <c r="M39" s="9"/>
      <c r="N39" s="9"/>
      <c r="O39" s="9"/>
      <c r="P39" s="9"/>
      <c r="Q39" s="9"/>
      <c r="R39" s="9"/>
      <c r="S39" s="9"/>
      <c r="T39" s="9"/>
      <c r="U39" s="9" t="s">
        <v>255</v>
      </c>
      <c r="V39" s="9"/>
      <c r="W39" s="9"/>
      <c r="X39" s="9" t="s">
        <v>256</v>
      </c>
      <c r="Y39" s="9"/>
      <c r="Z39" s="9"/>
      <c r="AA39" s="9" t="s">
        <v>38</v>
      </c>
      <c r="AB39" s="1" t="s">
        <v>257</v>
      </c>
      <c r="AC39" s="7" t="str">
        <f>IF(O39="","",_xlfn.TEXTJOIN("; ",TRUE,IF(ISNUMBER(SEARCH('Référentiel entourage'!$B$2,O39)),'Référentiel entourage'!$A$2,""),IF(ISNUMBER(SEARCH('Référentiel entourage'!$B$3,O39)),'Référentiel entourage'!$A$3,""),IF(ISNUMBER(SEARCH('Référentiel entourage'!$B$4,O39)),'Référentiel entourage'!$A$4,""),IF(ISNUMBER(SEARCH('Référentiel entourage'!$B$5,O39)),'Référentiel entourage'!$A$5,""),IF(ISNUMBER(SEARCH('Référentiel entourage'!$B$6,O39)),'Référentiel entourage'!$A$6,""),IF(ISNUMBER(SEARCH('Référentiel entourage'!$B$7,O39)),'Référentiel entourage'!$A$7,""),IF(ISNUMBER(SEARCH('Référentiel entourage'!$B$8,O39)),'Référentiel entourage'!$A$8,""),IF(ISNUMBER(SEARCH('Référentiel entourage'!$B$9,O39)),'Référentiel entourage'!$A$9,""),IF(ISNUMBER(SEARCH('Référentiel entourage'!$B$10,O39)),'Référentiel entourage'!$A$10,""),IF(ISNUMBER(SEARCH('Référentiel entourage'!$B$11,O39)),'Référentiel entourage'!$A$11,""),IF(ISNUMBER(SEARCH('Référentiel entourage'!$B$12,O39)),'Référentiel entourage'!$A$12,""),IF(ISNUMBER(SEARCH('Référentiel entourage'!$B$13,O39)),'Référentiel entourage'!$A$13,""),IF(ISNUMBER(SEARCH('Référentiel entourage'!$B$14,O39)),'Référentiel entourage'!$A$14,""),IF(ISNUMBER(SEARCH('Référentiel entourage'!$B$15,O39)),'Référentiel entourage'!$A$15,""),IF(ISNUMBER(SEARCH('Référentiel entourage'!$B$16,O39)),'Référentiel entourage'!$A$16,""),IF(ISNUMBER(SEARCH('Référentiel entourage'!$B$17,O39)),'Référentiel entourage'!$A$17,""),IF(ISNUMBER(SEARCH('Référentiel entourage'!$B$18,O39)),'Référentiel entourage'!$A$18,""),IF(ISNUMBER(SEARCH('Référentiel entourage'!$B$19,O39)),'Référentiel entourage'!$A$19,""),IF(ISNUMBER(SEARCH('Référentiel entourage'!$B$20,O39)),'Référentiel entourage'!$A$20,""),IF(ISNUMBER(SEARCH('Référentiel entourage'!$B$21,O39)),'Référentiel entourage'!$A$21,""),IF(ISNUMBER(SEARCH('Référentiel entourage'!$B$22,O39)),'Référentiel entourage'!$A$22,""),IF(ISNUMBER(SEARCH('Référentiel entourage'!$B$23,O39)),'Référentiel entourage'!$A$23,""),IF(ISNUMBER(SEARCH('Référentiel entourage'!$B$24,O39)),'Référentiel entourage'!$A$24,"")))</f>
        <v/>
      </c>
      <c r="AD39" s="7" t="str">
        <f>_xlfn.LET(_xlpm.texte,_xlfn.TEXTJOIN(" | ",TRUE,H39:N39,P39),IF(_xlpm.texte="","",_xlfn.TEXTJOIN(";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40" spans="1:30" ht="30">
      <c r="A40" s="9" t="s">
        <v>258</v>
      </c>
      <c r="B40" s="9" t="s">
        <v>259</v>
      </c>
      <c r="C40" s="9" t="s">
        <v>259</v>
      </c>
      <c r="D40" s="10">
        <v>1981</v>
      </c>
      <c r="E40" s="9" t="s">
        <v>33</v>
      </c>
      <c r="F40" s="10"/>
      <c r="G40" s="9" t="s">
        <v>34</v>
      </c>
      <c r="H40" s="9" t="s">
        <v>35</v>
      </c>
      <c r="I40" s="9"/>
      <c r="J40" s="9"/>
      <c r="K40" s="9"/>
      <c r="L40" s="9"/>
      <c r="M40" s="9"/>
      <c r="N40" s="9"/>
      <c r="O40" s="9"/>
      <c r="P40" s="9"/>
      <c r="Q40" s="9"/>
      <c r="R40" s="9"/>
      <c r="S40" s="9"/>
      <c r="T40" s="9"/>
      <c r="U40" s="9" t="s">
        <v>260</v>
      </c>
      <c r="V40" s="9"/>
      <c r="W40" s="9"/>
      <c r="X40" s="9" t="s">
        <v>261</v>
      </c>
      <c r="Y40" s="9"/>
      <c r="Z40" s="9"/>
      <c r="AA40" s="9" t="s">
        <v>38</v>
      </c>
      <c r="AB40" s="1" t="s">
        <v>262</v>
      </c>
      <c r="AC40" s="7" t="str">
        <f>IF(O40="","",_xlfn.TEXTJOIN("; ",TRUE,IF(ISNUMBER(SEARCH('Référentiel entourage'!$B$2,O40)),'Référentiel entourage'!$A$2,""),IF(ISNUMBER(SEARCH('Référentiel entourage'!$B$3,O40)),'Référentiel entourage'!$A$3,""),IF(ISNUMBER(SEARCH('Référentiel entourage'!$B$4,O40)),'Référentiel entourage'!$A$4,""),IF(ISNUMBER(SEARCH('Référentiel entourage'!$B$5,O40)),'Référentiel entourage'!$A$5,""),IF(ISNUMBER(SEARCH('Référentiel entourage'!$B$6,O40)),'Référentiel entourage'!$A$6,""),IF(ISNUMBER(SEARCH('Référentiel entourage'!$B$7,O40)),'Référentiel entourage'!$A$7,""),IF(ISNUMBER(SEARCH('Référentiel entourage'!$B$8,O40)),'Référentiel entourage'!$A$8,""),IF(ISNUMBER(SEARCH('Référentiel entourage'!$B$9,O40)),'Référentiel entourage'!$A$9,""),IF(ISNUMBER(SEARCH('Référentiel entourage'!$B$10,O40)),'Référentiel entourage'!$A$10,""),IF(ISNUMBER(SEARCH('Référentiel entourage'!$B$11,O40)),'Référentiel entourage'!$A$11,""),IF(ISNUMBER(SEARCH('Référentiel entourage'!$B$12,O40)),'Référentiel entourage'!$A$12,""),IF(ISNUMBER(SEARCH('Référentiel entourage'!$B$13,O40)),'Référentiel entourage'!$A$13,""),IF(ISNUMBER(SEARCH('Référentiel entourage'!$B$14,O40)),'Référentiel entourage'!$A$14,""),IF(ISNUMBER(SEARCH('Référentiel entourage'!$B$15,O40)),'Référentiel entourage'!$A$15,""),IF(ISNUMBER(SEARCH('Référentiel entourage'!$B$16,O40)),'Référentiel entourage'!$A$16,""),IF(ISNUMBER(SEARCH('Référentiel entourage'!$B$17,O40)),'Référentiel entourage'!$A$17,""),IF(ISNUMBER(SEARCH('Référentiel entourage'!$B$18,O40)),'Référentiel entourage'!$A$18,""),IF(ISNUMBER(SEARCH('Référentiel entourage'!$B$19,O40)),'Référentiel entourage'!$A$19,""),IF(ISNUMBER(SEARCH('Référentiel entourage'!$B$20,O40)),'Référentiel entourage'!$A$20,""),IF(ISNUMBER(SEARCH('Référentiel entourage'!$B$21,O40)),'Référentiel entourage'!$A$21,""),IF(ISNUMBER(SEARCH('Référentiel entourage'!$B$22,O40)),'Référentiel entourage'!$A$22,""),IF(ISNUMBER(SEARCH('Référentiel entourage'!$B$23,O40)),'Référentiel entourage'!$A$23,""),IF(ISNUMBER(SEARCH('Référentiel entourage'!$B$24,O40)),'Référentiel entourage'!$A$24,"")))</f>
        <v/>
      </c>
      <c r="AD40" s="7" t="str">
        <f>_xlfn.LET(_xlpm.texte,_xlfn.TEXTJOIN(" | ",TRUE,H40:N40,P40),IF(_xlpm.texte="","",_xlfn.TEXTJOIN(";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41" spans="1:30" ht="30">
      <c r="A41" s="9" t="s">
        <v>263</v>
      </c>
      <c r="B41" s="9" t="s">
        <v>264</v>
      </c>
      <c r="C41" s="9"/>
      <c r="D41" s="10">
        <v>1981</v>
      </c>
      <c r="E41" s="9" t="s">
        <v>265</v>
      </c>
      <c r="F41" s="10"/>
      <c r="G41" s="9" t="s">
        <v>34</v>
      </c>
      <c r="H41" s="9" t="s">
        <v>35</v>
      </c>
      <c r="I41" s="9"/>
      <c r="J41" s="9"/>
      <c r="K41" s="9"/>
      <c r="L41" s="9"/>
      <c r="M41" s="9"/>
      <c r="N41" s="9"/>
      <c r="O41" s="9"/>
      <c r="P41" s="9"/>
      <c r="Q41" s="9"/>
      <c r="R41" s="9"/>
      <c r="S41" s="9"/>
      <c r="T41" s="9"/>
      <c r="U41" s="9"/>
      <c r="V41" s="9"/>
      <c r="W41" s="9"/>
      <c r="X41" s="9" t="s">
        <v>261</v>
      </c>
      <c r="Y41" s="9"/>
      <c r="Z41" s="9"/>
      <c r="AA41" s="9" t="s">
        <v>38</v>
      </c>
      <c r="AB41" s="1" t="s">
        <v>266</v>
      </c>
      <c r="AC41" s="7" t="str">
        <f>IF(O41="","",_xlfn.TEXTJOIN("; ",TRUE,IF(ISNUMBER(SEARCH('Référentiel entourage'!$B$2,O41)),'Référentiel entourage'!$A$2,""),IF(ISNUMBER(SEARCH('Référentiel entourage'!$B$3,O41)),'Référentiel entourage'!$A$3,""),IF(ISNUMBER(SEARCH('Référentiel entourage'!$B$4,O41)),'Référentiel entourage'!$A$4,""),IF(ISNUMBER(SEARCH('Référentiel entourage'!$B$5,O41)),'Référentiel entourage'!$A$5,""),IF(ISNUMBER(SEARCH('Référentiel entourage'!$B$6,O41)),'Référentiel entourage'!$A$6,""),IF(ISNUMBER(SEARCH('Référentiel entourage'!$B$7,O41)),'Référentiel entourage'!$A$7,""),IF(ISNUMBER(SEARCH('Référentiel entourage'!$B$8,O41)),'Référentiel entourage'!$A$8,""),IF(ISNUMBER(SEARCH('Référentiel entourage'!$B$9,O41)),'Référentiel entourage'!$A$9,""),IF(ISNUMBER(SEARCH('Référentiel entourage'!$B$10,O41)),'Référentiel entourage'!$A$10,""),IF(ISNUMBER(SEARCH('Référentiel entourage'!$B$11,O41)),'Référentiel entourage'!$A$11,""),IF(ISNUMBER(SEARCH('Référentiel entourage'!$B$12,O41)),'Référentiel entourage'!$A$12,""),IF(ISNUMBER(SEARCH('Référentiel entourage'!$B$13,O41)),'Référentiel entourage'!$A$13,""),IF(ISNUMBER(SEARCH('Référentiel entourage'!$B$14,O41)),'Référentiel entourage'!$A$14,""),IF(ISNUMBER(SEARCH('Référentiel entourage'!$B$15,O41)),'Référentiel entourage'!$A$15,""),IF(ISNUMBER(SEARCH('Référentiel entourage'!$B$16,O41)),'Référentiel entourage'!$A$16,""),IF(ISNUMBER(SEARCH('Référentiel entourage'!$B$17,O41)),'Référentiel entourage'!$A$17,""),IF(ISNUMBER(SEARCH('Référentiel entourage'!$B$18,O41)),'Référentiel entourage'!$A$18,""),IF(ISNUMBER(SEARCH('Référentiel entourage'!$B$19,O41)),'Référentiel entourage'!$A$19,""),IF(ISNUMBER(SEARCH('Référentiel entourage'!$B$20,O41)),'Référentiel entourage'!$A$20,""),IF(ISNUMBER(SEARCH('Référentiel entourage'!$B$21,O41)),'Référentiel entourage'!$A$21,""),IF(ISNUMBER(SEARCH('Référentiel entourage'!$B$22,O41)),'Référentiel entourage'!$A$22,""),IF(ISNUMBER(SEARCH('Référentiel entourage'!$B$23,O41)),'Référentiel entourage'!$A$23,""),IF(ISNUMBER(SEARCH('Référentiel entourage'!$B$24,O41)),'Référentiel entourage'!$A$24,"")))</f>
        <v/>
      </c>
      <c r="AD41" s="7" t="str">
        <f>_xlfn.LET(_xlpm.texte,_xlfn.TEXTJOIN(" | ",TRUE,H41:N41,P41),IF(_xlpm.texte="","",_xlfn.TEXTJOIN(";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42" spans="1:30" ht="30">
      <c r="A42" s="9" t="s">
        <v>267</v>
      </c>
      <c r="B42" s="9" t="s">
        <v>268</v>
      </c>
      <c r="C42" s="9"/>
      <c r="D42" s="10">
        <v>1981</v>
      </c>
      <c r="E42" s="9" t="s">
        <v>33</v>
      </c>
      <c r="F42" s="10"/>
      <c r="G42" s="9" t="s">
        <v>34</v>
      </c>
      <c r="H42" s="9" t="s">
        <v>35</v>
      </c>
      <c r="I42" s="9"/>
      <c r="J42" s="9"/>
      <c r="K42" s="9"/>
      <c r="L42" s="9"/>
      <c r="M42" s="9"/>
      <c r="N42" s="9"/>
      <c r="O42" s="9"/>
      <c r="P42" s="9"/>
      <c r="Q42" s="9"/>
      <c r="R42" s="9"/>
      <c r="S42" s="9"/>
      <c r="T42" s="9"/>
      <c r="U42" s="9" t="s">
        <v>269</v>
      </c>
      <c r="V42" s="9"/>
      <c r="W42" s="9"/>
      <c r="X42" s="9" t="s">
        <v>261</v>
      </c>
      <c r="Y42" s="9"/>
      <c r="Z42" s="9"/>
      <c r="AA42" s="9" t="s">
        <v>38</v>
      </c>
      <c r="AB42" s="1" t="s">
        <v>270</v>
      </c>
      <c r="AC42" s="7" t="str">
        <f>IF(O42="","",_xlfn.TEXTJOIN("; ",TRUE,IF(ISNUMBER(SEARCH('Référentiel entourage'!$B$2,O42)),'Référentiel entourage'!$A$2,""),IF(ISNUMBER(SEARCH('Référentiel entourage'!$B$3,O42)),'Référentiel entourage'!$A$3,""),IF(ISNUMBER(SEARCH('Référentiel entourage'!$B$4,O42)),'Référentiel entourage'!$A$4,""),IF(ISNUMBER(SEARCH('Référentiel entourage'!$B$5,O42)),'Référentiel entourage'!$A$5,""),IF(ISNUMBER(SEARCH('Référentiel entourage'!$B$6,O42)),'Référentiel entourage'!$A$6,""),IF(ISNUMBER(SEARCH('Référentiel entourage'!$B$7,O42)),'Référentiel entourage'!$A$7,""),IF(ISNUMBER(SEARCH('Référentiel entourage'!$B$8,O42)),'Référentiel entourage'!$A$8,""),IF(ISNUMBER(SEARCH('Référentiel entourage'!$B$9,O42)),'Référentiel entourage'!$A$9,""),IF(ISNUMBER(SEARCH('Référentiel entourage'!$B$10,O42)),'Référentiel entourage'!$A$10,""),IF(ISNUMBER(SEARCH('Référentiel entourage'!$B$11,O42)),'Référentiel entourage'!$A$11,""),IF(ISNUMBER(SEARCH('Référentiel entourage'!$B$12,O42)),'Référentiel entourage'!$A$12,""),IF(ISNUMBER(SEARCH('Référentiel entourage'!$B$13,O42)),'Référentiel entourage'!$A$13,""),IF(ISNUMBER(SEARCH('Référentiel entourage'!$B$14,O42)),'Référentiel entourage'!$A$14,""),IF(ISNUMBER(SEARCH('Référentiel entourage'!$B$15,O42)),'Référentiel entourage'!$A$15,""),IF(ISNUMBER(SEARCH('Référentiel entourage'!$B$16,O42)),'Référentiel entourage'!$A$16,""),IF(ISNUMBER(SEARCH('Référentiel entourage'!$B$17,O42)),'Référentiel entourage'!$A$17,""),IF(ISNUMBER(SEARCH('Référentiel entourage'!$B$18,O42)),'Référentiel entourage'!$A$18,""),IF(ISNUMBER(SEARCH('Référentiel entourage'!$B$19,O42)),'Référentiel entourage'!$A$19,""),IF(ISNUMBER(SEARCH('Référentiel entourage'!$B$20,O42)),'Référentiel entourage'!$A$20,""),IF(ISNUMBER(SEARCH('Référentiel entourage'!$B$21,O42)),'Référentiel entourage'!$A$21,""),IF(ISNUMBER(SEARCH('Référentiel entourage'!$B$22,O42)),'Référentiel entourage'!$A$22,""),IF(ISNUMBER(SEARCH('Référentiel entourage'!$B$23,O42)),'Référentiel entourage'!$A$23,""),IF(ISNUMBER(SEARCH('Référentiel entourage'!$B$24,O42)),'Référentiel entourage'!$A$24,"")))</f>
        <v/>
      </c>
      <c r="AD42" s="7" t="str">
        <f>_xlfn.LET(_xlpm.texte,_xlfn.TEXTJOIN(" | ",TRUE,H42:N42,P42),IF(_xlpm.texte="","",_xlfn.TEXTJOIN(";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43" spans="1:30" ht="30">
      <c r="A43" s="9" t="s">
        <v>271</v>
      </c>
      <c r="B43" s="9" t="s">
        <v>272</v>
      </c>
      <c r="C43" s="9" t="s">
        <v>273</v>
      </c>
      <c r="D43" s="10">
        <v>1981</v>
      </c>
      <c r="E43" s="9" t="s">
        <v>33</v>
      </c>
      <c r="F43" s="10"/>
      <c r="G43" s="9" t="s">
        <v>34</v>
      </c>
      <c r="H43" s="9" t="s">
        <v>35</v>
      </c>
      <c r="I43" s="9"/>
      <c r="J43" s="9"/>
      <c r="K43" s="9"/>
      <c r="L43" s="9"/>
      <c r="M43" s="9"/>
      <c r="N43" s="9"/>
      <c r="O43" s="9"/>
      <c r="P43" s="9"/>
      <c r="Q43" s="9"/>
      <c r="R43" s="9"/>
      <c r="S43" s="9"/>
      <c r="T43" s="9"/>
      <c r="U43" s="9" t="s">
        <v>274</v>
      </c>
      <c r="V43" s="9"/>
      <c r="W43" s="9"/>
      <c r="X43" s="9" t="s">
        <v>261</v>
      </c>
      <c r="Y43" s="9"/>
      <c r="Z43" s="9"/>
      <c r="AA43" s="9" t="s">
        <v>38</v>
      </c>
      <c r="AB43" s="1" t="s">
        <v>275</v>
      </c>
      <c r="AC43" s="7" t="str">
        <f>IF(O43="","",_xlfn.TEXTJOIN("; ",TRUE,IF(ISNUMBER(SEARCH('Référentiel entourage'!$B$2,O43)),'Référentiel entourage'!$A$2,""),IF(ISNUMBER(SEARCH('Référentiel entourage'!$B$3,O43)),'Référentiel entourage'!$A$3,""),IF(ISNUMBER(SEARCH('Référentiel entourage'!$B$4,O43)),'Référentiel entourage'!$A$4,""),IF(ISNUMBER(SEARCH('Référentiel entourage'!$B$5,O43)),'Référentiel entourage'!$A$5,""),IF(ISNUMBER(SEARCH('Référentiel entourage'!$B$6,O43)),'Référentiel entourage'!$A$6,""),IF(ISNUMBER(SEARCH('Référentiel entourage'!$B$7,O43)),'Référentiel entourage'!$A$7,""),IF(ISNUMBER(SEARCH('Référentiel entourage'!$B$8,O43)),'Référentiel entourage'!$A$8,""),IF(ISNUMBER(SEARCH('Référentiel entourage'!$B$9,O43)),'Référentiel entourage'!$A$9,""),IF(ISNUMBER(SEARCH('Référentiel entourage'!$B$10,O43)),'Référentiel entourage'!$A$10,""),IF(ISNUMBER(SEARCH('Référentiel entourage'!$B$11,O43)),'Référentiel entourage'!$A$11,""),IF(ISNUMBER(SEARCH('Référentiel entourage'!$B$12,O43)),'Référentiel entourage'!$A$12,""),IF(ISNUMBER(SEARCH('Référentiel entourage'!$B$13,O43)),'Référentiel entourage'!$A$13,""),IF(ISNUMBER(SEARCH('Référentiel entourage'!$B$14,O43)),'Référentiel entourage'!$A$14,""),IF(ISNUMBER(SEARCH('Référentiel entourage'!$B$15,O43)),'Référentiel entourage'!$A$15,""),IF(ISNUMBER(SEARCH('Référentiel entourage'!$B$16,O43)),'Référentiel entourage'!$A$16,""),IF(ISNUMBER(SEARCH('Référentiel entourage'!$B$17,O43)),'Référentiel entourage'!$A$17,""),IF(ISNUMBER(SEARCH('Référentiel entourage'!$B$18,O43)),'Référentiel entourage'!$A$18,""),IF(ISNUMBER(SEARCH('Référentiel entourage'!$B$19,O43)),'Référentiel entourage'!$A$19,""),IF(ISNUMBER(SEARCH('Référentiel entourage'!$B$20,O43)),'Référentiel entourage'!$A$20,""),IF(ISNUMBER(SEARCH('Référentiel entourage'!$B$21,O43)),'Référentiel entourage'!$A$21,""),IF(ISNUMBER(SEARCH('Référentiel entourage'!$B$22,O43)),'Référentiel entourage'!$A$22,""),IF(ISNUMBER(SEARCH('Référentiel entourage'!$B$23,O43)),'Référentiel entourage'!$A$23,""),IF(ISNUMBER(SEARCH('Référentiel entourage'!$B$24,O43)),'Référentiel entourage'!$A$24,"")))</f>
        <v/>
      </c>
      <c r="AD43" s="7" t="str">
        <f>_xlfn.LET(_xlpm.texte,_xlfn.TEXTJOIN(" | ",TRUE,H43:N43,P43),IF(_xlpm.texte="","",_xlfn.TEXTJOIN(";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44" spans="1:30" ht="15">
      <c r="A44" s="9" t="s">
        <v>276</v>
      </c>
      <c r="B44" s="9" t="s">
        <v>277</v>
      </c>
      <c r="C44" s="9" t="s">
        <v>277</v>
      </c>
      <c r="D44" s="10">
        <v>1982</v>
      </c>
      <c r="E44" s="9" t="s">
        <v>33</v>
      </c>
      <c r="F44" s="10"/>
      <c r="G44" s="9" t="s">
        <v>211</v>
      </c>
      <c r="H44" s="9" t="s">
        <v>35</v>
      </c>
      <c r="I44" s="9"/>
      <c r="J44" s="9"/>
      <c r="K44" s="9"/>
      <c r="L44" s="9"/>
      <c r="M44" s="9"/>
      <c r="N44" s="9"/>
      <c r="O44" s="9"/>
      <c r="P44" s="9"/>
      <c r="Q44" s="9"/>
      <c r="R44" s="9"/>
      <c r="S44" s="9"/>
      <c r="T44" s="9"/>
      <c r="U44" s="9" t="s">
        <v>278</v>
      </c>
      <c r="V44" s="9"/>
      <c r="W44" s="9"/>
      <c r="X44" s="9" t="s">
        <v>279</v>
      </c>
      <c r="Y44" s="9"/>
      <c r="Z44" s="9"/>
      <c r="AA44" s="9" t="s">
        <v>38</v>
      </c>
      <c r="AB44" s="1" t="s">
        <v>280</v>
      </c>
      <c r="AC44" s="7" t="str">
        <f>IF(O44="","",_xlfn.TEXTJOIN("; ",TRUE,IF(ISNUMBER(SEARCH('Référentiel entourage'!$B$2,O44)),'Référentiel entourage'!$A$2,""),IF(ISNUMBER(SEARCH('Référentiel entourage'!$B$3,O44)),'Référentiel entourage'!$A$3,""),IF(ISNUMBER(SEARCH('Référentiel entourage'!$B$4,O44)),'Référentiel entourage'!$A$4,""),IF(ISNUMBER(SEARCH('Référentiel entourage'!$B$5,O44)),'Référentiel entourage'!$A$5,""),IF(ISNUMBER(SEARCH('Référentiel entourage'!$B$6,O44)),'Référentiel entourage'!$A$6,""),IF(ISNUMBER(SEARCH('Référentiel entourage'!$B$7,O44)),'Référentiel entourage'!$A$7,""),IF(ISNUMBER(SEARCH('Référentiel entourage'!$B$8,O44)),'Référentiel entourage'!$A$8,""),IF(ISNUMBER(SEARCH('Référentiel entourage'!$B$9,O44)),'Référentiel entourage'!$A$9,""),IF(ISNUMBER(SEARCH('Référentiel entourage'!$B$10,O44)),'Référentiel entourage'!$A$10,""),IF(ISNUMBER(SEARCH('Référentiel entourage'!$B$11,O44)),'Référentiel entourage'!$A$11,""),IF(ISNUMBER(SEARCH('Référentiel entourage'!$B$12,O44)),'Référentiel entourage'!$A$12,""),IF(ISNUMBER(SEARCH('Référentiel entourage'!$B$13,O44)),'Référentiel entourage'!$A$13,""),IF(ISNUMBER(SEARCH('Référentiel entourage'!$B$14,O44)),'Référentiel entourage'!$A$14,""),IF(ISNUMBER(SEARCH('Référentiel entourage'!$B$15,O44)),'Référentiel entourage'!$A$15,""),IF(ISNUMBER(SEARCH('Référentiel entourage'!$B$16,O44)),'Référentiel entourage'!$A$16,""),IF(ISNUMBER(SEARCH('Référentiel entourage'!$B$17,O44)),'Référentiel entourage'!$A$17,""),IF(ISNUMBER(SEARCH('Référentiel entourage'!$B$18,O44)),'Référentiel entourage'!$A$18,""),IF(ISNUMBER(SEARCH('Référentiel entourage'!$B$19,O44)),'Référentiel entourage'!$A$19,""),IF(ISNUMBER(SEARCH('Référentiel entourage'!$B$20,O44)),'Référentiel entourage'!$A$20,""),IF(ISNUMBER(SEARCH('Référentiel entourage'!$B$21,O44)),'Référentiel entourage'!$A$21,""),IF(ISNUMBER(SEARCH('Référentiel entourage'!$B$22,O44)),'Référentiel entourage'!$A$22,""),IF(ISNUMBER(SEARCH('Référentiel entourage'!$B$23,O44)),'Référentiel entourage'!$A$23,""),IF(ISNUMBER(SEARCH('Référentiel entourage'!$B$24,O44)),'Référentiel entourage'!$A$24,"")))</f>
        <v/>
      </c>
      <c r="AD44" s="7" t="str">
        <f>_xlfn.LET(_xlpm.texte,_xlfn.TEXTJOIN(" | ",TRUE,H44:N44,P44),IF(_xlpm.texte="","",_xlfn.TEXTJOIN(";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sheetData>
  <conditionalFormatting sqref="A4:T21 V4:AA21">
    <cfRule type="expression" dxfId="1" priority="3">
      <formula>MOD(ROW(),2)=0</formula>
    </cfRule>
  </conditionalFormatting>
  <conditionalFormatting sqref="H2:H3">
    <cfRule type="expression" dxfId="0" priority="1">
      <formula>MOD(ROW(),2)=0</formula>
    </cfRule>
  </conditionalFormatting>
  <dataValidations count="1">
    <dataValidation type="list" sqref="AA4:AA21" xr:uid="{00000000-0002-0000-0000-000000000000}">
      <formula1>"À compléter,Partiellement documenté,Documenté,Validé"</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8"/>
  <sheetViews>
    <sheetView workbookViewId="0"/>
  </sheetViews>
  <sheetFormatPr baseColWidth="10" defaultColWidth="8.83203125" defaultRowHeight="14"/>
  <cols>
    <col min="1" max="2" width="22" customWidth="1"/>
  </cols>
  <sheetData>
    <row r="1" spans="1:2" ht="15">
      <c r="A1" s="2" t="s">
        <v>281</v>
      </c>
      <c r="B1" s="2" t="s">
        <v>282</v>
      </c>
    </row>
    <row r="2" spans="1:2">
      <c r="A2" t="s">
        <v>33</v>
      </c>
      <c r="B2" t="s">
        <v>38</v>
      </c>
    </row>
    <row r="3" spans="1:2">
      <c r="A3" t="s">
        <v>283</v>
      </c>
      <c r="B3" t="s">
        <v>284</v>
      </c>
    </row>
    <row r="4" spans="1:2">
      <c r="A4" t="s">
        <v>59</v>
      </c>
      <c r="B4" t="s">
        <v>285</v>
      </c>
    </row>
    <row r="5" spans="1:2">
      <c r="A5" t="s">
        <v>89</v>
      </c>
      <c r="B5" t="s">
        <v>286</v>
      </c>
    </row>
    <row r="6" spans="1:2">
      <c r="A6" t="s">
        <v>287</v>
      </c>
    </row>
    <row r="7" spans="1:2">
      <c r="A7" t="s">
        <v>288</v>
      </c>
    </row>
    <row r="8" spans="1:2">
      <c r="A8" t="s">
        <v>289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9"/>
  <sheetViews>
    <sheetView workbookViewId="0"/>
  </sheetViews>
  <sheetFormatPr baseColWidth="10" defaultColWidth="8.83203125" defaultRowHeight="14"/>
  <cols>
    <col min="1" max="1" width="28" customWidth="1"/>
    <col min="2" max="2" width="85" customWidth="1"/>
  </cols>
  <sheetData>
    <row r="1" spans="1:2" ht="80.25" customHeight="1">
      <c r="A1" s="13" t="s">
        <v>290</v>
      </c>
      <c r="B1" s="13"/>
    </row>
    <row r="2" spans="1:2" ht="99.75" customHeight="1">
      <c r="A2" s="3" t="s">
        <v>291</v>
      </c>
      <c r="B2" s="1" t="s">
        <v>292</v>
      </c>
    </row>
    <row r="3" spans="1:2" ht="99.75" customHeight="1">
      <c r="A3" s="3" t="s">
        <v>293</v>
      </c>
      <c r="B3" s="1" t="s">
        <v>294</v>
      </c>
    </row>
    <row r="4" spans="1:2" ht="99.75" customHeight="1">
      <c r="A4" s="3" t="s">
        <v>295</v>
      </c>
      <c r="B4" s="1" t="s">
        <v>296</v>
      </c>
    </row>
    <row r="5" spans="1:2" ht="99.75" customHeight="1">
      <c r="A5" s="3" t="s">
        <v>17</v>
      </c>
      <c r="B5" s="1" t="s">
        <v>297</v>
      </c>
    </row>
    <row r="6" spans="1:2" ht="99.75" customHeight="1">
      <c r="A6" s="3" t="s">
        <v>298</v>
      </c>
      <c r="B6" s="1" t="s">
        <v>299</v>
      </c>
    </row>
    <row r="7" spans="1:2" ht="99.75" customHeight="1">
      <c r="A7" s="3" t="s">
        <v>23</v>
      </c>
      <c r="B7" s="1" t="s">
        <v>300</v>
      </c>
    </row>
    <row r="8" spans="1:2" ht="99.75" customHeight="1">
      <c r="A8" s="3" t="s">
        <v>14</v>
      </c>
      <c r="B8" s="1" t="s">
        <v>301</v>
      </c>
    </row>
    <row r="9" spans="1:2" ht="99.75" customHeight="1">
      <c r="A9" s="3" t="s">
        <v>15</v>
      </c>
      <c r="B9" s="1" t="s">
        <v>302</v>
      </c>
    </row>
    <row r="10" spans="1:2" ht="99.75" customHeight="1">
      <c r="A10" s="3" t="s">
        <v>19</v>
      </c>
      <c r="B10" s="1" t="s">
        <v>303</v>
      </c>
    </row>
    <row r="11" spans="1:2" ht="99.75" customHeight="1">
      <c r="A11" s="3" t="s">
        <v>0</v>
      </c>
      <c r="B11" s="1" t="s">
        <v>304</v>
      </c>
    </row>
    <row r="12" spans="1:2" ht="99.75" customHeight="1">
      <c r="A12" s="3" t="s">
        <v>26</v>
      </c>
      <c r="B12" s="1" t="s">
        <v>305</v>
      </c>
    </row>
    <row r="13" spans="1:2" ht="16">
      <c r="A13" s="4" t="s">
        <v>306</v>
      </c>
      <c r="B13" s="1" t="s">
        <v>307</v>
      </c>
    </row>
    <row r="14" spans="1:2" ht="16">
      <c r="A14" s="4" t="s">
        <v>308</v>
      </c>
      <c r="B14" s="1" t="s">
        <v>309</v>
      </c>
    </row>
    <row r="15" spans="1:2" ht="53.25" customHeight="1">
      <c r="A15" s="8" t="s">
        <v>310</v>
      </c>
      <c r="B15" s="1" t="s">
        <v>311</v>
      </c>
    </row>
    <row r="16" spans="1:2" ht="53.25" customHeight="1">
      <c r="A16" s="8" t="s">
        <v>312</v>
      </c>
      <c r="B16" s="1" t="s">
        <v>313</v>
      </c>
    </row>
    <row r="17" spans="1:2" ht="81.75" customHeight="1">
      <c r="A17" s="8" t="s">
        <v>14</v>
      </c>
      <c r="B17" s="1" t="s">
        <v>314</v>
      </c>
    </row>
    <row r="18" spans="1:2" ht="81.75" customHeight="1">
      <c r="A18" s="8" t="s">
        <v>15</v>
      </c>
      <c r="B18" s="1" t="s">
        <v>315</v>
      </c>
    </row>
    <row r="19" spans="1:2" ht="57" customHeight="1">
      <c r="A19" s="8" t="s">
        <v>316</v>
      </c>
      <c r="B19" s="1" t="s">
        <v>317</v>
      </c>
    </row>
  </sheetData>
  <mergeCells count="1">
    <mergeCell ref="A1:B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24"/>
  <sheetViews>
    <sheetView topLeftCell="A4" workbookViewId="0">
      <selection activeCell="F24" sqref="F24"/>
    </sheetView>
  </sheetViews>
  <sheetFormatPr baseColWidth="10" defaultColWidth="8.83203125" defaultRowHeight="14"/>
  <cols>
    <col min="1" max="1" width="26" customWidth="1"/>
    <col min="2" max="2" width="24" customWidth="1"/>
    <col min="3" max="4" width="18" customWidth="1"/>
    <col min="5" max="6" width="20" customWidth="1"/>
    <col min="7" max="14" width="34" customWidth="1"/>
  </cols>
  <sheetData>
    <row r="1" spans="1:14" ht="15">
      <c r="A1" s="1" t="s">
        <v>318</v>
      </c>
      <c r="B1" s="1" t="s">
        <v>319</v>
      </c>
      <c r="C1" s="1" t="s">
        <v>320</v>
      </c>
      <c r="D1" s="1" t="s">
        <v>321</v>
      </c>
      <c r="E1" s="1" t="s">
        <v>322</v>
      </c>
      <c r="F1" s="1" t="s">
        <v>323</v>
      </c>
      <c r="G1" s="1" t="s">
        <v>324</v>
      </c>
      <c r="H1" s="1" t="s">
        <v>325</v>
      </c>
      <c r="I1" s="1" t="s">
        <v>326</v>
      </c>
      <c r="J1" s="1" t="s">
        <v>327</v>
      </c>
      <c r="K1" s="1" t="s">
        <v>328</v>
      </c>
      <c r="L1" s="1" t="s">
        <v>329</v>
      </c>
      <c r="M1" s="1" t="s">
        <v>330</v>
      </c>
      <c r="N1" s="1" t="s">
        <v>331</v>
      </c>
    </row>
    <row r="2" spans="1:14" ht="135">
      <c r="A2" s="6" t="s">
        <v>332</v>
      </c>
      <c r="B2" s="6" t="s">
        <v>333</v>
      </c>
      <c r="C2" s="1" t="s">
        <v>334</v>
      </c>
      <c r="D2" s="1" t="s">
        <v>335</v>
      </c>
      <c r="E2" s="1"/>
      <c r="F2" s="1" t="s">
        <v>336</v>
      </c>
      <c r="G2" s="1" t="s">
        <v>337</v>
      </c>
      <c r="H2" s="1" t="s">
        <v>338</v>
      </c>
      <c r="I2" s="1" t="s">
        <v>339</v>
      </c>
      <c r="J2" s="1" t="s">
        <v>340</v>
      </c>
      <c r="K2" s="1" t="s">
        <v>341</v>
      </c>
      <c r="L2" s="1"/>
      <c r="M2" s="1" t="s">
        <v>342</v>
      </c>
      <c r="N2" s="1" t="s">
        <v>343</v>
      </c>
    </row>
    <row r="3" spans="1:14" ht="180">
      <c r="A3" s="6" t="s">
        <v>344</v>
      </c>
      <c r="B3" s="6" t="s">
        <v>147</v>
      </c>
      <c r="C3" s="1" t="s">
        <v>345</v>
      </c>
      <c r="D3" s="1" t="s">
        <v>346</v>
      </c>
      <c r="E3" s="1"/>
      <c r="F3" s="1" t="s">
        <v>347</v>
      </c>
      <c r="G3" s="1" t="s">
        <v>348</v>
      </c>
      <c r="H3" s="1" t="s">
        <v>349</v>
      </c>
      <c r="I3" s="1" t="s">
        <v>350</v>
      </c>
      <c r="J3" s="1" t="s">
        <v>351</v>
      </c>
      <c r="K3" s="1" t="s">
        <v>352</v>
      </c>
      <c r="L3" s="1"/>
      <c r="M3" s="1" t="s">
        <v>353</v>
      </c>
      <c r="N3" s="1" t="s">
        <v>354</v>
      </c>
    </row>
    <row r="4" spans="1:14" ht="75">
      <c r="A4" s="6" t="s">
        <v>355</v>
      </c>
      <c r="B4" s="6" t="s">
        <v>356</v>
      </c>
      <c r="C4" s="1" t="s">
        <v>357</v>
      </c>
      <c r="D4" s="1" t="s">
        <v>358</v>
      </c>
      <c r="E4" s="1"/>
      <c r="F4" s="1" t="s">
        <v>359</v>
      </c>
      <c r="G4" s="1" t="s">
        <v>360</v>
      </c>
      <c r="H4" s="1" t="s">
        <v>361</v>
      </c>
      <c r="I4" s="1" t="s">
        <v>362</v>
      </c>
      <c r="J4" s="1" t="s">
        <v>363</v>
      </c>
      <c r="K4" s="1" t="s">
        <v>364</v>
      </c>
      <c r="L4" s="1"/>
      <c r="M4" s="1" t="s">
        <v>365</v>
      </c>
      <c r="N4" s="1" t="s">
        <v>366</v>
      </c>
    </row>
    <row r="5" spans="1:14" ht="45">
      <c r="A5" s="6" t="s">
        <v>367</v>
      </c>
      <c r="B5" s="6" t="s">
        <v>368</v>
      </c>
      <c r="C5" s="1" t="s">
        <v>369</v>
      </c>
      <c r="D5" s="1" t="s">
        <v>370</v>
      </c>
      <c r="E5" s="1"/>
      <c r="F5" s="1" t="s">
        <v>359</v>
      </c>
      <c r="G5" s="1" t="s">
        <v>371</v>
      </c>
      <c r="H5" s="1" t="s">
        <v>372</v>
      </c>
      <c r="I5" s="1" t="s">
        <v>373</v>
      </c>
      <c r="J5" s="1" t="s">
        <v>374</v>
      </c>
      <c r="K5" s="1" t="s">
        <v>375</v>
      </c>
      <c r="L5" s="1"/>
      <c r="M5" s="1" t="s">
        <v>376</v>
      </c>
      <c r="N5" s="1" t="s">
        <v>377</v>
      </c>
    </row>
    <row r="6" spans="1:14" ht="90">
      <c r="A6" s="6" t="s">
        <v>378</v>
      </c>
      <c r="B6" s="6" t="s">
        <v>379</v>
      </c>
      <c r="C6" s="1" t="s">
        <v>380</v>
      </c>
      <c r="D6" s="1" t="s">
        <v>381</v>
      </c>
      <c r="E6" s="1"/>
      <c r="F6" s="1" t="s">
        <v>382</v>
      </c>
      <c r="G6" s="1" t="s">
        <v>383</v>
      </c>
      <c r="H6" s="1" t="s">
        <v>384</v>
      </c>
      <c r="I6" s="1" t="s">
        <v>385</v>
      </c>
      <c r="J6" s="1" t="s">
        <v>386</v>
      </c>
      <c r="K6" s="1" t="s">
        <v>387</v>
      </c>
      <c r="L6" s="1"/>
      <c r="M6" s="1" t="s">
        <v>388</v>
      </c>
      <c r="N6" s="1" t="s">
        <v>389</v>
      </c>
    </row>
    <row r="7" spans="1:14" ht="180">
      <c r="A7" s="6" t="s">
        <v>390</v>
      </c>
      <c r="B7" s="6" t="s">
        <v>391</v>
      </c>
      <c r="C7" s="1" t="s">
        <v>392</v>
      </c>
      <c r="D7" s="1" t="s">
        <v>393</v>
      </c>
      <c r="E7" s="1"/>
      <c r="F7" s="1" t="s">
        <v>336</v>
      </c>
      <c r="G7" s="1" t="s">
        <v>394</v>
      </c>
      <c r="H7" s="1" t="s">
        <v>395</v>
      </c>
      <c r="I7" s="1" t="s">
        <v>396</v>
      </c>
      <c r="J7" s="1" t="s">
        <v>397</v>
      </c>
      <c r="K7" s="1" t="s">
        <v>398</v>
      </c>
      <c r="L7" s="1"/>
      <c r="M7" s="1" t="s">
        <v>399</v>
      </c>
      <c r="N7" s="1" t="s">
        <v>400</v>
      </c>
    </row>
    <row r="8" spans="1:14" ht="90">
      <c r="A8" s="6" t="s">
        <v>401</v>
      </c>
      <c r="B8" s="6" t="s">
        <v>402</v>
      </c>
      <c r="C8" s="1" t="s">
        <v>403</v>
      </c>
      <c r="D8" s="1" t="s">
        <v>404</v>
      </c>
      <c r="E8" s="1"/>
      <c r="F8" s="1" t="s">
        <v>405</v>
      </c>
      <c r="G8" s="1" t="s">
        <v>371</v>
      </c>
      <c r="H8" s="1" t="s">
        <v>406</v>
      </c>
      <c r="I8" s="1" t="s">
        <v>407</v>
      </c>
      <c r="J8" s="1" t="s">
        <v>408</v>
      </c>
      <c r="K8" s="1" t="s">
        <v>409</v>
      </c>
      <c r="L8" s="1"/>
      <c r="M8" s="1" t="s">
        <v>410</v>
      </c>
      <c r="N8" s="1" t="s">
        <v>411</v>
      </c>
    </row>
    <row r="9" spans="1:14" ht="195">
      <c r="A9" s="6" t="s">
        <v>412</v>
      </c>
      <c r="B9" s="6" t="s">
        <v>413</v>
      </c>
      <c r="C9" s="1" t="s">
        <v>414</v>
      </c>
      <c r="D9" s="1" t="s">
        <v>415</v>
      </c>
      <c r="E9" s="1"/>
      <c r="F9" s="1"/>
      <c r="G9" s="1" t="s">
        <v>416</v>
      </c>
      <c r="H9" s="1"/>
      <c r="I9" s="1" t="s">
        <v>417</v>
      </c>
      <c r="J9" s="1" t="s">
        <v>418</v>
      </c>
      <c r="K9" s="1" t="s">
        <v>419</v>
      </c>
      <c r="L9" s="1" t="s">
        <v>420</v>
      </c>
      <c r="M9" s="1" t="s">
        <v>421</v>
      </c>
      <c r="N9" s="1" t="s">
        <v>422</v>
      </c>
    </row>
    <row r="10" spans="1:14" ht="120">
      <c r="A10" s="6" t="s">
        <v>423</v>
      </c>
      <c r="B10" s="6" t="s">
        <v>424</v>
      </c>
      <c r="C10" s="1" t="s">
        <v>425</v>
      </c>
      <c r="D10" s="1" t="s">
        <v>426</v>
      </c>
      <c r="E10" s="1"/>
      <c r="F10" s="1"/>
      <c r="G10" s="1" t="s">
        <v>371</v>
      </c>
      <c r="H10" s="1" t="s">
        <v>427</v>
      </c>
      <c r="I10" s="1"/>
      <c r="J10" s="1" t="s">
        <v>428</v>
      </c>
      <c r="K10" s="1" t="s">
        <v>429</v>
      </c>
      <c r="L10" s="1"/>
      <c r="M10" s="1" t="s">
        <v>430</v>
      </c>
      <c r="N10" s="1" t="s">
        <v>431</v>
      </c>
    </row>
    <row r="11" spans="1:14" ht="150">
      <c r="A11" s="6" t="s">
        <v>432</v>
      </c>
      <c r="B11" s="6" t="s">
        <v>433</v>
      </c>
      <c r="C11" s="1" t="s">
        <v>434</v>
      </c>
      <c r="D11" s="1" t="s">
        <v>435</v>
      </c>
      <c r="E11" s="1"/>
      <c r="F11" s="1"/>
      <c r="G11" s="1" t="s">
        <v>383</v>
      </c>
      <c r="H11" s="1" t="s">
        <v>436</v>
      </c>
      <c r="I11" s="1" t="s">
        <v>437</v>
      </c>
      <c r="J11" s="1" t="s">
        <v>438</v>
      </c>
      <c r="K11" s="1" t="s">
        <v>439</v>
      </c>
      <c r="L11" s="1"/>
      <c r="M11" s="1" t="s">
        <v>440</v>
      </c>
      <c r="N11" s="1" t="s">
        <v>441</v>
      </c>
    </row>
    <row r="12" spans="1:14" ht="105">
      <c r="A12" s="6" t="s">
        <v>442</v>
      </c>
      <c r="B12" s="6" t="s">
        <v>443</v>
      </c>
      <c r="C12" s="1" t="s">
        <v>444</v>
      </c>
      <c r="D12" s="1" t="s">
        <v>445</v>
      </c>
      <c r="E12" s="1"/>
      <c r="F12" s="1" t="s">
        <v>382</v>
      </c>
      <c r="G12" s="1" t="s">
        <v>371</v>
      </c>
      <c r="H12" s="1" t="s">
        <v>446</v>
      </c>
      <c r="I12" s="1" t="s">
        <v>447</v>
      </c>
      <c r="J12" s="1" t="s">
        <v>448</v>
      </c>
      <c r="K12" s="1" t="s">
        <v>449</v>
      </c>
      <c r="L12" s="1"/>
      <c r="M12" s="1" t="s">
        <v>450</v>
      </c>
      <c r="N12" s="1" t="s">
        <v>451</v>
      </c>
    </row>
    <row r="13" spans="1:14" ht="105">
      <c r="A13" s="6" t="s">
        <v>452</v>
      </c>
      <c r="B13" s="6" t="s">
        <v>453</v>
      </c>
      <c r="C13" s="1" t="s">
        <v>454</v>
      </c>
      <c r="D13" s="1" t="s">
        <v>455</v>
      </c>
      <c r="E13" s="1"/>
      <c r="F13" s="1"/>
      <c r="G13" s="1" t="s">
        <v>456</v>
      </c>
      <c r="H13" s="1"/>
      <c r="I13" s="1"/>
      <c r="J13" s="1" t="s">
        <v>457</v>
      </c>
      <c r="K13" s="1" t="s">
        <v>458</v>
      </c>
      <c r="L13" s="1"/>
      <c r="M13" s="1"/>
      <c r="N13" s="1" t="s">
        <v>459</v>
      </c>
    </row>
    <row r="14" spans="1:14" ht="105">
      <c r="A14" s="6" t="s">
        <v>460</v>
      </c>
      <c r="B14" s="6" t="s">
        <v>461</v>
      </c>
      <c r="C14" s="1" t="s">
        <v>462</v>
      </c>
      <c r="D14" s="1" t="s">
        <v>463</v>
      </c>
      <c r="E14" s="1"/>
      <c r="F14" s="1"/>
      <c r="G14" s="1" t="s">
        <v>464</v>
      </c>
      <c r="H14" s="1" t="s">
        <v>465</v>
      </c>
      <c r="I14" s="1" t="s">
        <v>466</v>
      </c>
      <c r="J14" s="1" t="s">
        <v>467</v>
      </c>
      <c r="K14" s="1" t="s">
        <v>468</v>
      </c>
      <c r="L14" s="1"/>
      <c r="M14" s="1" t="s">
        <v>469</v>
      </c>
      <c r="N14" s="1" t="s">
        <v>470</v>
      </c>
    </row>
    <row r="15" spans="1:14" ht="90">
      <c r="A15" s="6" t="s">
        <v>471</v>
      </c>
      <c r="B15" s="6" t="s">
        <v>472</v>
      </c>
      <c r="C15" s="1" t="s">
        <v>473</v>
      </c>
      <c r="D15" s="1" t="s">
        <v>474</v>
      </c>
      <c r="E15" s="1"/>
      <c r="F15" s="1" t="s">
        <v>359</v>
      </c>
      <c r="G15" s="1" t="s">
        <v>371</v>
      </c>
      <c r="H15" s="1" t="s">
        <v>475</v>
      </c>
      <c r="I15" s="1" t="s">
        <v>476</v>
      </c>
      <c r="J15" s="1" t="s">
        <v>477</v>
      </c>
      <c r="K15" s="1" t="s">
        <v>478</v>
      </c>
      <c r="L15" s="1"/>
      <c r="M15" s="1" t="s">
        <v>479</v>
      </c>
      <c r="N15" s="1" t="s">
        <v>480</v>
      </c>
    </row>
    <row r="16" spans="1:14" ht="75">
      <c r="A16" s="6" t="s">
        <v>481</v>
      </c>
      <c r="B16" s="6" t="s">
        <v>482</v>
      </c>
      <c r="C16" s="1" t="s">
        <v>483</v>
      </c>
      <c r="D16" s="1" t="s">
        <v>484</v>
      </c>
      <c r="E16" s="1"/>
      <c r="F16" s="1" t="s">
        <v>485</v>
      </c>
      <c r="G16" s="1" t="s">
        <v>383</v>
      </c>
      <c r="H16" s="1" t="s">
        <v>486</v>
      </c>
      <c r="I16" s="1" t="s">
        <v>487</v>
      </c>
      <c r="J16" s="1" t="s">
        <v>488</v>
      </c>
      <c r="K16" s="1" t="s">
        <v>489</v>
      </c>
      <c r="L16" s="1"/>
      <c r="M16" s="1" t="s">
        <v>490</v>
      </c>
      <c r="N16" s="1" t="s">
        <v>491</v>
      </c>
    </row>
    <row r="17" spans="1:14" ht="240">
      <c r="A17" s="6" t="s">
        <v>492</v>
      </c>
      <c r="B17" s="6" t="s">
        <v>92</v>
      </c>
      <c r="C17" s="1" t="s">
        <v>493</v>
      </c>
      <c r="D17" s="1" t="s">
        <v>494</v>
      </c>
      <c r="E17" s="1"/>
      <c r="F17" s="1" t="s">
        <v>336</v>
      </c>
      <c r="G17" s="1" t="s">
        <v>495</v>
      </c>
      <c r="H17" s="1" t="s">
        <v>496</v>
      </c>
      <c r="I17" s="1" t="s">
        <v>497</v>
      </c>
      <c r="J17" s="1" t="s">
        <v>498</v>
      </c>
      <c r="K17" s="1" t="s">
        <v>499</v>
      </c>
      <c r="L17" s="1"/>
      <c r="M17" s="1" t="s">
        <v>500</v>
      </c>
      <c r="N17" s="1" t="s">
        <v>501</v>
      </c>
    </row>
    <row r="18" spans="1:14" ht="45">
      <c r="A18" s="6" t="s">
        <v>502</v>
      </c>
      <c r="B18" s="6" t="s">
        <v>161</v>
      </c>
      <c r="C18" s="1" t="s">
        <v>503</v>
      </c>
      <c r="D18" s="1" t="s">
        <v>504</v>
      </c>
      <c r="E18" s="1"/>
      <c r="F18" s="1" t="s">
        <v>336</v>
      </c>
      <c r="G18" s="1" t="s">
        <v>505</v>
      </c>
      <c r="H18" s="1" t="s">
        <v>506</v>
      </c>
      <c r="I18" s="1" t="s">
        <v>507</v>
      </c>
      <c r="J18" s="1"/>
      <c r="K18" s="1"/>
      <c r="L18" s="1"/>
      <c r="M18" s="1" t="s">
        <v>508</v>
      </c>
      <c r="N18" s="1" t="s">
        <v>509</v>
      </c>
    </row>
    <row r="19" spans="1:14" ht="30">
      <c r="A19" s="6" t="s">
        <v>510</v>
      </c>
      <c r="B19" s="6" t="s">
        <v>511</v>
      </c>
      <c r="C19" s="1" t="s">
        <v>512</v>
      </c>
      <c r="D19" s="1" t="s">
        <v>513</v>
      </c>
      <c r="E19" s="1"/>
      <c r="F19" s="1" t="s">
        <v>514</v>
      </c>
      <c r="G19" s="1" t="s">
        <v>515</v>
      </c>
      <c r="H19" s="1" t="s">
        <v>516</v>
      </c>
      <c r="I19" s="1" t="s">
        <v>517</v>
      </c>
      <c r="J19" s="1" t="s">
        <v>191</v>
      </c>
      <c r="K19" s="1" t="s">
        <v>194</v>
      </c>
      <c r="L19" s="1"/>
      <c r="M19" s="1" t="s">
        <v>518</v>
      </c>
      <c r="N19" s="1" t="s">
        <v>519</v>
      </c>
    </row>
    <row r="20" spans="1:14" ht="180">
      <c r="A20" s="6" t="s">
        <v>520</v>
      </c>
      <c r="B20" s="6" t="s">
        <v>521</v>
      </c>
      <c r="C20" s="1" t="s">
        <v>522</v>
      </c>
      <c r="D20" s="1" t="s">
        <v>523</v>
      </c>
      <c r="E20" s="1"/>
      <c r="F20" s="1" t="s">
        <v>336</v>
      </c>
      <c r="G20" s="1" t="s">
        <v>524</v>
      </c>
      <c r="H20" s="1" t="s">
        <v>525</v>
      </c>
      <c r="I20" s="1" t="s">
        <v>526</v>
      </c>
      <c r="J20" s="1" t="s">
        <v>527</v>
      </c>
      <c r="K20" s="1" t="s">
        <v>528</v>
      </c>
      <c r="L20" s="1" t="s">
        <v>529</v>
      </c>
      <c r="M20" s="1" t="s">
        <v>530</v>
      </c>
      <c r="N20" s="1" t="s">
        <v>531</v>
      </c>
    </row>
    <row r="21" spans="1:14" ht="60">
      <c r="A21" s="6" t="s">
        <v>532</v>
      </c>
      <c r="B21" s="6" t="s">
        <v>533</v>
      </c>
      <c r="C21" s="1" t="s">
        <v>534</v>
      </c>
      <c r="D21" s="1" t="s">
        <v>535</v>
      </c>
      <c r="E21" s="1"/>
      <c r="F21" s="1" t="s">
        <v>536</v>
      </c>
      <c r="G21" s="1" t="s">
        <v>383</v>
      </c>
      <c r="H21" s="1" t="s">
        <v>537</v>
      </c>
      <c r="I21" s="1" t="s">
        <v>538</v>
      </c>
      <c r="J21" s="1" t="s">
        <v>539</v>
      </c>
      <c r="K21" s="1" t="s">
        <v>540</v>
      </c>
      <c r="L21" s="1"/>
      <c r="M21" s="1" t="s">
        <v>541</v>
      </c>
      <c r="N21" s="1" t="s">
        <v>542</v>
      </c>
    </row>
    <row r="22" spans="1:14" ht="45">
      <c r="A22" s="6" t="s">
        <v>543</v>
      </c>
      <c r="B22" s="6" t="s">
        <v>544</v>
      </c>
      <c r="C22" s="1" t="s">
        <v>545</v>
      </c>
      <c r="D22" s="1" t="s">
        <v>546</v>
      </c>
      <c r="E22" s="1"/>
      <c r="F22" s="1" t="s">
        <v>382</v>
      </c>
      <c r="G22" s="1" t="s">
        <v>383</v>
      </c>
      <c r="H22" s="1" t="s">
        <v>547</v>
      </c>
      <c r="I22" s="1" t="s">
        <v>548</v>
      </c>
      <c r="J22" s="1" t="s">
        <v>549</v>
      </c>
      <c r="K22" s="1" t="s">
        <v>550</v>
      </c>
      <c r="L22" s="1"/>
      <c r="M22" s="1" t="s">
        <v>551</v>
      </c>
      <c r="N22" s="1" t="s">
        <v>552</v>
      </c>
    </row>
    <row r="23" spans="1:14" ht="75">
      <c r="A23" s="6" t="s">
        <v>553</v>
      </c>
      <c r="B23" s="6" t="s">
        <v>554</v>
      </c>
      <c r="C23" s="1" t="s">
        <v>555</v>
      </c>
      <c r="D23" s="1" t="s">
        <v>556</v>
      </c>
      <c r="E23" s="1"/>
      <c r="F23" s="1"/>
      <c r="G23" s="1" t="s">
        <v>383</v>
      </c>
      <c r="H23" s="1" t="s">
        <v>547</v>
      </c>
      <c r="I23" s="1" t="s">
        <v>557</v>
      </c>
      <c r="J23" s="1" t="s">
        <v>558</v>
      </c>
      <c r="K23" s="1" t="s">
        <v>559</v>
      </c>
      <c r="L23" s="1"/>
      <c r="M23" s="1" t="s">
        <v>560</v>
      </c>
      <c r="N23" s="1" t="s">
        <v>561</v>
      </c>
    </row>
    <row r="24" spans="1:14" ht="105">
      <c r="A24" s="6" t="s">
        <v>562</v>
      </c>
      <c r="B24" s="6" t="s">
        <v>563</v>
      </c>
      <c r="C24" s="1" t="s">
        <v>564</v>
      </c>
      <c r="D24" s="1" t="s">
        <v>565</v>
      </c>
      <c r="E24" s="1"/>
      <c r="F24" s="1" t="s">
        <v>589</v>
      </c>
      <c r="G24" s="1" t="s">
        <v>371</v>
      </c>
      <c r="H24" s="1" t="s">
        <v>547</v>
      </c>
      <c r="J24" s="1" t="s">
        <v>566</v>
      </c>
      <c r="K24" s="1" t="s">
        <v>567</v>
      </c>
      <c r="L24" s="1"/>
      <c r="M24" s="1" t="s">
        <v>568</v>
      </c>
      <c r="N24" s="1" t="s">
        <v>569</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4</vt:i4>
      </vt:variant>
    </vt:vector>
  </HeadingPairs>
  <TitlesOfParts>
    <vt:vector size="4" baseType="lpstr">
      <vt:lpstr>Films</vt:lpstr>
      <vt:lpstr>Listes</vt:lpstr>
      <vt:lpstr>Mode_emploi</vt:lpstr>
      <vt:lpstr>Référentiel entourage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Frédérique Hammerli</cp:lastModifiedBy>
  <dcterms:modified xsi:type="dcterms:W3CDTF">2026-07-28T07:40:57Z</dcterms:modified>
</cp:coreProperties>
</file>