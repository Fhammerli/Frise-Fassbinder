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d.docs.live.net/23f243e0dd638448/cours/KH/RWF/Fiches/Frise/Frise2_Fassbinder/"/>
    </mc:Choice>
  </mc:AlternateContent>
  <xr:revisionPtr revIDLastSave="63" documentId="11_C02D27A5C2B52CDF254B06CC0F60AB0FB8A300C2" xr6:coauthVersionLast="47" xr6:coauthVersionMax="47" xr10:uidLastSave="{89B33C91-36F2-DE40-9621-665068ED7DF4}"/>
  <bookViews>
    <workbookView xWindow="19100" yWindow="600" windowWidth="22240" windowHeight="24600" xr2:uid="{00000000-000D-0000-FFFF-FFFF00000000}"/>
  </bookViews>
  <sheets>
    <sheet name="Films" sheetId="1" r:id="rId1"/>
    <sheet name="Listes" sheetId="2" r:id="rId2"/>
    <sheet name="Mode_emploi" sheetId="3" r:id="rId3"/>
    <sheet name="Référentiel entourag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46" i="1" l="1"/>
  <c r="AC46" i="1"/>
  <c r="AD45" i="1"/>
  <c r="AC45" i="1"/>
  <c r="AD44" i="1"/>
  <c r="AC44" i="1"/>
  <c r="AD43" i="1"/>
  <c r="AC43" i="1"/>
  <c r="AD42" i="1"/>
  <c r="AC42" i="1"/>
  <c r="AD41" i="1"/>
  <c r="AC41" i="1"/>
  <c r="AD40" i="1"/>
  <c r="AC40" i="1"/>
  <c r="AD39" i="1"/>
  <c r="AC39" i="1"/>
  <c r="AD38" i="1"/>
  <c r="AC38" i="1"/>
  <c r="AD37" i="1"/>
  <c r="AC37" i="1"/>
  <c r="AD36" i="1"/>
  <c r="AC36" i="1"/>
  <c r="AD35" i="1"/>
  <c r="AC35" i="1"/>
  <c r="AD34" i="1"/>
  <c r="AC34" i="1"/>
  <c r="AD33" i="1"/>
  <c r="AC33" i="1"/>
  <c r="AD32" i="1"/>
  <c r="AC32" i="1"/>
  <c r="AD31" i="1"/>
  <c r="AC31" i="1"/>
  <c r="AD30" i="1"/>
  <c r="AC30" i="1"/>
  <c r="AD29" i="1"/>
  <c r="AC29" i="1"/>
  <c r="AD28" i="1"/>
  <c r="AC28" i="1"/>
  <c r="AD27" i="1"/>
  <c r="AC27" i="1"/>
  <c r="AD26" i="1"/>
  <c r="AC26" i="1"/>
  <c r="AD25" i="1"/>
  <c r="AC25" i="1"/>
  <c r="AD24" i="1"/>
  <c r="AC24" i="1"/>
  <c r="AD23" i="1"/>
  <c r="AC23" i="1"/>
  <c r="AD22" i="1"/>
  <c r="AC22" i="1"/>
  <c r="AD21" i="1"/>
  <c r="AC21" i="1"/>
  <c r="AD20" i="1"/>
  <c r="AC20" i="1"/>
  <c r="AD19" i="1"/>
  <c r="AC19" i="1"/>
  <c r="AD18" i="1"/>
  <c r="AC18" i="1"/>
  <c r="AD17" i="1"/>
  <c r="AC17" i="1"/>
  <c r="AD16" i="1"/>
  <c r="AC16" i="1"/>
  <c r="AD15" i="1"/>
  <c r="AC15" i="1"/>
  <c r="AD14" i="1"/>
  <c r="AC14" i="1"/>
  <c r="AD13" i="1"/>
  <c r="AC13" i="1"/>
  <c r="AD10" i="1"/>
  <c r="AC10" i="1"/>
  <c r="AD9" i="1"/>
  <c r="AC9" i="1"/>
  <c r="AD8" i="1"/>
  <c r="AC8" i="1"/>
  <c r="AD7" i="1"/>
  <c r="AC7" i="1"/>
  <c r="AD6" i="1"/>
  <c r="AC6" i="1"/>
  <c r="AD5" i="1"/>
  <c r="AC5" i="1"/>
</calcChain>
</file>

<file path=xl/sharedStrings.xml><?xml version="1.0" encoding="utf-8"?>
<sst xmlns="http://schemas.openxmlformats.org/spreadsheetml/2006/main" count="1206" uniqueCount="852">
  <si>
    <t>ID</t>
  </si>
  <si>
    <t>Titre français</t>
  </si>
  <si>
    <t>Titre original</t>
  </si>
  <si>
    <t>Année</t>
  </si>
  <si>
    <t>Type</t>
  </si>
  <si>
    <t>Durée (min)</t>
  </si>
  <si>
    <t>Pays</t>
  </si>
  <si>
    <t>Réalisation</t>
  </si>
  <si>
    <t>Scénario</t>
  </si>
  <si>
    <t>Image</t>
  </si>
  <si>
    <t>Montage</t>
  </si>
  <si>
    <t>Décors</t>
  </si>
  <si>
    <t>Musique</t>
  </si>
  <si>
    <t>Production</t>
  </si>
  <si>
    <t>Distribution artistique</t>
  </si>
  <si>
    <t>Équipe technique</t>
  </si>
  <si>
    <t>Synopsis</t>
  </si>
  <si>
    <t>Extraits</t>
  </si>
  <si>
    <t>Analyse</t>
  </si>
  <si>
    <t>Bibliographie</t>
  </si>
  <si>
    <t>Affiche</t>
  </si>
  <si>
    <t>Légende affiche</t>
  </si>
  <si>
    <t>Source affiche</t>
  </si>
  <si>
    <t>Liens chronologie</t>
  </si>
  <si>
    <t>Mots-clés</t>
  </si>
  <si>
    <t>Sources</t>
  </si>
  <si>
    <t>Statut</t>
  </si>
  <si>
    <t>ID normalisé V22</t>
  </si>
  <si>
    <t>IDs entourage — distribution artistique</t>
  </si>
  <si>
    <t>IDs entourage — équipe technique</t>
  </si>
  <si>
    <t>rwf-1966-le-clochard</t>
  </si>
  <si>
    <t>Le Clochard</t>
  </si>
  <si>
    <t>Court-métrage</t>
  </si>
  <si>
    <t>RFA</t>
  </si>
  <si>
    <t>Rainer Werner Fassbinder</t>
  </si>
  <si>
    <t>film-1966-le-clochard</t>
  </si>
  <si>
    <t>rwf-1967-petit-chaos</t>
  </si>
  <si>
    <t>Petit chaos</t>
  </si>
  <si>
    <t>film-1967-petit-chaos</t>
  </si>
  <si>
    <t>rwf-1969-amour-plus-froid</t>
  </si>
  <si>
    <t>L’Amour est plus froid que la mort</t>
  </si>
  <si>
    <t>Liebe ist kälter als der Tod</t>
  </si>
  <si>
    <t>Long métrage</t>
  </si>
  <si>
    <t>Films_images/L_Amour_est_plus_froid_que_la_mort.jpg</t>
  </si>
  <si>
    <t>1969</t>
  </si>
  <si>
    <t>À compléter</t>
  </si>
  <si>
    <t>film-1969-l-amour-est-plus-froid-que-la-mort</t>
  </si>
  <si>
    <t>rwf-1969-katzelmacher</t>
  </si>
  <si>
    <t>Le Bouc</t>
  </si>
  <si>
    <t>Katzelmacher</t>
  </si>
  <si>
    <t>Films_images/Le_Bouc.jpg</t>
  </si>
  <si>
    <t>film-1969-le-bouc</t>
  </si>
  <si>
    <t>rwf-1970-les-dieux-de-la-peste</t>
  </si>
  <si>
    <t>Les Dieux de la peste</t>
  </si>
  <si>
    <t>Films_images/Les_Dieux_de_la_peste.jpg</t>
  </si>
  <si>
    <t>1970</t>
  </si>
  <si>
    <t>film-1970-les-dieux-de-la-peste</t>
  </si>
  <si>
    <t>rwf-1970-pourquoi-m-r-est-il-atteint-de-folie-meurtriere</t>
  </si>
  <si>
    <t>Pourquoi M. R. est-il atteint de folie meurtrière ?</t>
  </si>
  <si>
    <t>Rainer Werner Fassbinder et Michael Fengler</t>
  </si>
  <si>
    <t>film-1970-pourquoi-m-r-est-il-atteint-de-folie-meurtriere</t>
  </si>
  <si>
    <t>rwf-1970-le-soldat-americain</t>
  </si>
  <si>
    <t>Le Soldat américain</t>
  </si>
  <si>
    <t>Films_images/Le_Soldat_americain.jpg</t>
  </si>
  <si>
    <t>film-1970-le-soldat-americain</t>
  </si>
  <si>
    <t>rwf-1970-le-voyage-a-niklashausen</t>
  </si>
  <si>
    <t>Le Voyage à Niklashausen</t>
  </si>
  <si>
    <t>Téléfilm</t>
  </si>
  <si>
    <t>film-1970-le-voyage-a-niklashausen</t>
  </si>
  <si>
    <t>rwf-1970-rio-das-mortes</t>
  </si>
  <si>
    <t>Rio das mortes</t>
  </si>
  <si>
    <t>Film</t>
  </si>
  <si>
    <t>film-1970-rio-das-mortes</t>
  </si>
  <si>
    <t>rwf-1971-whity</t>
  </si>
  <si>
    <t>Whity</t>
  </si>
  <si>
    <t>1971</t>
  </si>
  <si>
    <t>film-1971-whity</t>
  </si>
  <si>
    <t>rwf-1971-prenez-garde-a-la-sainte-putain</t>
  </si>
  <si>
    <t>Prenez garde à la sainte putain</t>
  </si>
  <si>
    <t>Films_images/Prenez_garde_a_la_sainte_putain.jpg</t>
  </si>
  <si>
    <t>film-1971-prenez-garde-a-la-sainte-putain</t>
  </si>
  <si>
    <t>rwf-1971-pionniers-a-ingolstadt</t>
  </si>
  <si>
    <t>Pionniers à Ingolstadt</t>
  </si>
  <si>
    <t>film-1971-pionniers-a-ingolstadt</t>
  </si>
  <si>
    <t>rwf-1971-marchand-quatre-saisons</t>
  </si>
  <si>
    <t>Le Marchand des quatre saisons</t>
  </si>
  <si>
    <t>Händler der vier Jahreszeiten</t>
  </si>
  <si>
    <t>Films_images/Le_Marchand_des_quatre_saisons.jpg</t>
  </si>
  <si>
    <t>1972</t>
  </si>
  <si>
    <t>film-1972-le-marchand-des-quatre-saisons</t>
  </si>
  <si>
    <t>rwf-1972-larmes-petra-von-kant</t>
  </si>
  <si>
    <t>Les Larmes amères de Petra von Kant</t>
  </si>
  <si>
    <t>Die bitteren Tränen der Petra von Kant</t>
  </si>
  <si>
    <t>Films_images/Les_Larmes_ameres_de_Petra_von_Kant.jpg</t>
  </si>
  <si>
    <t>film-1972-les-larmes-ameres-de-petra-von-kant</t>
  </si>
  <si>
    <t>rwf-1972-liberte-a-breme</t>
  </si>
  <si>
    <t>Liberté à Brême</t>
  </si>
  <si>
    <t>film-1972-liberte-a-breme</t>
  </si>
  <si>
    <t>rwf-1972-huit-heures</t>
  </si>
  <si>
    <t>Huit heures ne font pas un jour</t>
  </si>
  <si>
    <t>Acht Stunden sind kein Tag</t>
  </si>
  <si>
    <t>Série télévisée</t>
  </si>
  <si>
    <t>Dietrich Lohmann</t>
  </si>
  <si>
    <t>Marie Anne Gerhardt</t>
  </si>
  <si>
    <t>Kurt Raab</t>
  </si>
  <si>
    <t>WDR</t>
  </si>
  <si>
    <t>Gottfried John : Jochen
Hanna Schygulla : Marion
Luise Ullrich : Grand-mère
Werner Finck : Gregor
Anita Bucher : Käthe
Wolfried Lier : Wolf
Christine Oesterlein : Klara
Renate Roland : Monika
Kurt Raab : Harald
Andrea Schober : Sylvia
Thorsten Massinger : Manni
Irm Hermann : Irmgard Erlkönig
Wolfgang Zerlett : Manfred
Wolfgang Schenck : Franz
Herb Andress : Rüdiger
Rudolf Waldemar Brem : Rolf
Hans Hirschmüller : Jürgen
Peter Gauhe : Ernst
Grigorios Karpidis : Giuseppe
Karl Scheydt : Peter</t>
  </si>
  <si>
    <t>Assistants de réalisation : Renate Leiffer, Eberhard Schubert
Format : 16 mm, couleur
Tournage : 105 jours (avril-août 1972), Cologne et environs de Mönchengladbach
Diffusion initiale : 29 octobre 1972 – 18 mars 1973</t>
  </si>
  <si>
    <t>Feuilleton en cinq épisodes consacré aux amours, aux relations familiales et aux problèmes quotidiens d’un groupe de familles ouvrières. La série suit notamment Jochen et Marion, Grand-mère et Gregor, ainsi que les luttes collectives menées dans l’usine.</t>
  </si>
  <si>
    <t>1971|1972|1973</t>
  </si>
  <si>
    <t>monde ouvrier|famille|travail|autogestion|solidarité|télévision</t>
  </si>
  <si>
    <t>RWF_Notes sur les films.docx</t>
  </si>
  <si>
    <t>Documenté</t>
  </si>
  <si>
    <t>film-1972-huit-heures-ne-font-pas-un-jour</t>
  </si>
  <si>
    <t>rwf-1973-gibier-de-passage</t>
  </si>
  <si>
    <t>Gibier de passage</t>
  </si>
  <si>
    <t>1973</t>
  </si>
  <si>
    <t>film-1973-gibier-de-passage</t>
  </si>
  <si>
    <t>rwf-1973-monde-sur-fil</t>
  </si>
  <si>
    <t>Le Monde sur un fil</t>
  </si>
  <si>
    <t>Welt am Draht</t>
  </si>
  <si>
    <t>Téléfilm en deux parties</t>
  </si>
  <si>
    <t>Rainer Werner Fassbinder, d’après Simulacron 3 de Daniel F. Galouye</t>
  </si>
  <si>
    <t>Diffusion initiale : 14 et 16 octobre 1973
Production télévisuelle de la Westdeutscher Rundfunk (WDR)</t>
  </si>
  <si>
    <t>À l’Institut de cybernétique et des sciences à venir, le Simulacron simule un monde peuplé d’unités humaines. Après la mort mystérieuse du professeur Vollmer et la disparition de Gunther Lause, Fred Stiller enquête. Il découvre progressivement que son propre monde pourrait lui aussi n’être qu’une simulation.</t>
  </si>
  <si>
    <t>Daniel F. Galouye, Simulacron 3</t>
  </si>
  <si>
    <t>Films_images/Le_Monde_sur_un_fil.jpg</t>
  </si>
  <si>
    <t>science-fiction|simulation|réalité virtuelle|identité|cybernétique|télévision</t>
  </si>
  <si>
    <t>Partiellement documenté</t>
  </si>
  <si>
    <t>film-1973-le-monde-sur-un-fil</t>
  </si>
  <si>
    <t>rwf-1974-tous-autres-ali</t>
  </si>
  <si>
    <t>Tous les autres s’appellent Ali</t>
  </si>
  <si>
    <t>Angst essen Seele auf</t>
  </si>
  <si>
    <t>Brigitte Mira : Emmi Kurowski
El Hedi ben Salem : Ali
Barbara Valentin : Barbara
Irm Hermann : Krista
Rainer Werner Fassbinder : Eugen
Karl Scheydt : Albert
Elma Karlowa : Mlle Kargus
Anita Bucher : Mlle Ellis
Gusti Kreissl : Paula
Doris Mattes : Mlle Angermeyer
Margit Symo : Hedwig
Katharina Herberg : fille du bar
Lilo Pempeit : Mlle Munchmeyer
Peter Chatel : Bruno</t>
  </si>
  <si>
    <t>Langues originales : allemand, arabe
Sortie RFA : 5 mars 1974
Sortie États-Unis : 31 octobre 1974</t>
  </si>
  <si>
    <t>Dans l’Allemagne de l’Ouest des années 1970, Emmi, veuve âgée, et Ali, travailleur immigré marocain, tombent amoureux puis se marient. Leur couple affronte le racisme, les préjugés et l’hostilité de l’entourage. Lorsque cette hostilité s’atténue par intérêt, de nouvelles tensions apparaissent au sein du couple.</t>
  </si>
  <si>
    <t>Films_images/Tous_les_autres_s_appellent_Ali.jpg</t>
  </si>
  <si>
    <t>1974</t>
  </si>
  <si>
    <t>racisme|immigration|amour|solitude|classe sociale|Douglas Sirk</t>
  </si>
  <si>
    <t>film-1974-tous-les-autres-s-appellent-ali</t>
  </si>
  <si>
    <t>rwf-1974-effi-briest</t>
  </si>
  <si>
    <t>Effi Briest</t>
  </si>
  <si>
    <t>Fontane Effi Briest</t>
  </si>
  <si>
    <t>Rainer Werner Fassbinder, d’après le roman de Theodor Fontane</t>
  </si>
  <si>
    <t>Jürgen Jürges ;  Dietrich Lohmann</t>
  </si>
  <si>
    <t>Thea Eymèsz</t>
  </si>
  <si>
    <t>Hanna Schygulla : Effi Briest
Wolfgang Schenck : baron Geert von Innstetten
Ulli Lommel : major Crampas
Lilo Pempeit : Louise von Briest
Herbert Steinmetz : M. Briest
Ursula Strätz : Roswitha
Irm Hermann : Johanna
Karlheinz Böhm : conseiller Wüllersdorf
Barbara Lass : la cuisinière polonaise
Hark Bohm : Gieshübler
Rudolf Lenz : conseiller Rummschüttel
Barbara Valentin : Marietta Tripelli
Karl Scheydt : Kruse
Theo Tecklenburg : pasteur Niemeyer
Eva Mattes : Hilda
Andrea Schober : Annie</t>
  </si>
  <si>
    <t>Noir et blanc, 1,37:1, mono
Genre : drame
Sortie : 1974</t>
  </si>
  <si>
    <t>À la fin du XIXe siècle, Effi Briest, dix-sept ans, épouse le baron von Innstetten, ancien prétendant de sa mère. Isolée dans une demeure provinciale et enfermée dans les conventions de son milieu, elle entretient une liaison avec le major Crampas. Des années plus tard, la découverte de leurs lettres déclenche duel, répudiation et exclusion sociale.</t>
  </si>
  <si>
    <t>Theodor Fontane, Effi Briest</t>
  </si>
  <si>
    <t>Films_images/Effi_Briest.jpg</t>
  </si>
  <si>
    <t>adaptation littéraire|mariage|conventions sociales|patriarcat|Theodor Fontane|noir et blanc</t>
  </si>
  <si>
    <t>film-1974-effi-briest</t>
  </si>
  <si>
    <t>rwf-1974-nora-helmer</t>
  </si>
  <si>
    <t>Nora Helmer</t>
  </si>
  <si>
    <t>film-1974-nora-helmer</t>
  </si>
  <si>
    <t>rwf-1974-martha</t>
  </si>
  <si>
    <t>Martha</t>
  </si>
  <si>
    <t>Rainer Werner Fassbinder, d’après Cornell Woolrich</t>
  </si>
  <si>
    <t>Michael Ballhaus</t>
  </si>
  <si>
    <t>Liesgret Schmitt-Klink</t>
  </si>
  <si>
    <t>Peter Märthesheimer</t>
  </si>
  <si>
    <t>Margit Carstensen : Martha Salomon, née Heyer
Karlheinz Böhm : Helmut Salomon
Barbara Valentin : Marianne
Peter Chatel : Kaiser
Kurt Raab : le secrétaire d’ambassade
Karl Scheydt : un convive à la table de mariage
Ingrid Caven : Ilse
El Hedi ben Salem : le Libyen à Rome
Gisela Fackeldey : la mère
Adrian Hoven : le père</t>
  </si>
  <si>
    <t>Format : couleurs, 1,33:1, mono
Date de diffusion : 1974</t>
  </si>
  <si>
    <t>Martha, jeune bibliothécaire, rencontre Helmut Salomon à Rome. Après leur mariage, l’apparence attentionnée de Helmut laisse place à une domination psychologique et physique méthodique. Lorsque Martha tente de fuir, un accident la rend paraplégique et la replace entièrement sous son contrôle.</t>
  </si>
  <si>
    <t>Étude de la médiatisation de l’intime et de la géométrie du pouvoir. Le film associe le mélodrame sirkien à une mise en scène de la claustration : travelling circulaire à 360°, surcadrages, miroirs et obstacles visuels matérialisent le piège conjugal. Le jeu de Margit Carstensen transforme le corps de Martha en lieu d’inscription de la soumission. Cette esthétique préfigure plusieurs motifs de la Trilogie RFA : circularité historique, externalisation des affects et héroïne devenue « femme-image ».</t>
  </si>
  <si>
    <t>Cornell Woolrich, source littéraire adaptée</t>
  </si>
  <si>
    <t>mélodrame|violence conjugale|domination|claustration|Douglas Sirk|Michael Ballhaus</t>
  </si>
  <si>
    <t>film-1974-martha</t>
  </si>
  <si>
    <t>rwf-1975-droit-plus-fort</t>
  </si>
  <si>
    <t>Le Droit du plus fort</t>
  </si>
  <si>
    <t>Faustrecht der Freiheit</t>
  </si>
  <si>
    <t>Rainer Werner Fassbinder et Christian Hohoff</t>
  </si>
  <si>
    <t>Peer Raben</t>
  </si>
  <si>
    <t>Rainer Werner Fassbinder ; City Film ; Tango Film</t>
  </si>
  <si>
    <t>Rainer Werner Fassbinder : Franz Biberkopf, dit Fox
Peter Chatel : Eugen Thiess
Karlheinz Böhm : Max
Adrian Hoven : le père d’Eugen
Ulla Jacobsson : la mère d’Eugen
Harry Baer : Philip
Irm Hermann : Mme Chérie
Brigitte Mira : une commerçante
Rudolf Lenz : l’avocat
Karl Scheydt : Klaus
Hans Zander : Springer
Kurt Raab : Wodka-Peter
Peter Kern : le fleuriste
Ingrid Caven : la chanteuse du bar
Barbara Valentin : la femme de Max
El Hedi ben Salem : l’homme de Marrakech</t>
  </si>
  <si>
    <t>Format : Eastmancolor, 1,66:1, mono
Langues : allemand, français et anglais
Sortie RFA : 6 juin 1975
Sortie France : 17 septembre 1975</t>
  </si>
  <si>
    <t>Fox, ouvrier de fête foraine sans argent, gagne à la loterie. Il tombe amoureux d’Eugen, bourgeois raffiné dont la famille traverse une crise financière. Introduit dans ce milieu, Fox est progressivement dépouillé de son argent, de ses biens et de son identité sociale.</t>
  </si>
  <si>
    <t>Le film articule mélodrame, lutte des classes et exploitation affective. Le gain à la loterie ouvre un cycle provisoire de bonheur qui se referme sur la dépossession et la mort de Fox. La relation amoureuse ne supprime pas les rapports de domination : le capital culturel et les codes bourgeois transforment l’intimité en mécanisme d’exploitation.</t>
  </si>
  <si>
    <t>Films_images/Le_Droit_du_plus_fort.jpg</t>
  </si>
  <si>
    <t>1975</t>
  </si>
  <si>
    <t>homosexualité|classe sociale|argent|exploitation|mélodrame|bourgeoisie</t>
  </si>
  <si>
    <t>film-1975-le-droit-du-plus-fort</t>
  </si>
  <si>
    <t>rwf-1975-maman-kusters</t>
  </si>
  <si>
    <t>Maman Küsters s’en va au ciel</t>
  </si>
  <si>
    <t>Mutter Küsters' Fahrt zum Himmel</t>
  </si>
  <si>
    <t>Rainer Werner Fassbinder, Kurt Raab et Heinrich Zille</t>
  </si>
  <si>
    <t>Filmverlag der Autoren ; Tango Film</t>
  </si>
  <si>
    <t>Brigitte Mira : Emma Küsters
Ingrid Caven : Corinna
Margit Carstensen : Mme Thälmann
Karlheinz Böhm : Thälmann
Irm Hermann : Helene
Gottfried John : Niemeyer
Peter Kern : propriétaire du night-club
Kurt Raab : Gustav
Gustav Holzapfel : Herr Holzapfel
Lilo Pempeit : secrétaire
Peter Chatel : photographe
Vitus Zeplichal : journaliste
Volker Spengler : photographe
Y Sa Lo : terroriste
Armin Meier : Ernst
Matthias Fuchs : Knab</t>
  </si>
  <si>
    <t>Direction artistique : Ruediger Schmid
Assistant réalisateur : Renate Leiffer
Maquillage : Jo Braun
Son : Wolfgang Hoffmann
Format : couleurs, 1,37:1, mono
Sortie RFA : 7 juillet 1975
Sortie France : 19 janvier 1977</t>
  </si>
  <si>
    <t>Après que son mari ouvrier a tué son patron puis s’est suicidé, Emma Küsters cherche à défendre sa mémoire contre la presse à sensation. Délaissée par ses enfants, elle se rapproche d’abord de militants communistes, puis d’un groupe anarchiste qui transforme son combat en action politique.</t>
  </si>
  <si>
    <t>La fin allemande remplace le dénouement spectaculaire par des cartons reprenant les dernières pages du scénario. Ce refus du pathos produit une distanciation brechtienne : le personnage disparaît de l’image et devient littéralement un objet de discours et de récupération politique. Une fin alternative, tournée pour le marché américain, offre au contraire une consolation volontairement artificielle.</t>
  </si>
  <si>
    <t>Mutter Krausens Fahrt ins Glück (1929), film-source mentionné</t>
  </si>
  <si>
    <t>Films_images/Maman_Kusters_s_en_va_au_ciel.jpg</t>
  </si>
  <si>
    <t>presse|classe ouvrière|communisme|anarchisme|distanciation|Brecht|RFA</t>
  </si>
  <si>
    <t>film-1975-maman-kusters-s-en-va-au-ciel</t>
  </si>
  <si>
    <t>rwf-1975-comme-un-oiseau-sur-le-fil</t>
  </si>
  <si>
    <t>Comme un oiseau sur le fil</t>
  </si>
  <si>
    <t>film-1975-comme-un-oiseau-sur-le-fil</t>
  </si>
  <si>
    <t>rwf-1975-peur-de-la-peur</t>
  </si>
  <si>
    <t>Peur de la peur</t>
  </si>
  <si>
    <t>film-1975-peur-de-la-peur</t>
  </si>
  <si>
    <t>rwf-1976-lombre-des-anges</t>
  </si>
  <si>
    <t>L’Ombre des anges</t>
  </si>
  <si>
    <t>Films_images/L_Ombre_des_anges.jpg</t>
  </si>
  <si>
    <t>1976</t>
  </si>
  <si>
    <t>film-1976-l-ombre-des-anges</t>
  </si>
  <si>
    <t>rwf-1976-roti-satan</t>
  </si>
  <si>
    <t>Le Rôti de Satan</t>
  </si>
  <si>
    <t>Satansbraten</t>
  </si>
  <si>
    <t>Michael Ballhaus et Jürgen Jürges</t>
  </si>
  <si>
    <t>Hanns Eckelkamp et Michael Fengler</t>
  </si>
  <si>
    <t>Kurt Raab : Walter Kranz
Margit Carstensen : Andrée
Helen Vita : Luise Kranz
Volker Spengler : Ernst Kranz
Ingrid Caven : Lisa
Marquard Bohm : le mari de Lilly
Y Sa Lo : Lana von Meyerbeer
Ulli Lommel : inspecteur Lauf
Brigitte Mira : mère de Walter
Armin Meier : un prostitué
Vitus Zeplichal : Urs
Dieter Schidor : Willy
Peter Chatel : Eugen
Adrian Hoven : le médecin</t>
  </si>
  <si>
    <t>Format : couleurs, 1,37:1, mono
Genre : comédie noire
Sortie : 1976</t>
  </si>
  <si>
    <t>Walter Kranz, poète autrefois révolutionnaire, est en panne d’inspiration et d’argent. Convaincu d’être la réincarnation du poète Stefan George, il multiplie mensonges, violences, plagiats et manipulations dans une quête grotesque de reconnaissance et de financement.</t>
  </si>
  <si>
    <t>L’exergue est tirée d’Héliogabale ou l’anarchiste couronné d’Antonin Artaud. Le film place la crise du sujet créateur sous le signe de la cruauté, du grotesque et de la défiguration. Walter Kranz préfigure le naufrage identitaire de Despair : la folie créatrice devient une forme de désintégration du sujet.</t>
  </si>
  <si>
    <t>Antonin Artaud, Héliogabale ou l’anarchiste couronné (1934)
Stefan George
Thomas Elsaesser, analyses sur Fassbinder et Despair</t>
  </si>
  <si>
    <t>Films_images/Le_Roti_de_Satan.jpg</t>
  </si>
  <si>
    <t>artiste|folie|grotesque|Antonin Artaud|Stefan George|création|comédie noire</t>
  </si>
  <si>
    <t>film-1976-le-roti-de-satan</t>
  </si>
  <si>
    <t>rwf-1976-roulette-chinoise</t>
  </si>
  <si>
    <t>Roulette chinoise</t>
  </si>
  <si>
    <t>Chinesisches Roulette</t>
  </si>
  <si>
    <t>RFA / France</t>
  </si>
  <si>
    <t>Ila von Hasperg</t>
  </si>
  <si>
    <t>Michael Fengler ; Barbet Schroeder</t>
  </si>
  <si>
    <t>Anna Karina : Irene Cartis
Margit Carstensen : Ariane Christ
Brigitte Mira : Kast
Ulli Lommel : Kolbe
Alexander Allerson : Gerhard Christ
Volker Spengler : Gabriel Kast
Andrea Schober : Angela Christ
Macha Méril : Traunitz, la gouvernante muette
Armin Meier : le pompiste
Roland Henschke : le mendiant</t>
  </si>
  <si>
    <t>Format : couleurs, 1,66:1, mono
Genre : drame, thriller
Sortie : 1976</t>
  </si>
  <si>
    <t>Un riche industriel et sa femme partent séparément passer le week-end avec leurs amants dans leur château de campagne, chacun croyant l’autre absent. La rencontre imprévue des deux couples est bientôt aggravée par l’arrivée de leur fille Angela, handicapée, et de sa gouvernante. Angela organise une « roulette chinoise » qui transforme le jeu mondain en règlement de comptes familial.</t>
  </si>
  <si>
    <t>Le château devient un huis clos où vitrines, miroirs, meubles transparents, surcadrages et travellings circulaires enferment les personnages dans un réseau de regards et recomposent sans cesse les alliances. Angela utilise le jeu pour rendre visibles les mensonges, la haine familiale et la violence exercée sur l’enfant handicapée. Les allusions au IIIe Reich font affleurer, sous la respectabilité bourgeoise, une mémoire refoulée dont la violence éclate sans produire de résolution.</t>
  </si>
  <si>
    <t>Films_images/Roulette_chinoise.jpg</t>
  </si>
  <si>
    <t>famille|adultère|huis clos|jeu|cruauté|handicap|nazisme|mémoire|miroirs|surcadrage</t>
  </si>
  <si>
    <t>film-1976-roulette-chinoise</t>
  </si>
  <si>
    <t>rwf-1976-je-veux-seulement-que-vous-maimiez</t>
  </si>
  <si>
    <t>Je veux seulement que vous m’aimiez</t>
  </si>
  <si>
    <t>Ich will doch nur, daß ihr mich liebt</t>
  </si>
  <si>
    <t>Bavaria Atelier GmbH pour la WDR</t>
  </si>
  <si>
    <t>Vitus Zeplichal : Peter
Elke Aberle : Erika
Alexander Allerson : le père
Erni Mangold : la mère
Johanna Hofer : la grand-mère
Katharina Buchhammer : Ulla
Wolfgang Hess : le chef de chantier
Armin Meier : le contremaître
Erika Runge : la psychologue
Ulrich Radke : le père d’Erika
Annemarie Wendl : la mère d’Erika
Janos Gönczöl : le tenancier
Edith Volkmann : la tenancière
Robert Naegele : l’huissier
Axel Ganz : le concierge
Inge Schulz : Mme Emmerich
Heinz H. Bernstein : le vendeur de meubles
Helga Bender : la vendeuse dans la boutique
Adi Gruber : l’employé des postes
Ingrid Caven : la vendeuse de machines à tricoter
Sonja Neudorres : la bijoutière
Reinhard Brex : l’entrepreneur
Lilo Pempeit : la dame à la poste</t>
  </si>
  <si>
    <t>Adaptation : d’après une histoire tirée de Lebenslänglich — Protokolle aus der Haft de Klaus Antes et Christiane Ehrhardt
Assistants à la réalisation : Renate Leiffer ; Christian Hohoff
Production exécutive : Peter Märthesheimer
Son : Karsten Ullrich
Format : 16 mm, couleur
Genre : drame
Tournage : 25 jours, novembre-décembre 1975, Munich et environs
Diffusion : 23 mars 1976 (ARD)</t>
  </si>
  <si>
    <t>Peter Trepper, condamné à dix ans de prison pour homicide, raconte son histoire à une psychologue. Privé d’affection par ses parents, il cherche à gagner l’amour de son épouse Erika par son travail, les cadeaux et une consommation à crédit qui l’endette toujours davantage. Épuisé par le surtravail et incapable de demander de l’aide, il finit par tuer un cafetier qui maltraite un jeune homme.</t>
  </si>
  <si>
    <t>Peter tente d’acheter par son travail et ses cadeaux une affection dont il a été privé : chez Fassbinder, l’argent, les objets et les sentiments sont incommensurables. L’engrenage du crédit et du surtravail inscrit sa détresse dans le « miracle économique » ouest-allemand, construit au prix des relations humaines. Les retours en arrière, les brefs aperçus anticipés, les fleurs et les miroirs empruntent au mélodrame tout en révélant les origines quotidiennes de la violence et de la folie.</t>
  </si>
  <si>
    <t>Films_images/Je_veux_seulement_que_vous_m_aimiez.jpg</t>
  </si>
  <si>
    <t>amour|famille|travail|argent|crédit|consommation|surtravail|violence|folie|mélodrame|fleurs|miroirs</t>
  </si>
  <si>
    <t>film-1976-je-veux-seulement-que-vous-m-aimiez</t>
  </si>
  <si>
    <t>rwf-1977-femmes-a-new-york</t>
  </si>
  <si>
    <t>Femmes à New York</t>
  </si>
  <si>
    <t>1977</t>
  </si>
  <si>
    <t>film-1977-femmes-a-new-york</t>
  </si>
  <si>
    <t>rwf-1977-la-femme-du-chef-de-gare</t>
  </si>
  <si>
    <t>La Femme du chef de gare</t>
  </si>
  <si>
    <t>film-1977-la-femme-du-chef-de-gare</t>
  </si>
  <si>
    <t>rwf-1978-l-allemagne-en-automne</t>
  </si>
  <si>
    <t>L’Allemagne en automne</t>
  </si>
  <si>
    <t>Film collectif</t>
  </si>
  <si>
    <t>Film collectif : Alf Brustellin ; Bernhard Sinkel ; Rainer Werner Fassbinder ; Alexander Kluge ; Maximiliane Mainka ; Edgar Reitz ; Beate Mainka-Jellinghaus ; Peter Schubert ; Hans Peter Cloos ; Katja Rupé ; Volker Schlöndorff
Format : 1,66:1, mono
Genre : drame, documentaire
Sortie : mars 1978</t>
  </si>
  <si>
    <t>Premier film consacré à la Fraction armée rouge, L’Allemagne en automne réunit plusieurs cinéastes du Nouveau cinéma allemand. Dans son segment autofictionnel, Fassbinder met en scène son travail, son couple et sa mère pour confronter l’artiste et la société allemande aux événements de l’automne 1977, à la question de l’engagement et au poids de la mémoire historique.</t>
  </si>
  <si>
    <t>Fassbinder expose la contradiction entre son analyse politique et un comportement intime ambivalent, violent et irrationnel, notamment dans sa relation avec Armin Meier. Armin et la mère du cinéaste incarnent deux formes de « bon sens » allemand où la défense de la démocratie coexiste avec l’acceptation de la violence policière et le désir d’autorité. Le huis clos obscur, les cadres serrés et les surcadrages composent ainsi l’autoportrait crépusculaire d’un artiste impuissant, où l’intime, le politique et la création demeurent indissociables.</t>
  </si>
  <si>
    <t>Films_images/L_Allemagne_en_automne.jpg</t>
  </si>
  <si>
    <t>1978</t>
  </si>
  <si>
    <t>Fraction armée rouge|terrorisme|autofiction|engagement|démocratie|autorité|mémoire|couple|autoportrait|intime|politique|huis clos</t>
  </si>
  <si>
    <t>film-1978-l-allemagne-en-automne</t>
  </si>
  <si>
    <t>rwf-1978-despair</t>
  </si>
  <si>
    <t>Despair</t>
  </si>
  <si>
    <t>Despair – Eine Reise ins Licht</t>
  </si>
  <si>
    <t>Tom Stoppard, d’après La Méprise de Vladimir Nabokov</t>
  </si>
  <si>
    <t>Dirk Bogarde : Hermann Hermann
Andréa Ferréol : Lydia
Klaus Löwitsch : Felix Weber
Volker Spengler : Ardalion
Peter Kern : Müller
Alexander Allerson : Mayer
Gottfried John : Perebrodov
Hark Bohm : le docteur
Bernhard Wicki : Orlovius
Isolde Barth
Ingrid Caven : la réceptionniste de l’hôtel
Adrian Hoven : l’inspecteur Schelling
Roger Fritz : l’inspecteur Braun
Voli Geiller : Madame
Hans Zander : le frère de Müller</t>
  </si>
  <si>
    <t>Langue : anglais
Format : couleur
Sortie : 19 mai 1978</t>
  </si>
  <si>
    <t>Dans l’Allemagne des années 1930, Hermann Hermann, magnat du chocolat et émigré russe, s’enfonce lentement dans la folie.</t>
  </si>
  <si>
    <t>En adaptant Nabokov, Fassbinder transforme le récit du double en crise de l’identification : vitres, miroirs, zooms et décalages spatiaux rendent la perception instable et empêchent Hermann de s’inscrire dans un espace classique. Le récit labyrinthique repose sur des répétitions, des échos et des identités flottantes, jusqu’à la rupture finale de la fiction face à la caméra. La folie du bourgeois, l’impuissance sexuelle et le rêve de fusion se nouent à l’ascension du nazisme et à une lecture du fascisme comme forme extrême du capitalisme de monopole.</t>
  </si>
  <si>
    <t>Films_images/Despair.jpg</t>
  </si>
  <si>
    <t>double|folie|identité|perception|labyrinthe|miroirs|nazisme|capitalisme|homosexualité|adaptation|Nabokov|cinéma</t>
  </si>
  <si>
    <t>film-1978-despair</t>
  </si>
  <si>
    <t>rwf-1978-l-annee-des-treize-lunes</t>
  </si>
  <si>
    <t>L’Année des treize lunes</t>
  </si>
  <si>
    <t>Films_images/L_Annee_des_treize_lunes.jpg</t>
  </si>
  <si>
    <t>film-1978-l-annee-des-treize-lunes</t>
  </si>
  <si>
    <t>rwf-1978-maria-braun</t>
  </si>
  <si>
    <t>Le Mariage de Maria Braun</t>
  </si>
  <si>
    <t>Die Ehe der Maria Braun</t>
  </si>
  <si>
    <t>Films_images/Le_Mariage_de_Maria_Braun.jpg</t>
  </si>
  <si>
    <t>film-1978-le-mariage-de-maria-braun</t>
  </si>
  <si>
    <t>rwf-1979-la-troisieme-generation</t>
  </si>
  <si>
    <t>La Troisième génération</t>
  </si>
  <si>
    <t>Films_images/La_Troisieme_generation.jpg</t>
  </si>
  <si>
    <t>1979</t>
  </si>
  <si>
    <t>film-1979-la-troisieme-generation</t>
  </si>
  <si>
    <t>rwf-1980-berlin-alexanderplatz</t>
  </si>
  <si>
    <t>Berlin Alexanderplatz</t>
  </si>
  <si>
    <t>Films_images/Berlin_Alexanderplatz.jpg</t>
  </si>
  <si>
    <t>1980</t>
  </si>
  <si>
    <t>film-1980-berlin-alexanderplatz</t>
  </si>
  <si>
    <t>rwf-1981-lili-marleen</t>
  </si>
  <si>
    <t>Lili Marleen</t>
  </si>
  <si>
    <t>Films_images/Lili_Marleen.jpg</t>
  </si>
  <si>
    <t>1981</t>
  </si>
  <si>
    <t>film-1981-lili-marleen</t>
  </si>
  <si>
    <t>rwf-1981-theatre-en-transe</t>
  </si>
  <si>
    <t>Théâtre en transe</t>
  </si>
  <si>
    <t>Documentaire</t>
  </si>
  <si>
    <t>film-1981-theatre-en-transe</t>
  </si>
  <si>
    <t>rwf-1981-lola-une-femme-allemande</t>
  </si>
  <si>
    <t>Lola, une femme allemande</t>
  </si>
  <si>
    <t>Films_images/Lola_une_femme_allemande.jpg</t>
  </si>
  <si>
    <t>film-1981-lola-une-femme-allemande</t>
  </si>
  <si>
    <t>rwf-1982-veronika-voss</t>
  </si>
  <si>
    <t>Le Secret de Veronika Voss</t>
  </si>
  <si>
    <t>Die Sehnsucht der Veronika Voss</t>
  </si>
  <si>
    <t>Films_images/Le_Secret_de_Veronika_Voss.jpg</t>
  </si>
  <si>
    <t>film-1981-le-secret-de-veronika-voss</t>
  </si>
  <si>
    <t>rwf-1982-querelle</t>
  </si>
  <si>
    <t>Querelle</t>
  </si>
  <si>
    <t>Films_images/Querelle.jpg</t>
  </si>
  <si>
    <t>1982</t>
  </si>
  <si>
    <t>film-1982-querelle</t>
  </si>
  <si>
    <t>Types</t>
  </si>
  <si>
    <t>Statuts</t>
  </si>
  <si>
    <t>Court métrage</t>
  </si>
  <si>
    <t>En cours</t>
  </si>
  <si>
    <t>Relu</t>
  </si>
  <si>
    <t>Publié</t>
  </si>
  <si>
    <t>Épisode télévisé</t>
  </si>
  <si>
    <t>Pièce filmée</t>
  </si>
  <si>
    <t>Autre</t>
  </si>
  <si>
    <t>RWF_Films.xlsx — mode d’emploi</t>
  </si>
  <si>
    <t>Principe</t>
  </si>
  <si>
    <t>Une ligne correspond à un film, téléfilm, série ou autre œuvre audiovisuelle.</t>
  </si>
  <si>
    <t>Nom du fichier</t>
  </si>
  <si>
    <t>Conserver exactement le nom RWF_Films.xlsx et placer le fichier à la racine du dépôt GitHub.</t>
  </si>
  <si>
    <t>Affiches</t>
  </si>
  <si>
    <t>Placer les images dans le dossier Films_images. Dans la colonne Affiche, saisir seulement le nom du fichier, par exemple maria_braun.jpg. Une URL complète reste possible.</t>
  </si>
  <si>
    <t>Saisir une URL complète ou un nom de fichier présent dans Frise_extraits. Plusieurs extraits peuvent être séparés par |.</t>
  </si>
  <si>
    <t>Champs multiples</t>
  </si>
  <si>
    <t>Séparer plusieurs noms, références ou années par le caractère |. Les retours à la ligne sont également acceptés.</t>
  </si>
  <si>
    <t>Indiquer les identifiants d’années de la frise, par exemple 1978|1979. Un bouton permettra d’ouvrir directement l’année correspondante.</t>
  </si>
  <si>
    <t>Saisir une personne par ligne au format Nom canonique : rôle.</t>
  </si>
  <si>
    <t>Pour les fonctions non couvertes par une colonne spécialisée, saisir Fonction : noms, avec une fonction par ligne.</t>
  </si>
  <si>
    <t>Une référence par ligne ou séparée par |. Ajouter une URL dans la colonne Sources lorsqu’elle existe.</t>
  </si>
  <si>
    <t>Identifiant stable, unique et sans espaces. Ne pas le modifier une fois les liens créés.</t>
  </si>
  <si>
    <t>À compléter, En cours, Relu ou Publié. Ce champ sert au suivi éditorial et n’est pas affiché dans la fiche publique.</t>
  </si>
  <si>
    <t>Source de l’enrichissement</t>
  </si>
  <si>
    <t>RWF_Notes sur les films.docx. Les sections intitulées « Notes » n’ont pas été reprises.</t>
  </si>
  <si>
    <t>Contenu importé</t>
  </si>
  <si>
    <t>Synopsis, fiches techniques, distributions et analyses explicitement séparées des sections « Notes ».</t>
  </si>
  <si>
    <t>Liaison automatique</t>
  </si>
  <si>
    <t>Les colonnes AC et AD sont calculées automatiquement à partir de la feuille Référentiel entourage.</t>
  </si>
  <si>
    <t>Référentiel entourage</t>
  </si>
  <si>
    <t>Ne pas modifier un ID existant. Ajouter une personne dans cette feuille si une nouvelle fiche Entourage est créée.</t>
  </si>
  <si>
    <t>Saisir une personne par ligne au format Nom canonique : rôle. L’ID correspondant apparaît automatiquement en AC.</t>
  </si>
  <si>
    <t>AD recherche les personnes présentes dans Réalisation, Scénario, Image, Montage, Décors, Musique, Production et Équipe technique.</t>
  </si>
  <si>
    <t>Noms sans fiche</t>
  </si>
  <si>
    <t>Une personne absente du référentiel reste sans ID : aucun identifiant n’est inventé.</t>
  </si>
  <si>
    <t>pers-harry-baer</t>
  </si>
  <si>
    <t>Harry Baer</t>
  </si>
  <si>
    <t>Baer</t>
  </si>
  <si>
    <t>Harry</t>
  </si>
  <si>
    <t>Noyau théâtral / Factory</t>
  </si>
  <si>
    <t>Acteur, assistant, production</t>
  </si>
  <si>
    <t>Jeu, soutien de production, présence interne</t>
  </si>
  <si>
    <t>Proche compagnon de travail et membre du cercle masculin du collectif</t>
  </si>
  <si>
    <t>Le Bouc; Les Dieux de la peste; Pourquoi M. R. est-il atteint de folie meurtrière ?; Pionniers à Ingolstadt; Whity; Le Marchand des quatre saisons; Despair; La Troisième génération; Le Secret de Veronika Voss; Lili Marleen; Lola, une femme allemande</t>
  </si>
  <si>
    <t>Témoin de l’intérieur du collectif, relais organisationnel</t>
  </si>
  <si>
    <t>Baer.jpg</t>
  </si>
  <si>
    <t>pers-michael-ballhaus</t>
  </si>
  <si>
    <t>Ballhaus</t>
  </si>
  <si>
    <t>Michael</t>
  </si>
  <si>
    <t>Factory / période tardive</t>
  </si>
  <si>
    <t>Directeur de la photographie</t>
  </si>
  <si>
    <t>Image, mouvement de caméra, style visuel</t>
  </si>
  <si>
    <t>Collaborateur artistique majeur, mais pas figure de la vie intime au sens fort du premier cercle</t>
  </si>
  <si>
    <t>Prenez garde à la sainte putain; Whity; Le Monde sur un fil; Martha; Tous les autres s’appellent Ali; Le Droit du plus fort; Maman Küsters s’en va au ciel; Je veux seulement que vous m’aimiez; Le Rôti de Satan; Roulette chinoise; Despair; L’Allemagne en automne; Le Mariage de Maria Braun; Lili Marleen</t>
  </si>
  <si>
    <t>film-1971-prenez-garde-a-la-sainte-putain; film-1971-whity; film-1973-le-monde-sur-un-fil; film-1974-martha; film-1974-tous-les-autres-s-appellent-ali; film-1975-le-droit-du-plus-fort; film-1975-maman-kusters-s-en-va-au-ciel; film-1976-je-veux-seulement-que-vous-m-aimiez; film-1976-le-roti-de-satan; film-1976-roulette-chinoise; film-1978-despair; film-1978-l-allemagne-en-automne; film-1979-le-mariage-de-maria-braun; film-1981-lili-marleen</t>
  </si>
  <si>
    <t>Formation du grand style visuel tardif</t>
  </si>
  <si>
    <t>Ballhaus.jpg</t>
  </si>
  <si>
    <t>pers-el-hedi-ben-salem</t>
  </si>
  <si>
    <t>El Hedi ben Salem</t>
  </si>
  <si>
    <t>Ben Salem</t>
  </si>
  <si>
    <t>El Hedi</t>
  </si>
  <si>
    <t>Période centrale</t>
  </si>
  <si>
    <t>Acteur, partenaire</t>
  </si>
  <si>
    <t>Jeu, présence incarnée, dimension autobiographique</t>
  </si>
  <si>
    <t>Partenaire intime de Fassbinder au moment de Angst essen Seele auf</t>
  </si>
  <si>
    <t>Le Marchand des quatre saisons; Le Monde sur un fil; Martha; Tous les autres s’appellent Ali; Le Droit du plus fort</t>
  </si>
  <si>
    <t>film-1972-le-marchand-des-quatre-saisons; film-1973-le-monde-sur-un-fil; film-1974-martha; film-1974-tous-les-autres-s-appellent-ali; film-1975-le-droit-du-plus-fort</t>
  </si>
  <si>
    <t>Figure de l’altérité racisée et du désir</t>
  </si>
  <si>
    <t>Ben_salem.jpg</t>
  </si>
  <si>
    <t>pers-karlheinz-bohm</t>
  </si>
  <si>
    <t>Karlheinz Böhm</t>
  </si>
  <si>
    <t>Böhm</t>
  </si>
  <si>
    <t>Karlheinz</t>
  </si>
  <si>
    <t>Acteur</t>
  </si>
  <si>
    <t>Jeu, contre-emploi :
Sissi et Le Voyeur</t>
  </si>
  <si>
    <t>Pas lié à l’intimité du groupe ; figure de prestige mobilisé pour des rôles de bourgeoisie ou d’autorité</t>
  </si>
  <si>
    <t>Effi Briest; Martha; Le Droit du plus fort; Maman Küsters s’en va au ciel</t>
  </si>
  <si>
    <t>film-1974-effi-briest; film-1974-martha; film-1975-le-droit-du-plus-fort; film-1975-maman-kusters-s-en-va-au-ciel</t>
  </si>
  <si>
    <t>Représentation des masculinités bourgeoises ou autoritaires</t>
  </si>
  <si>
    <t>Bohm.jpg</t>
  </si>
  <si>
    <t>pers-margit-carstensen</t>
  </si>
  <si>
    <t>Margit Carstensen</t>
  </si>
  <si>
    <t>Carstensen</t>
  </si>
  <si>
    <t>Margit</t>
  </si>
  <si>
    <t>Factory</t>
  </si>
  <si>
    <t>Actrice</t>
  </si>
  <si>
    <t>Jeu, intensité dramatique, rapport de pouvoir</t>
  </si>
  <si>
    <t>Proche du groupe, associée à l’univers affectif et conflictuel du collectif</t>
  </si>
  <si>
    <t>Les Larmes amères de Petra von Kant; Martha; Maman Küsters s’en va au ciel; Peur de la peur; Le Rôti de Satan; Roulette chinoise; La Troisième génération</t>
  </si>
  <si>
    <t>film-1972-les-larmes-ameres-de-petra-von-kant; film-1974-martha; film-1975-maman-kusters-s-en-va-au-ciel; film-1975-peur-de-la-peur; film-1976-le-roti-de-satan; film-1976-roulette-chinoise; film-1979-la-troisieme-generation</t>
  </si>
  <si>
    <t>Grande figure du conflit conjugal, social et psychique</t>
  </si>
  <si>
    <t>Carstensen.jpg</t>
  </si>
  <si>
    <t>pers-ingrid-caven</t>
  </si>
  <si>
    <t>Ingrid Caven</t>
  </si>
  <si>
    <t>Caven</t>
  </si>
  <si>
    <t>Ingrid</t>
  </si>
  <si>
    <t>Actrice, chanteuse</t>
  </si>
  <si>
    <t>Jeu, performance, chanson, scène</t>
  </si>
  <si>
    <t>Figure importante du cercle initial, liée au théâtre, à la scène et à la sphère intime du milieu Fassbinder, épouse de RWF</t>
  </si>
  <si>
    <t>L’Amour est plus froid que la mort; Le Soldat américain; Les Dieux de la peste; Pourquoi M. R. est-il atteint de folie meurtrière ?; Le Marchand des quatre saisons; Le Monde sur un fil; Tous les autres s’appellent Ali; Le Droit du plus fort; Maman Küsters s’en va au ciel; Le Rôti de Satan; Despair; L’Année des treize lunes</t>
  </si>
  <si>
    <t>film-1969-l-amour-est-plus-froid-que-la-mort; film-1970-le-soldat-americain; film-1970-les-dieux-de-la-peste; film-1970-pourquoi-m-r-est-il-atteint-de-folie-meurtriere; film-1972-le-marchand-des-quatre-saisons; film-1973-le-monde-sur-un-fil; film-1974-tous-les-autres-s-appellent-ali; film-1975-le-droit-du-plus-fort; film-1975-maman-kusters-s-en-va-au-ciel; film-1976-le-roti-de-satan; film-1978-despair; film-1978-l-annee-des-treize-lunes</t>
  </si>
  <si>
    <t>Articulation entre théâtre, chanson et cinéma</t>
  </si>
  <si>
    <t>Caven.jpg</t>
  </si>
  <si>
    <t>pers-peter-chatel</t>
  </si>
  <si>
    <t>Peter Chatel</t>
  </si>
  <si>
    <t>Chatel</t>
  </si>
  <si>
    <t>Peter</t>
  </si>
  <si>
    <t>Factory / période centrale</t>
  </si>
  <si>
    <t>Jeu, théâtre filmé, relation de pouvoir</t>
  </si>
  <si>
    <t>Proche du milieu artistique, sans statut de relation intime centrale comparable aux membres du noyau fondateur</t>
  </si>
  <si>
    <t>Le Marchand des quatre saisons; Le Monde sur un fil; Martha; Le Droit du plus fort; Maman Küsters s’en va au ciel; Le Rôti de Satan; Lili Marleen</t>
  </si>
  <si>
    <t>film-1972-le-marchand-des-quatre-saisons; film-1973-le-monde-sur-un-fil; film-1974-martha; film-1975-le-droit-du-plus-fort; film-1975-maman-kusters-s-en-va-au-ciel; film-1976-le-roti-de-satan; film-1981-lili-marleen</t>
  </si>
  <si>
    <t>Corps masculin ambigu, souvent lié à la violence sociale</t>
  </si>
  <si>
    <t>Chatel.jpg</t>
  </si>
  <si>
    <t>pers-lilo-pempeit</t>
  </si>
  <si>
    <t>Lilo Pempeit</t>
  </si>
  <si>
    <t>Eder (Pempeit)</t>
  </si>
  <si>
    <t>Liselotte</t>
  </si>
  <si>
    <t>Actrice
Administratrice</t>
  </si>
  <si>
    <t>Mère de RWF</t>
  </si>
  <si>
    <t>Les Dieux de la peste; Pourquoi M. R. est-il atteint de folie meurtrière ?; Le Marchand des quatre saisons; Effi Briest; Martha; Tous les autres s’appellent Ali; Maman Küsters s’en va au ciel; Peur de la peur; La Femme du chef de gare; Despair; La Troisième génération; Le Mariage de Maria Braun; Le Secret de Veronika Voss; Lili Marleen</t>
  </si>
  <si>
    <t>film-1970-les-dieux-de-la-peste; film-1970-pourquoi-m-r-est-il-atteint-de-folie-meurtriere; film-1972-le-marchand-des-quatre-saisons; film-1974-effi-briest; film-1974-martha; film-1974-tous-les-autres-s-appellent-ali; film-1975-maman-kusters-s-en-va-au-ciel; film-1975-peur-de-la-peur; film-1977-la-femme-du-chef-de-gare; film-1978-despair; film-1979-la-troisieme-generation; film-1979-le-mariage-de-maria-braun; film-1981-le-secret-de-veronika-voss; film-1981-lili-marleen</t>
  </si>
  <si>
    <t>Le Petit Chaos</t>
  </si>
  <si>
    <t>Petits rôles et personnages antipathiques le plus souvent</t>
  </si>
  <si>
    <t>Eder.jpg</t>
  </si>
  <si>
    <t>pers-gottfried-john</t>
  </si>
  <si>
    <t>Gottfried John</t>
  </si>
  <si>
    <t>Gottfried</t>
  </si>
  <si>
    <t>John</t>
  </si>
  <si>
    <t>Rôles ambigus : méchant absolu
(James Bond !)</t>
  </si>
  <si>
    <t>Huit heures ne font pas un jour; Maman Küsters s’en va au ciel; Despair; L’Année des treize lunes; Le Mariage de Maria Braun; Berlin Alexanderplatz; Le Secret de Veronika Voss; Lili Marleen; Lola, une femme allemande</t>
  </si>
  <si>
    <t>film-1972-huit-heures-ne-font-pas-un-jour; film-1975-maman-kusters-s-en-va-au-ciel; film-1978-despair; film-1978-l-annee-des-treize-lunes; film-1979-le-mariage-de-maria-braun; film-1980-berlin-alexanderplatz; film-1981-le-secret-de-veronika-voss; film-1981-lili-marleen; film-1981-lola-une-femme-allemande</t>
  </si>
  <si>
    <t>Fascination du méchant, journaliste, Reinhold</t>
  </si>
  <si>
    <t>Gottfried.jpg</t>
  </si>
  <si>
    <t>pers-irm-hermann</t>
  </si>
  <si>
    <t>Irm Hermann</t>
  </si>
  <si>
    <t>Hermann</t>
  </si>
  <si>
    <t>Jeu, répétition de rôle, tension sociale</t>
  </si>
  <si>
    <t>Membre du cercle intime de travail, présence durable du premier collectif, associée à la sphère domestique et quotidienne du groupe</t>
  </si>
  <si>
    <t>L’Amour est plus froid que la mort; Le Bouc; Les Dieux de la peste; Le Marchand des quatre saisons; Les Larmes amères de Petra von Kant; Effi Briest; Nora Helmer; Tous les autres s’appellent Ali; Le Droit du plus fort; Maman Küsters s’en va au ciel; Lili Marleen</t>
  </si>
  <si>
    <t>film-1969-l-amour-est-plus-froid-que-la-mort; film-1969-le-bouc; film-1970-les-dieux-de-la-peste; film-1972-le-marchand-des-quatre-saisons; film-1972-les-larmes-ameres-de-petra-von-kant; film-1974-effi-briest; film-1974-nora-helmer; film-1974-tous-les-autres-s-appellent-ali; film-1975-le-droit-du-plus-fort; film-1975-maman-kusters-s-en-va-au-ciel; film-1981-lili-marleen</t>
  </si>
  <si>
    <t>Corps de la frustration sociale, de l'aliénation et du domestique</t>
  </si>
  <si>
    <t>Hermann.jpg</t>
  </si>
  <si>
    <t>pers-gunther-kaufmann</t>
  </si>
  <si>
    <t>Günther Kaufmann</t>
  </si>
  <si>
    <t>Kaufmann</t>
  </si>
  <si>
    <t>Günther</t>
  </si>
  <si>
    <t>Jeu, masculinité, présence marginale</t>
  </si>
  <si>
    <t>Présence récurrente du cercle de travail, au croisement du professionnel et du relationnel</t>
  </si>
  <si>
    <t>Les Dieux de la peste; Whity; L’Année des treize lunes; La Troisième génération; Le Mariage de Maria Braun; Berlin Alexanderplatz; Le Secret de Veronika Voss; Querelle</t>
  </si>
  <si>
    <t>film-1970-les-dieux-de-la-peste; film-1971-whity; film-1978-l-annee-des-treize-lunes; film-1979-la-troisieme-generation; film-1979-le-mariage-de-maria-braun; film-1980-berlin-alexanderplatz; film-1981-le-secret-de-veronika-voss; film-1982-querelle</t>
  </si>
  <si>
    <t>Incarnation d’une virilité blessée, souvent périphérique</t>
  </si>
  <si>
    <t>Kaufmann.jpg</t>
  </si>
  <si>
    <t>pers-ulli-lommel</t>
  </si>
  <si>
    <t>Ulli Lommel</t>
  </si>
  <si>
    <t>Lommel</t>
  </si>
  <si>
    <t>Ulli</t>
  </si>
  <si>
    <t>Acteur
Producteur,
Collaborateur technique</t>
  </si>
  <si>
    <t>L’Amour est plus froid que la mort; Le Soldat américain; Les Dieux de la peste; Prenez garde à la sainte putain; Whity; Effi Briest; Le Rôti de Satan; Roulette chinoise; Despair</t>
  </si>
  <si>
    <t>film-1969-l-amour-est-plus-froid-que-la-mort; film-1970-le-soldat-americain; film-1970-les-dieux-de-la-peste; film-1971-prenez-garde-a-la-sainte-putain; film-1971-whity; film-1974-effi-briest; film-1976-le-roti-de-satan; film-1976-roulette-chinoise; film-1978-despair</t>
  </si>
  <si>
    <t>Lommel.jpg</t>
  </si>
  <si>
    <t>pers-juliane-lorenz</t>
  </si>
  <si>
    <t>Juliane Lorenz</t>
  </si>
  <si>
    <t>Lorenz</t>
  </si>
  <si>
    <t>Juliane</t>
  </si>
  <si>
    <t>Monteuse, assistante, actrice occasionnelle, productrice assistance à la mise en scène, présence au plateau,</t>
  </si>
  <si>
    <t>Assistance à la mise en scène, présence au plateau, postproduction</t>
  </si>
  <si>
    <t>Compagne de Fassbinder à partir de la seconde moitié des années 1970 ; communauté de travail et de vie jusqu’en 1982</t>
  </si>
  <si>
    <t>Roulette chinoise; La Femme du chef de gare; Despair; La Troisième génération; Berlin Alexanderplatz; Le Secret de Veronika Voss; Lola, une femme allemande</t>
  </si>
  <si>
    <t>film-1976-roulette-chinoise; film-1977-la-femme-du-chef-de-gare; film-1978-despair; film-1979-la-troisieme-generation; film-1980-berlin-alexanderplatz; film-1981-le-secret-de-veronika-voss; film-1981-lola-une-femme-allemande</t>
  </si>
  <si>
    <t>Lorenz.jpg</t>
  </si>
  <si>
    <t>pers-armin-meier</t>
  </si>
  <si>
    <t>Armin Meier</t>
  </si>
  <si>
    <t>Meier</t>
  </si>
  <si>
    <t>Armin</t>
  </si>
  <si>
    <t>Jeu, relation intime, présence biographique</t>
  </si>
  <si>
    <t>Compagnon de Fassbinder, figure de la dimension autobiographique et affective la plus douloureuse</t>
  </si>
  <si>
    <t>Maman Küsters s’en va au ciel; Peur de la peur; Je veux seulement que vous m’aimiez; Roulette chinoise; La Femme du chef de gare; L’Allemagne en automne</t>
  </si>
  <si>
    <t>film-1975-maman-kusters-s-en-va-au-ciel; film-1975-peur-de-la-peur; film-1976-je-veux-seulement-que-vous-m-aimiez; film-1976-roulette-chinoise; film-1977-la-femme-du-chef-de-gare; film-1978-l-allemagne-en-automne</t>
  </si>
  <si>
    <t>Dimension intime et tragique du cinéma fassbinderien</t>
  </si>
  <si>
    <t>Meier.jpg</t>
  </si>
  <si>
    <t>pers-brigitte-mira</t>
  </si>
  <si>
    <t>Brigitte Mira</t>
  </si>
  <si>
    <t>Mira</t>
  </si>
  <si>
    <t>Brigitte</t>
  </si>
  <si>
    <t>Période centrale / tardive</t>
  </si>
  <si>
    <t>Jeu, décalage social, figure populaire</t>
  </si>
  <si>
    <t>Plutôt collaboratrice d’âge et de trajectoire, moins liée au premier cercle intime que les figures de l’antiteater</t>
  </si>
  <si>
    <t>Effi Briest; Tous les autres s’appellent Ali; Maman Küsters s’en va au ciel; Le Rôti de Satan; Le Mariage de Maria Braun; Berlin Alexanderplatz</t>
  </si>
  <si>
    <t>film-1974-effi-briest; film-1974-tous-les-autres-s-appellent-ali; film-1975-maman-kusters-s-en-va-au-ciel; film-1976-le-roti-de-satan; film-1979-le-mariage-de-maria-braun; film-1980-berlin-alexanderplatz</t>
  </si>
  <si>
    <t>Ancrage populaire et critique sociale</t>
  </si>
  <si>
    <t>Mira.jpg</t>
  </si>
  <si>
    <t>pers-kurt-raab</t>
  </si>
  <si>
    <t>Raab</t>
  </si>
  <si>
    <t>Kurt</t>
  </si>
  <si>
    <t>Acteur, scénariste, costumier</t>
  </si>
  <si>
    <t>Jeu, écriture, conception plastique</t>
  </si>
  <si>
    <t>Ami proche, membre central du collectif, très intégré à la vie quotidienne du groupe Fassbinder</t>
  </si>
  <si>
    <t>L’Amour est plus froid que la mort; Le Bouc; Le Soldat américain; Pourquoi M. R. est-il atteint de folie meurtrière ?; Prenez garde à la sainte putain; Whity; Huit heures ne font pas un jour; Le Marchand des quatre saisons; Les Larmes amères de Petra von Kant; Effi Briest; Martha; Le Droit du plus fort; Maman Küsters s’en va au ciel; Peur de la peur; Le Rôti de Satan; Le Mariage de Maria Braun; Lili Marleen; Querelle</t>
  </si>
  <si>
    <t>film-1969-l-amour-est-plus-froid-que-la-mort; film-1969-le-bouc; film-1970-le-soldat-americain; film-1970-pourquoi-m-r-est-il-atteint-de-folie-meurtriere; film-1971-prenez-garde-a-la-sainte-putain; film-1971-whity; film-1972-huit-heures-ne-font-pas-un-jour; film-1972-le-marchand-des-quatre-saisons; film-1972-les-larmes-ameres-de-petra-von-kant; film-1974-effi-briest; film-1974-martha; film-1975-le-droit-du-plus-fort; film-1975-maman-kusters-s-en-va-au-ciel; film-1975-peur-de-la-peur; film-1976-le-roti-de-satan; film-1979-le-mariage-de-maria-braun; film-1981-lili-marleen; film-1982-querelle</t>
  </si>
  <si>
    <t>Raab.jpg</t>
  </si>
  <si>
    <t>pers-peer-raben</t>
  </si>
  <si>
    <t>Raben</t>
  </si>
  <si>
    <t>Peer</t>
  </si>
  <si>
    <t>Compositeur</t>
  </si>
  <si>
    <t>Musique, ambiance, structure émotionnelle</t>
  </si>
  <si>
    <t>Ami intime et partenaire artistique central, l’une des présences les plus constantes du cercle Fassbinder</t>
  </si>
  <si>
    <t>Architecte sonore de la mélancolie fassbinderienne</t>
  </si>
  <si>
    <t>Raben.jpg</t>
  </si>
  <si>
    <t>pers-daniel-schmid</t>
  </si>
  <si>
    <t>Daniel Schmid</t>
  </si>
  <si>
    <t>Schmid</t>
  </si>
  <si>
    <t>Daniel</t>
  </si>
  <si>
    <t>Réseau élargi / tardif</t>
  </si>
  <si>
    <t>Cinéaste, monteur, collaborateur</t>
  </si>
  <si>
    <t>Montage, relais artistique</t>
  </si>
  <si>
    <t>Compagnonnage artistique plus que vie privée centrale</t>
  </si>
  <si>
    <t>Collaborateur du cinéma européen d’auteur, au voisinage de Fassbinder</t>
  </si>
  <si>
    <t>Schmid.jpg</t>
  </si>
  <si>
    <t>pers-hanna-schygulla</t>
  </si>
  <si>
    <t>Hanna Schygulla</t>
  </si>
  <si>
    <t>Schygulla</t>
  </si>
  <si>
    <t>Hanna</t>
  </si>
  <si>
    <t>Atrice, muse</t>
  </si>
  <si>
    <t>Jeu, présence, incarnation, image publique</t>
  </si>
  <si>
    <t>Proche collaboratrice de longue durée, liée au noyau fondateur du groupe et à l’intimité artistique de Fassbinder</t>
  </si>
  <si>
    <t>Rio das Mortes</t>
  </si>
  <si>
    <t>Figure centrale de la féminité fassbinderienne, du naturalisme au mélodrame historique</t>
  </si>
  <si>
    <t>Schygulla.jpg</t>
  </si>
  <si>
    <t>pers-ursula-stratz</t>
  </si>
  <si>
    <t>Ursula Strätz</t>
  </si>
  <si>
    <t>Strätz</t>
  </si>
  <si>
    <t>Ursula</t>
  </si>
  <si>
    <t>Noyau théâtral</t>
  </si>
  <si>
    <t>Jeu, ancrage scénique</t>
  </si>
  <si>
    <t>Proche du milieu théâtral des débuts, sans précision biographique intime forte dans la source de départ</t>
  </si>
  <si>
    <t>L’Amour est plus froid que la mort; Le Voyage à Niklashausen; Les Dieux de la peste; Effi Briest</t>
  </si>
  <si>
    <t>film-1969-l-amour-est-plus-froid-que-la-mort; film-1970-le-voyage-a-niklashausen; film-1970-les-dieux-de-la-peste; film-1974-effi-briest</t>
  </si>
  <si>
    <t>Lien entre théâtre et premiers essais filmiques</t>
  </si>
  <si>
    <t>Strätz.jpg</t>
  </si>
  <si>
    <t>pers-lilith-ungerer</t>
  </si>
  <si>
    <t>Lilith Ungerer</t>
  </si>
  <si>
    <t>Ungerer</t>
  </si>
  <si>
    <t>Lilith</t>
  </si>
  <si>
    <t>Jeu</t>
  </si>
  <si>
    <t>Collaboratrice du cercle, sanns information forte de vie privée dans le tableau de départ</t>
  </si>
  <si>
    <t>Le Bouc; Les Dieux de la peste; Pourquoi M. R. est-il atteint de folie meurtrière ?</t>
  </si>
  <si>
    <t>film-1969-le-bouc; film-1970-les-dieux-de-la-peste; film-1970-pourquoi-m-r-est-il-atteint-de-folie-meurtriere</t>
  </si>
  <si>
    <t>Présence latérale mais significative dans le collectif</t>
  </si>
  <si>
    <t>Ungerer.jpg</t>
  </si>
  <si>
    <t>pers-barbara-valentin</t>
  </si>
  <si>
    <t>Barbara Valentin</t>
  </si>
  <si>
    <t>Valentin</t>
  </si>
  <si>
    <t>Barbara</t>
  </si>
  <si>
    <t>« Brigitte Bardot allemande »</t>
  </si>
  <si>
    <t>Les Dieux de la peste; Le Monde sur un fil; Martha; Tous les autres s’appellent Ali; Maman Küsters s’en va au ciel</t>
  </si>
  <si>
    <t>film-1970-les-dieux-de-la-peste; film-1973-le-monde-sur-un-fil; film-1974-martha; film-1974-tous-les-autres-s-appellent-ali; film-1975-maman-kusters-s-en-va-au-ciel</t>
  </si>
  <si>
    <t>Figure sensuelle et populaire</t>
  </si>
  <si>
    <t>Valentin.jpg</t>
  </si>
  <si>
    <t>pers-volker-spengler</t>
  </si>
  <si>
    <t>Volker Spengler</t>
  </si>
  <si>
    <t>Volker</t>
  </si>
  <si>
    <t>Spengler</t>
  </si>
  <si>
    <t>Maman Küsters s’en va au ciel; Le Rôti de Satan; Roulette chinoise; Despair; L’Année des treize lunes; La Troisième génération; Le Mariage de Maria Braun; Berlin Alexanderplatz</t>
  </si>
  <si>
    <t>film-1975-maman-kusters-s-en-va-au-ciel; film-1976-le-roti-de-satan; film-1976-roulette-chinoise; film-1978-despair; film-1978-l-annee-des-treize-lunes; film-1979-la-troisieme-generation; film-1979-le-mariage-de-maria-braun; film-1980-berlin-alexanderplatz</t>
  </si>
  <si>
    <t>Volker.jpg</t>
  </si>
  <si>
    <t>Der Stadtstreicher</t>
  </si>
  <si>
    <t>Michael Fengler ; Josef Jung</t>
  </si>
  <si>
    <t>Roser Film</t>
  </si>
  <si>
    <t>Christoph Roser : le clochard
Susanne Schimkus : la serveuse
Michael Fengler : un homme
Thomas Fengler : un homme
Irm Hermann : Frau Pigue</t>
  </si>
  <si>
    <t>Format : noir et blanc, mono
Genre : court métrage dramatique
Sortie : 1966</t>
  </si>
  <si>
    <t>Un clochard trouve un pistolet dans la rue.</t>
  </si>
  <si>
    <t>Wikipédia : https://fr.wikipedia.org/wiki/Le_Clochard</t>
  </si>
  <si>
    <t>Das kleine Chaos</t>
  </si>
  <si>
    <t>Michael Fengler</t>
  </si>
  <si>
    <t>Christoph Roser : Theo
Marite Greiselis : Marite
Rainer Werner Fassbinder : Franz
Lilo Pempeit : Mme Eder</t>
  </si>
  <si>
    <t>Format : noir et blanc, 1,37:1, mono
Genre : court métrage de comédie
Sortie : 1967</t>
  </si>
  <si>
    <t>Theo, Marite et Franz tentent de gagner de l’argent en vendant des revues en porte-à-porte. Après leurs échecs répétés, ils décident de commettre de petits vols.</t>
  </si>
  <si>
    <t>Wikipédia : https://fr.wikipedia.org/wiki/Le_Petit_Chaos</t>
  </si>
  <si>
    <t>Franz Walsch (pseudonyme de Rainer Werner Fassbinder)</t>
  </si>
  <si>
    <t>Ulli Lommel ; Rainer Werner Fassbinder</t>
  </si>
  <si>
    <t>Peer Raben ; Holga Münzer</t>
  </si>
  <si>
    <t>Antiteater-X-Film</t>
  </si>
  <si>
    <t>Rainer Werner Fassbinder : Franz
Ulli Lommel : Bruno
Hanna Schygulla : Joanna
Hans Hirschmüller : Peter
Katrin Schaake : la jeune femme dans le train
Peter Berling : le cordonnier
Irm Hermann : la vendeuse de lunettes
Hannes Gromball : le client de Joanna
Gisela Otto : une prostituée
Ingrid Caven : une prostituée
Ursula Strätz : une prostituée
Les Olvides : Georges
Peer Raben : Jürgen
Peter Moland : un homme du syndicat
Anastassios Karalas : le Turc
Kurt Raab : le surveillant du supermarché
Rudolf Waldemar Brem : le motard policier
Yaak Karsunke : le commissaire
Monoka Stadler : la jeune fille</t>
  </si>
  <si>
    <t>Son : Gottfried Hüngsberg
Format : noir et blanc, 35 mm
Tournage : 24 jours en avril 1969, Munich et environs
Sortie RFA : 26 juin 1969 (Berlinale), puis 16 janvier 1970</t>
  </si>
  <si>
    <t>Franz, souteneur de petite envergure, refuse de s’allier à un syndicat du crime. Celui-ci lui envoie Bruno, qui forme avec Franz et sa compagne Joanna un trio de jeunes criminels. Bruno commet des crimes que la police impute à Franz, puis les deux hommes décident d’attaquer une banque.</t>
  </si>
  <si>
    <t>Wikipédia : https://fr.wikipedia.org/wiki/L%27amour_est_plus_froid_que_la_mort</t>
  </si>
  <si>
    <t>Peer Raben ; Antiteater-X-Film</t>
  </si>
  <si>
    <t>Hanna Schygulla : Marie
Lilith Ungerer : Helga
Rudolf Waldemar Brem : Paul
Elga Sorbas : Rosy
Doris Mattes : Gunda
Irm Hermann : Elisabeth
Peter Moland : Peter
Rainer Werner Fassbinder : Jorgos
Hans Hirschmüller : Erich
Harry Baer : Franz
Hannes Gromball : Klaus
Katrin Schaake : la femme sur la route</t>
  </si>
  <si>
    <t>Format : noir et blanc, 1,37:1, mono
Genre : drame, romance
Sortie : 1969</t>
  </si>
  <si>
    <t>Jorgos, travailleur immigré grec, rejoint un groupe de jeunes gens à Munich. Son arrivée suscite hostilité et jalousie ; insulté, il confie à Marie son désir de rentrer chez lui.</t>
  </si>
  <si>
    <t>Wikipédia : https://fr.wikipedia.org/wiki/Le_Bouc</t>
  </si>
  <si>
    <t>Götter der Pest</t>
  </si>
  <si>
    <t>Rainer Werner Fassbinder ; Michael Fengler</t>
  </si>
  <si>
    <t>Hanna Schygulla : Johanna Reiher
Margarethe von Trotta : Margarethe
Harry Baer : Franz Walsch
Günther Kaufmann : Günther
Carla Aulalu : Carla
Ingrid Caven : Magdalena Fuller
Lilith Ungerer : la jeune fille du premier café
Katrin Schaake : la propriétaire du deuxième café
Hannes Gromball : le directeur du supermarché
Jan George : un policier
Micha Cochina : Joe
Lilo Pempeit : la mère
Marian Seidowski : Marian
Yaak Karsunke : le commissaire
Rainer Werner Fassbinder : l’homme qui achète des revues pornographiques</t>
  </si>
  <si>
    <t>Format : noir et blanc, 35 mm, 1,37:1, mono
Genre : drame
Sortie : 1970</t>
  </si>
  <si>
    <t>À sa sortie de prison, le petit escroc Franz Walsch retrouve Joanna. Il recherche le « gorille », vieux gangster qui a assassiné son frère, mais décide néanmoins de refaire équipe avec lui pour un dernier braquage.</t>
  </si>
  <si>
    <t>Wikipédia : https://fr.wikipedia.org/wiki/Les_Dieux_de_la_peste</t>
  </si>
  <si>
    <t>Warum läuft Herr R. Amok?</t>
  </si>
  <si>
    <t>Michael Fengler ; Peer Raben</t>
  </si>
  <si>
    <t>Kurt Raab : Monsieur R.
Lilith Ungerer : Madame R.
Lilo Pempeit : une collègue de bureau
Franz Maron : le chef
Harry Baer : un collègue de bureau
Peter Moland : un collègue de bureau
Hanna Schygulla : l’amie dans le bar
Ingrid Caven : une voisine
Peer Raben : un ami
Doris Mattes : une voisine
Irm Hermann : une voisine
Amadeus Fengler : Amadeus, le fils
Carla Aulalu : une vendeuse du magasin de disques
Eva Pampusch : une vendeuse du magasin de disques
Peter Hamm : un commissaire
Jochen Pinkert : un commissaire</t>
  </si>
  <si>
    <t>Format : couleur, 35 mm, 1,37:1, mono
Genre : drame
Sortie : 1970</t>
  </si>
  <si>
    <t>Le film montre la vie quotidienne de Monsieur R., dessinateur industriel quadragénaire, mari et père de famille.</t>
  </si>
  <si>
    <t>Wikipédia : https://fr.wikipedia.org/wiki/Pourquoi_monsieur_R._est-il_atteint_de_folie_meurtri%C3%A8re_%3F</t>
  </si>
  <si>
    <t>Der amerikanische Soldat</t>
  </si>
  <si>
    <t>Kurt Raab ; Rainer Werner Fassbinder</t>
  </si>
  <si>
    <t>Karl Scheydt : Richard Murphy, dit Ricky
Elga Sorbas : Rosa
Jan George : Jan
Margarethe von Trotta : la femme de chambre
Hark Bohm : Doc
Ingrid Caven : la chanteuse
Eva Ingeborg Scholz : la mère de Ricky
Kurt Raab : le frère de Ricky
Marius Aicher : un policier
Gustl Datz : le chef de la police
Marquard Bohm : le détective privé
Rainer Werner Fassbinder : Franz
Katrin Schaake : Magdalena Fuller
Ulli Lommel : un Tzigane
Irm Hermann : une prostituée</t>
  </si>
  <si>
    <t>Langue : allemand
Format : noir et blanc, 35 mm, 1,33:1, mono
Tournage : 15 jours en août 1970, Munich
Sortie RFA : 9 octobre 1970 (festival), puis 27 novembre 1970</t>
  </si>
  <si>
    <t>À Munich, trois policiers recrutent Ricky, tueur à gages natif de la ville revenu du Vietnam, afin d’éliminer plusieurs personnes.</t>
  </si>
  <si>
    <t>Wikipédia : https://fr.wikipedia.org/wiki/Le_Soldat_am%C3%A9ricain</t>
  </si>
  <si>
    <t>Die Niklashauser Fart</t>
  </si>
  <si>
    <t>Thea Eymèsz ; Rainer Werner Fassbinder</t>
  </si>
  <si>
    <t>Janus Film und Fernsehen</t>
  </si>
  <si>
    <t>Michael König : Hans Boehm
Hanna Schygulla : Johanna
Margit Carstensen : Margarethe
Franz Maron : le mari de Margarethe
Michael Gordon : Antonio
Günther Kaufmann : le chef des fermiers
Siggi Graue : le premier paysan
Michael Fengler : le deuxième paysan
Elga Sorbas : la jeune fille évanouie
Carla Aulalu : la jeune fille épileptique
Kurt Raab : l’évêque
Peter Berling : le bourreau
Ingrid Caven : la fille qui crie
Peer Raben : Monseigneur
Rainer Werner Fassbinder : le moine noir
Walter Sedlmayr : le prêtre
Günther Rupp : le conseiller
Karl Scheydt : un bourgeois de Niklashausen
Magdalena Montezuma : Penthésilée</t>
  </si>
  <si>
    <t>Format : couleur, mono
Genre : drame
Diffusion : 1970</t>
  </si>
  <si>
    <t>Wikipédia : https://fr.wikipedia.org/wiki/Le_Voyage_%C3%A0_Niklashausen</t>
  </si>
  <si>
    <t>Klaus Hellwig ; Peer Raben</t>
  </si>
  <si>
    <t>Hanna Schygulla : Hanna
Michael König : Michel
Günther Kaufmann : Günther
Katrin Schaake : Katrin
Harry Baer : le collègue de Michel
Ulli Lommel : le vendeur de voitures
Ingrid Caven : une collègue de Hanna
Magdalena Montezuma : une collègue de Hanna
Kurt Raab : le pompiste
Joachim von Mengershausen : Joachim
Lilo Pempeit : la mère de Günther
Walter Sedlmayr : le secrétaire
Rainer Werner Fassbinder : le partenaire de danse de Hanna</t>
  </si>
  <si>
    <t>Costumes : Kurt Raab
Format : couleur, mono
Genre : comédie
Diffusion : 15 février 1971</t>
  </si>
  <si>
    <t>Michel et Günther, lassés de leur vie monotone, projettent de partir au Pérou et tentent de réunir l’argent nécessaire au voyage.</t>
  </si>
  <si>
    <t>Wikipédia : https://fr.wikipedia.org/wiki/Rio_das_Mortes</t>
  </si>
  <si>
    <t>Peter Berling ; Ulli Lommel ; Peer Raben ; Antiteater-X-Film ; Atlantis Film</t>
  </si>
  <si>
    <t>Günther Kaufmann : Whity
Ron Randell : Benjamin Nicholson
Hanna Schygulla : Hanna
Katrin Schaake : Katherine Nicholson
Harry Baer : Davy Nicholson
Ulli Lommel : Frank Nicholson
Thomas Blanco : le faux médecin mexicain
Stefano Capriati : le juge
Helga Ballhaus : la femme du juge
Elaine Baker : la mère de Whity
Mark Salvage : le shérif
Kurt Raab : le pianiste
Rainer Werner Fassbinder : le client du saloon</t>
  </si>
  <si>
    <t>Format : couleur, 2,35:1, mono
Genre : drame, western
Sortie : 1971</t>
  </si>
  <si>
    <t>Dans le sud des États-Unis à la fin du XIXe siècle, Whity, fils illégitime métis du riche Ben Nicholson, vit en esclave dans sa propre famille. Humilié par son père, ses demi-frères et l’épouse de celui-ci, il aspire pourtant à une autre condition et fréquente une danseuse de cabaret.</t>
  </si>
  <si>
    <t>Wikipédia : https://fr.wikipedia.org/wiki/Whity</t>
  </si>
  <si>
    <t>Warnung vor einer heiligen Nutte</t>
  </si>
  <si>
    <t>Thea Eymèsz ; Rainer Werner Fassbinder (sous le nom de Franz Walsch)</t>
  </si>
  <si>
    <t>Peter Berling ; Antiteater-X-Film ; Nova International Films</t>
  </si>
  <si>
    <t>Lou Castel : Jeff, le metteur en scène
Eddie Constantine : lui-même
Marquard Bohm : Ricky
Hanna Schygulla : Hanna
Rainer Werner Fassbinder : Sascha
Margarethe von Trotta : la secrétaire de production
Katrin Schaake : la script
Hannes Fuchs : David
Marcella Michelangeli : Margret
Karl Scheydt : Manfred
Ulli Lommel : Korbinian
Kurt Raab : Fred
Herb Andress : Coach
Benjamin Lev : Candy
Monika Teuber : Billi
Gianni di Luigi : le caméraman
Rudolf Waldemar Brem : le chef éclairagiste
Thomas Schieder : Jesus
Ingrid Caven : une figurante
Harry Baer : le mari de la figurante
Magdalena Montezuma : Irm
Werner Schroeter : Deiters</t>
  </si>
  <si>
    <t>Langues : allemand, anglais, français, espagnol
Format : couleur
Genre : comédie dramatique
Sortie : 1971</t>
  </si>
  <si>
    <t>Une équipe de cinéma réunie pour un tournage affronte des difficultés multiples : retard du réalisateur, matériel manquant, jalousies et conflits.</t>
  </si>
  <si>
    <t>Wikipédia : https://fr.wikipedia.org/wiki/Prenez_garde_%C3%A0_la_sainte_putain</t>
  </si>
  <si>
    <t>Pioniere in Ingolstadt</t>
  </si>
  <si>
    <t>Rainer Werner Fassbinder, d’après la pièce de Marieluise Fleisser</t>
  </si>
  <si>
    <t>Janus Film und Fernsehen ; Antiteater pour la ZDF</t>
  </si>
  <si>
    <t>Hanna Schygulla : Berta
Harry Baer : Karl
Irm Hermann : Alma
Rudolf Waldemar Brem : Fabian
Walter Sedlmayr : le sergent-major
Klaus Löwitsch : le sergent
Günther Kaufmann : Max
Carla Aulalu : Frida
Elga Sorbas : Marie
Burghard Schlicht : Klaus
Günther Krää : Gottfried</t>
  </si>
  <si>
    <t>Assistant de réalisation : Günther Krää
Tournage : 25 jours en novembre 1970, Landsberg-Lech et Munich
Diffusion RFA : 8 mai 1973 ; présentation à Cannes : 19 mai 1971</t>
  </si>
  <si>
    <t>Une compagnie de soldats du génie arrive à Ingolstadt pour réparer un pont de bois. Les jeunes femmes de la ville, qui s’ennuient, sont attirées par les soldats et s’engagent avec eux dans des jeux de désir et de sexe.</t>
  </si>
  <si>
    <t>Wikipédia : https://fr.wikipedia.org/wiki/Pionniers_%C3%A0_Ingolstadt</t>
  </si>
  <si>
    <t>Tango Film</t>
  </si>
  <si>
    <t>Hans Hirschmüller : Hans Epp
Irm Hermann : Irmgard Epp
Hanna Schygulla : Anna Epp
Heide Simon : Heide
Kurt Raab : Kurt
Andrea Schober : Renate Epp
Gusti Kreissl : la mère de Hans
Ingrid Caven : le grand amour de Hans
Peter Chatel : le docteur Harlach
Klaus Löwitsch : Harry Radek
Karl Scheydt : Anzell
Elga Sorbas : Mariele Kosemund
Lilo Pempeit : une cliente
Walter Sedlmayr : le vendeur
Daniel Schmid : premier candidat
Harry Baer : deuxième candidat
Michael Fengler : le playboy
Hark Bohm : le chef de la police</t>
  </si>
  <si>
    <t>Format : couleur, 1,37:1, mono
Genre : drame
Sortie : 1972</t>
  </si>
  <si>
    <t>Méprisé par sa famille, Hans a connu la Légion étrangère puis la police. Il vend désormais des fruits avec sa femme, qu’il brutalise. Après un infarctus et la reprise de leur activité avec du personnel, les affaires prospèrent mais Hans sombre dans une profonde dépression.</t>
  </si>
  <si>
    <t>Wikipédia : https://fr.wikipedia.org/wiki/Le_Marchand_des_quatre_saisons</t>
  </si>
  <si>
    <t>Rainer Werner Fassbinder, d’après sa pièce</t>
  </si>
  <si>
    <t>Margit Carstensen : Petra von Kant
Hanna Schygulla : Karin Thimm
Katrin Schaake : Sidonie von Grasenabb
Eva Mattes : Gabriele von Kant
Gisela Fackeldey : Valerie von Kant
Irm Hermann : Marlene</t>
  </si>
  <si>
    <t>Costumes : Maja Lemcke
Langue : allemand
Genre : drame, romance
Sortie : 1972</t>
  </si>
  <si>
    <t>Petra von Kant, célèbre créatrice de mode, vit avec Marlene, assistante qu’elle humilie et traite en esclave. Elle s’éprend de Karin, jeune femme d’origine modeste, qu’elle invite à partager son appartement et qu’elle aide à entrer dans le mannequinat.</t>
  </si>
  <si>
    <t>Wikipédia : https://fr.wikipedia.org/wiki/Les_Larmes_am%C3%A8res_de_Petra_von_Kant</t>
  </si>
  <si>
    <t>Bremer Freiheit</t>
  </si>
  <si>
    <t>Rainer Werner Fassbinder ; Dietrich Lohmann</t>
  </si>
  <si>
    <t>Dietrich Lohmann ; Hans Schugg ; Peter Weyrich</t>
  </si>
  <si>
    <t>Friedrich Niquet ; Monica Solzbacher</t>
  </si>
  <si>
    <t>Telefilm Saar pour la SR</t>
  </si>
  <si>
    <t>Margit Carstensen : Geesche
Ulli Lommel : Miltenberger
Wolfgang Schenck : Gottfried
Walter Sedlmayr : le prêtre
Wolfgang Kieling : Timm
Rudolf Waldemar Brem : le cousin Bohm
Kurt Raab : Zimmermann
Fritz Schediwy : Johann
Hanna Schygulla : Luise Maurer
Rainer Werner Fassbinder : Rumpf
Lilo Pempeit : la mère</t>
  </si>
  <si>
    <t>Assistant de réalisation : Fritz Müller-Scherz
Tournage : 9 jours en septembre 1972, en studio à Sarrebruck
Diffusion : 27 décembre 1972</t>
  </si>
  <si>
    <t>Au début du XIXe siècle à Brême, Geesche est tyrannisée par son mari Miltenberger.</t>
  </si>
  <si>
    <t>Wikipédia : https://fr.wikipedia.org/wiki/Libert%C3%A9_%C3%A0_Br%C3%AAme</t>
  </si>
  <si>
    <t>Wildwechsel</t>
  </si>
  <si>
    <t>Rainer Werner Fassbinder, d’après la pièce de Franz Xaver Kroetz</t>
  </si>
  <si>
    <t>Ludwig van Beethoven</t>
  </si>
  <si>
    <t>Intertel ; Sender Freies Berlin</t>
  </si>
  <si>
    <t>Jörg von Liebenfels : Erwin
Ruth Drexel : Hilda
Eva Mattes : Hanni
Harry Baer : Franz
Rudolf Waldemar Brem : Dieter
Hanna Schygulla : le médecin
Kurt Raab : le chef
Karl Scheydt : un policier
Klaus Löwitsch : un policier
Irm Hermann : une fonctionnaire de police
Marquard Bohm : un fonctionnaire de police
El Hedi ben Salem : un ami</t>
  </si>
  <si>
    <t>Assistante de réalisation : Irm Hermann
Producteur exécutif : Gerhard Freund
Format : couleur, 35 mm
Diffusion : 9 janvier 1973</t>
  </si>
  <si>
    <t>Hanni, mineure issue d’un couple bourgeois, rencontre Franz, ouvrier de dix-neuf ans, et couche avec lui. Dénoncé par un camarade, Franz est condamné pour détournement de mineure.</t>
  </si>
  <si>
    <t>Wikipédia : https://fr.wikipedia.org/wiki/Gibier_de_passage</t>
  </si>
  <si>
    <t>D’après Une maison de poupée d’Henrik Ibsen, texte allemand de Bernhard Schulze</t>
  </si>
  <si>
    <t>Willi Raber ; Wilfried Mier ; Peter Weyrich ; Gisela Loew ; Hans Schugg</t>
  </si>
  <si>
    <t>Anne-Marie Bornheimer ; Friedrich Niquet</t>
  </si>
  <si>
    <t>Friedhelm Boehm</t>
  </si>
  <si>
    <t>Margit Carstensen : Nora
Joachim Hansen : Torvald
Barbara Valentin : Mme Linde
Ulli Lommel : Krogstad
Klaus Löwitsch : Dr Rank
Lilo Pempeit : Marie
Irm Hermann : Helene</t>
  </si>
  <si>
    <t>Assistants de réalisation : Fritz Müller-Scherz ; Rainer Langhans
Format : vidéo 2 pouces, couleur
Tournage : 21 jours en mai 1973, studio de Sarrebruck
Diffusion : 3 février 1974</t>
  </si>
  <si>
    <t>Nora, jeune femme au foyer, tente d’obtenir de son mari davantage d’argent afin de préparer leurs vacances, mais l’entreprise s’avère plus compliquée que prévu.</t>
  </si>
  <si>
    <t>Wikipédia : https://fr.wikipedia.org/wiki/Nora_Helmer</t>
  </si>
  <si>
    <t>Wie ein Vogel auf dem Draht</t>
  </si>
  <si>
    <t>Rainer Werner Fassbinder ; Christian Hohoff</t>
  </si>
  <si>
    <t>Erhard Spandel</t>
  </si>
  <si>
    <t>Ingfried Hoffmann ; orchestre Kurt Edelhagen</t>
  </si>
  <si>
    <t>Brigitte Mira
Evelyn Künneke
Ingfried Hoffmann : le pianiste du bar
El Hedi ben Salem : le culturiste</t>
  </si>
  <si>
    <t>Textes des chansons : Anja Hauptmann
Format : vidéo 2 pouces, couleur
Tournage : six jours en juillet 1974 à Cologne
Diffusion : 5 mai 1975</t>
  </si>
  <si>
    <t>Brigitte Mira se souvient de ses différents mariages à travers plusieurs chansons.</t>
  </si>
  <si>
    <t>Wikipédia : https://fr.wikipedia.org/wiki/Comme_un_oiseau_sur_le_fil</t>
  </si>
  <si>
    <t>Angst vor der Angst</t>
  </si>
  <si>
    <t>Rainer Werner Fassbinder, sur une idée d’Asta Scheib</t>
  </si>
  <si>
    <t>Jürgen Jürges ; Ulrich Prinz</t>
  </si>
  <si>
    <t>Liesgret Schmitt-Klink ; Beate Fischer-Weiskirsh</t>
  </si>
  <si>
    <t>Peter Märthesheimer ; WDR</t>
  </si>
  <si>
    <t>Margit Carstensen : Margot Staudte
Ulrich Faulhaber : Kurt
Brigitte Mira : la mère
Irm Hermann : Lore
Armin Meier : Karli
Adrian Hoven : Dr Merck
Kurt Raab : M. Bauer
Ingrid Caven : Edda
Lilo Pempeit : Mme Schaal
Helga Märthesheimer : Mme le Dr von Unruh
Herbert Steinmetz : Dr Auer
Hark Bohm : Dr Rozenbaum
Constance Haas : Bibi</t>
  </si>
  <si>
    <t>Format : 16 mm, couleur
Tournage : 25 jours en avril-mai 1975 à Cologne et Bonn
Diffusion : 8 juillet 1975</t>
  </si>
  <si>
    <t>Margot, jeune mère de famille, se trouve doublement isolée par sa dépression, l’angoisse qui l’accompagne et l’incompréhension de son entourage.</t>
  </si>
  <si>
    <t>Wikipédia : https://fr.wikipedia.org/wiki/Peur_de_la_peur</t>
  </si>
  <si>
    <t>Schatten der Engel</t>
  </si>
  <si>
    <t>Daniel Schmid ; Rainer Werner Fassbinder, d’après la pièce de Fassbinder</t>
  </si>
  <si>
    <t>Renato Berta</t>
  </si>
  <si>
    <t>Gottfried Hüngsberg ; Peer Raben</t>
  </si>
  <si>
    <t>Michael Fengler ; Jordan Bojilov</t>
  </si>
  <si>
    <t>Ingrid Caven : Lily Brest
Rainer Werner Fassbinder : Raoul
Klaus Löwitsch : le spéculateur, dit « le Juif riche »
Anne-Marie Düringer : Luise Müller
Adrian Hoven : Herr Müller
Boy Gobert : le chef de la police
Ulli Lommel : le Petit Prince
Jean-Claude Dreyfus : le nain
Alexander Allerson : Hans von Gluck</t>
  </si>
  <si>
    <t>Format : couleur, mono
Genre : drame
Sortie : 1976</t>
  </si>
  <si>
    <t>Lily, prostituée désabusée, rencontre un riche spéculateur juif qui la paie pour l’écouter. Tous deux sont pris dans un univers urbain de violence, d’exploitation et de solitude.</t>
  </si>
  <si>
    <t>Wikipédia : https://fr.wikipedia.org/wiki/L%27Ombre_des_anges</t>
  </si>
  <si>
    <t>Frauen in New York</t>
  </si>
  <si>
    <t>Nora Gray, d’après la pièce de Clare Boothe Luce</t>
  </si>
  <si>
    <t>Wolfgang Kerhutt</t>
  </si>
  <si>
    <t>Rolf Glittenberg</t>
  </si>
  <si>
    <t>Christa Berndl : Mary Haines
Margit Carstensen : Sylvia Fowler
Anne-Marie Kuster : Peggy Day
Eva Mattes : Edith Potter
Angela Schmid : Nancy Blake / la princesse Tamara / Miss Trimmerback
Barbara Sukowa : Chrystal Allen
Heide Grübl : Jane / la professeure de gymnastique / une jeune fille
Ehmi Bessel : Mrs Wagstaff / Ingrid / une directrice / Miss Watts / une dame
Suzanne Werht : une vendeuse / une coiffeuse / une jeune fille
Carola Schwarz : une vendeuse / une coiffeuse / Helene
Irm Hermann : Olga / Miriam
Adelheid Müther : Euphie / un mannequin / la cigarettière
Ilse Bally : la dame au masque de boue / une directrice / une dame
Andrea Grosske : Miss Fordyce / Luca / Maggie / une veuve
Christina Prior : Klein-Mary
Gisela Uhlen : Mrs Moorehead / la comtesse de Lage
Henny Zschoppe : une infirmière / Sadie
Sabine Wegener : la débutante</t>
  </si>
  <si>
    <t>Format : couleur, mono
Genre : comédie
Diffusion : 1977</t>
  </si>
  <si>
    <t>Dans le New York des années 1930, plusieurs femmes fortunées se retrouvent et discutent de leur vie quotidienne.</t>
  </si>
  <si>
    <t>Wikipédia : https://fr.wikipedia.org/wiki/Femmes_%C3%A0_New_York</t>
  </si>
  <si>
    <t>Bolwieser</t>
  </si>
  <si>
    <t>Rainer Werner Fassbinder, d’après le roman d’Oskar Maria Graf</t>
  </si>
  <si>
    <t>Herbert Knopp ; Willi Segler ; Harry R. Sokal ; Bavaria Film</t>
  </si>
  <si>
    <t>Elisabeth Trissenaar : Hanni Bolwieser
Kurt Raab : Xaver Ferdinand Maria Bolwieser
Karl Scheydt : un gardien de prison
Armin Meier : Scherber
Bernhard Helfrich : Franz Merkl
Karl-Heinz von Hassel : Windegger
Volker Spengler : Mangst
Gustl Bayrhammer : Neidhard
Udo Kier : Schafftaler</t>
  </si>
  <si>
    <t>Format : couleur, 1,66:1, mono
Genre : drame
Diffusion : 1977</t>
  </si>
  <si>
    <t>Xaver Bolwieser, chef de gare, découvre que sa femme le trompe avec un boucher puis avec un coiffeur.</t>
  </si>
  <si>
    <t>Wikipédia : https://fr.wikipedia.org/wiki/La_Femme_du_chef_de_gare</t>
  </si>
  <si>
    <t>In einem Jahr mit 13 Monden</t>
  </si>
  <si>
    <t>Rainer Werner Fassbinder et Juliane Lorenz</t>
  </si>
  <si>
    <t>Tango-Film ; Pro-ject Filmproduktion im Filmverlag der Autoren</t>
  </si>
  <si>
    <t>Volker Spengler : Erwin / Elvira Weishaupt
Ingrid Caven : Zora la Rouge
Gottfried John : Anton Saitz
Karl Scheydt : Christof, l’amant d’Elvira
Elisabeth Trissenaar : Irene Weishaupt
Eva Mattes : Marie-Ann Weishaupt</t>
  </si>
  <si>
    <t>Format : 35 mm, couleur, 1,66:1, mono
Genre : drame
Sortie RFA : 17 novembre 1978
Sortie France : 8 juillet 1981</t>
  </si>
  <si>
    <t>Elvira, femme transgenre rejetée de presque tous sauf de Zora la Rouge, déambule désespérément dans Francfort sur les traces de son passé et d’une vie douloureuse. Elle revient sur son enfance au couvent, son travail aux abattoirs, son mariage avec la fille d’un boucher et son amour pour Anton Saitz.</t>
  </si>
  <si>
    <t>identité|transidentité|aliénation|regard|corps|capitalisme|Hollywood|régression|Francfort</t>
  </si>
  <si>
    <t>Rainer Werner Fassbinder ; Pea Fröhlich ; Peter Märthesheimer</t>
  </si>
  <si>
    <t>Albatros Produktion</t>
  </si>
  <si>
    <t>Genre : drame psychologique
Sortie RFA : 20 février 1979
Sortie France : 22 mai 1979</t>
  </si>
  <si>
    <t>Pendant les derniers mois de la Seconde Guerre mondiale, Maria épouse Hermann Braun, aussitôt renvoyé au front. Le croyant mort, elle devient entraîneuse dans un bar pour soldats américains et s’éprend de Bill, qu’elle tue accidentellement lorsque Hermann réapparaît ; son mari s’accuse à sa place et est emprisonné. Maria devient ensuite la collaboratrice et la maîtresse de l’industriel Karl Oswald, réussit spectaculairement dans les affaires et prépare l’avenir du couple. Après la mort d’Oswald, Hermann revient, mais la lecture du testament révèle l’accord qui avait conditionné son éloignement. Enfin réunis, Maria et Hermann meurent dans l’explosion de leur maison provoquée par une fuite de gaz et une cigarette.</t>
  </si>
  <si>
    <t>Le film adopte la forme classique d’un mélodrame d’ascension et de chute, mais la symétrie entre le mariage sous les bombes et l’explosion finale transforme le destin de Maria en allégorie ambivalente de la RFA. Sa réussite repose sur la mise en scène de son corps et sur son adaptation au regard masculin : elle conquiert une autonomie économique sans échapper à l’ordre patriarcal. Le miracle économique se construit sur un double refoulement, celui du passé nazi et celui des valeurs sacrifiées à la réussite matérielle. Chansons populaires, émissions radiophoniques, discours d’Adenauer, finale de football et références cinématographiques ne garantissent pas l’authenticité historique ; ils fabriquent une « certaine idée de l’époque » et font du film moins une reconstitution qu’une réflexion sur les images de l’histoire. L’oubli du gaz à la fin figure alors le retour du refoulé et la mémoire malade de l’Allemagne.
« Les petits-bourgeois de 1930, 1955 ou 1975 sont interchangeables. L’Allemagne, un pays dans lequel rien ne change, où la chance de 1945 a été galvaudée. » — Wilhelm Roth, cité dans les notes à partir de Thomas Elsaesser.</t>
  </si>
  <si>
    <t>Thomas Elsaesser, analyse du Mariage de Maria Braun (p. 192 et 215 dans les notes)
Wilhelm Roth, citation reprise dans les notes à partir de Thomas Elsaesser</t>
  </si>
  <si>
    <t>RFA|miracle économique|mémoire|nazisme|mélodrame|patriarcat|femmes|histoire|médias|refoulement|Trilogie allemande</t>
  </si>
  <si>
    <t>Die Dritte Generation</t>
  </si>
  <si>
    <t>Harry Baer ; Rainer Werner Fassbinder</t>
  </si>
  <si>
    <t>Harry Baer : Rudolf Mann
Hark Bohm : Gerhard Gast
Margit Carstensen : Petra Vielhaber
Eddie Constantine : Peter Lurz
Jürgen Draeger : Hans Vielhaber
Raúl Gimenez : Paul
Udo Kier : Edgar Gast
Bulle Ogier : Hilde Krieger
Peer Raben
Hanna Schygulla : Susanne Gast
Volker Spengler : August
Vitus Zeplichal : Bernhard von Stein</t>
  </si>
  <si>
    <t>Langue : allemand
Format : Eastmancolor, 35 mm, 1,66:1, mono
Genre : comédie
Sortie France : 30 mai 1979 ; sortie RFA : septembre 1979</t>
  </si>
  <si>
    <t>À Berlin-Ouest durant l’hiver 1978-1979, un groupe de terroristes issus de milieux divers mène des actions sans réelle conscience politique. Leur chef, August Brem, les manipule au profit de l’industriel américain Peter Lurz, qui cherche à vendre ses systèmes informatiques à la police.</t>
  </si>
  <si>
    <t>Wikipédia : https://fr.wikipedia.org/wiki/La_Troisi%C3%A8me_G%C3%A9n%C3%A9ration</t>
  </si>
  <si>
    <t>Rainer Werner Fassbinder, d’après le roman d’Alfred Döblin</t>
  </si>
  <si>
    <t>Xaver Schwarzenberger</t>
  </si>
  <si>
    <t>Peter Märthesheimer ; Günter Rohrbach ; Gunther Witte</t>
  </si>
  <si>
    <t>Günter Lamprecht : Franz Biberkopf
Karlheinz Braun : l’avocat Löwenhund
Hanna Schygulla : Eva
Claus Holm : le patron de bar
Franz Buchrieser : Gottfried Meck
Brigitte Mira : Mme Bast
Roger Fritz : Herbert
Gottfried John : Reinhold Hoffmann
Barbara Sukowa : Mieze
Ivan Desny : Pums
Axel Bauer : Dreske
Udo Kier : le jeune homme au bar
Rainer Werner Fassbinder : le narrateur
Margit Carstensen : la secrétaire
Elisabeth Trissenaar : Lina
Volker Spengler : Bruno
Vitus Zeplichal : Rudi
Barbara Valentin : Ida</t>
  </si>
  <si>
    <t>Adaptation : d’après le roman d’Alfred Döblin
Format : couleur, 1,33:1, mono
Genre : drame
14 épisodes
Première diffusion : 1980</t>
  </si>
  <si>
    <t>À la fin des Années folles, Franz Biberkopf sort de prison décidé à mener une vie honnête. Il se trouve néanmoins entraîné malgré lui dans l’univers criminel de Berlin.</t>
  </si>
  <si>
    <t>Manfred Purzer ; Rainer Werner Fassbinder ; Joshua Sinclair</t>
  </si>
  <si>
    <t>Xaver Schwarzenberger ; Michael Ballhaus</t>
  </si>
  <si>
    <t>Rainer Werner Fassbinder ; Juliane Lorenz</t>
  </si>
  <si>
    <t>Luggi Waldleitner ; Enzo Peri ; Bayerischer Rundfunk ; CIP Filmproduktion ; Rialto Film ; Roxy Films</t>
  </si>
  <si>
    <t>Hanna Schygulla : Willie
Giancarlo Giannini : Robert Mendelsson
Mel Ferrer : David Mendelsson
Karl-Heinz von Hassel : Henkel
Erik Schumann : von Strehlow
Hark Bohm : Heinz Taschner
Gottfried John : Aaron
Brigitte Mira : une voisine
Peter Chatel : un SA
Willy Harlander : Theo Prosel
Karin Baal : Anna Lederer
Christine Kaufmann : Miriam
Udo Kier : Drewitz
Roger Fritz : Kauffmann
Adrian Hoven : Ginsberg
Barbara Valentin : Eva
Helen Vita : Grete
Elisabeth Volkmann : Marika
Lilo Pempeit : Tamara
Rudolf Lenz : Dr Glaubrecht
Irm Hermann : l’infirmière
Harry Baer : Norbert Schultze
Alexander Allerson : Goedecke
Rainer Werner Fassbinder : Günther Weisenborn (non crédité)</t>
  </si>
  <si>
    <t>Costumes : Barbara Baum
Langue : allemand
Format : couleur, 35 mm, 1,66:1
Genre : drame
Sortie France : 15 avril 1981</t>
  </si>
  <si>
    <t>Wikipédia : https://fr.wikipedia.org/wiki/Lili_Marleen_(film)</t>
  </si>
  <si>
    <t>Theater in Trance</t>
  </si>
  <si>
    <t>Laura Film</t>
  </si>
  <si>
    <t>Format : couleur, mono
Genre : documentaire
Sortie : 1981</t>
  </si>
  <si>
    <t>Le documentaire visite le festival « Theater der Welt » organisé à Cologne en 1981, auquel trente groupes participent avec plus de cent représentations.</t>
  </si>
  <si>
    <t>Wikipédia : https://fr.wikipedia.org/wiki/Th%C3%A9%C3%A2tre_en_transe</t>
  </si>
  <si>
    <t>Lola</t>
  </si>
  <si>
    <t>Rainer Werner Fassbinder ; Peter Märthesheimer ; Pea Fröhlich</t>
  </si>
  <si>
    <t>Freddy Quinn ; Peer Raben</t>
  </si>
  <si>
    <t>Hanns Eckelkamp ; Rainer Werner Fassbinder ; Horst Wendlandt ; Rialto Film ; Trio Film</t>
  </si>
  <si>
    <t>Barbara Sukowa : Marie-Luise, dite Lola
Armin Mueller-Stahl : von Bohm
Mario Adorf : Schukert
Matthias Fuchs : Esslin
Karin Baal : Mme Kummer
Helga Feddersen : Mme Hettich
Hark Bohm : Volker
Ivan Desny : Wittich
Karl-Heinz von Hassel : Timmerding
Elisabeth Volkmann : Gigi
Christine Kaufmann : Susi
Rosel Zech : l’épouse de Schukert
Isolde Barth : l’épouse de Volker
Sonja Neudorfer : Mme Fink
Günther Kaufmann : le G.I.
Udo Kier : le serveur (non crédité)</t>
  </si>
  <si>
    <t>Format : couleur, 1,66:1, mono
Genre : drame, romance
Sortie : 1981</t>
  </si>
  <si>
    <t>À la fin des années 1950, l’urbaniste von Bohm affronte les notables d’une petite ville bavaroise, enrichis par la reconstruction et menés par l’entrepreneur Schukert. Il tombe amoureux de Marie-Luise sans savoir qu’elle est Lola, la prostituée la plus célèbre de la ville et la protégée de Schukert.</t>
  </si>
  <si>
    <t>Wikipédia : https://fr.wikipedia.org/wiki/Lola%2C_une_femme_allemande</t>
  </si>
  <si>
    <t>Rosel Zech : Veronika Voss
Hilmar Thate : Robert Krohn
Cornelia Froboess : Henriette
Anne-Marie Düringer : Dr Katz
Armin Mueller-Stahl : Max Rehbein
Peter Berling : le producteur
Volker Spengler : le premier metteur en scène
Peter Zadek : le deuxième metteur en scène
Doris Schade : Josefa
Erik Schumann : Dr Edel
Günther Kaufmann : le G.I. / le dealer
Johanna Hofer : la femme du vieux couple
Rudolf Platte : l’homme du vieux couple
Lilo Pempeit : Chehm
Elisabeth Volkmann : Grete
Karl-Heinz von Hassel : le médecin de l’asile (non crédité)</t>
  </si>
  <si>
    <t>Veronika Voss, ancienne vedette du cinéma sous le nazisme, dépend des calmants administrés par la mystérieuse docteure Katz, qui exige de ses patients un testament en sa faveur. Le journaliste Robert Krohn tente de l’aider à échapper à cette emprise.</t>
  </si>
  <si>
    <t>Wikipédia : https://fr.wikipedia.org/wiki/Le_Secret_de_Veronika_Voss</t>
  </si>
  <si>
    <t>Rainer Werner Fassbinder ; Burkhard Driest ; Kurt Raab, d’après Querelle de Brest de Jean Genet</t>
  </si>
  <si>
    <t>Walter E. Richarz</t>
  </si>
  <si>
    <t>Dieter Schidor ; Sam Waynberg ; Michael Fengler ; Daniel Toscan du Plantier ; Planet-Film ; Albatros Filmproduktion ; Gaumont</t>
  </si>
  <si>
    <t>Brad Davis : Querelle
Franco Nero : le lieutenant Seblon
Jeanne Moreau : Lysiane
Günther Kaufmann : Nono
Hanno Pöschl : Robert / Gil
Laurent Malet : Roger Bataille
Burkhard Driest : Mario
Roger Fritz : Marcellin
Dieter Schidor : Vic Rivette
Natja Brunckhorst : Paulette
Karl-Heinz von Hassel : un ouvrier
Robert van Ackeren : le légionnaire saoul
Neil Bell : Théo
Werner Asam : un ouvrier
Axel Bauer : un ouvrier
Isolde Barth : une fille
Vitus Zeplichal : un ouvrier
Frank Ripploh : un légionnaire ivre</t>
  </si>
  <si>
    <t>Direction artistique : Rolf Zehetbauer
Costumes : Barbara Baum ; Monika Jacobs ; Eva Fleischmann ; Kurt Schönwälder
Langue : anglais
Format : Fujicolor, 35 mm, 2,35:1, Dolby Stéréo
Genre : drame expérimental
Sortie RFA : 26 août 1982 ; sortie France : 8 septembre 1982</t>
  </si>
  <si>
    <t>Le marin Querelle débarque à Brest, où sa beauté attire son supérieur, le lieutenant Seblon. Il fréquente la Feria, tenue par Lysiane et son mari Nono, et s’engage dans un réseau de désir, de violence et de crime qui le lie notamment à son frère Robert, au jeune assassin Gil et à un trafic d’opium.</t>
  </si>
  <si>
    <t>Wikipédia : https://fr.wikipedia.org/wiki/Querelle_(film)</t>
  </si>
  <si>
    <t>Projet initié par le producteur Luggi Waldleitner autour de la désormais star Schygulla. Cette dernière refuse que le scénariste Mandred Purzer, issu du cinéma commercial et notoirement de droite, réalise le film. Elle impose RWF qui a pourtant juré de ne plus travailler avec elle mais accepte.  A l'annonce du projet, la presse déclare que RWF a "vendu son âme". RWF affronte deux écueils : celui du cinéma  de papa qu'incarnent producteur et scénariste, risque de s'inscrire dans la nostalgie et le kitsch qui glamourise la période nazie. RWF s'en libère en faisant apparaîter la manière dont la société de consommation et le capitalisme sont la poursuite du fascisme. Guerre et technologie médiatique relèvent d'une même logique de domination pour un pouvoir devenu invisible, car masqué par les signes qui l'incarnent.</t>
  </si>
  <si>
    <t>pers-hark-bohm</t>
  </si>
  <si>
    <t>Hark Bohm</t>
  </si>
  <si>
    <t>Bohm</t>
  </si>
  <si>
    <t>Hark</t>
  </si>
  <si>
    <t>stock company</t>
  </si>
  <si>
    <t xml:space="preserve">Jeu. </t>
  </si>
  <si>
    <t xml:space="preserve">Collaboration durant toute la carrière de RWF. </t>
  </si>
  <si>
    <t>Le Soldat américain;Prenez garde à la sainte putain; Effi Briest; Tous les autres s’appellent Ali;Le Droit du plus fort; Le Rôti de Satan; Berlin Alexanderplatz</t>
  </si>
  <si>
    <t>film-1970-le-soldat-americain; film-1971-prenez-garde-a-la-sainte-putain; film-1974-effi-briest; film-1974-tous-les-autres-s-appellent-ali;film-1975-le-droit-du-plus-fort; film-1976-le-roti-de-satan; film-1980-berlin-alexanderplatz</t>
  </si>
  <si>
    <r>
      <t xml:space="preserve">Un des "mauvais garçons" du Nouveau cinéma allemand. Il est associé à  l'« École de Munich », tournant pour des réalisateurs comme Rudolf Thome, Klaus Lemke ou Roland Klick avant de collaborer avec RWF pour lequel il offre une relecture du gangster de film noir. Il est le "doc" du </t>
    </r>
    <r>
      <rPr>
        <i/>
        <sz val="10"/>
        <color rgb="FF333333"/>
        <rFont val="Arial"/>
        <family val="2"/>
      </rPr>
      <t xml:space="preserve">Soldat américain et tient le rôle principal de </t>
    </r>
    <r>
      <rPr>
        <sz val="10"/>
        <color rgb="FF333333"/>
        <rFont val="Arial"/>
        <family val="2"/>
      </rPr>
      <t>Prenez garde à la sainte putain. Fils de Martha dans</t>
    </r>
    <r>
      <rPr>
        <i/>
        <sz val="10"/>
        <color rgb="FF333333"/>
        <rFont val="Arial"/>
        <family val="2"/>
      </rPr>
      <t xml:space="preserve"> tous les autres s'appellent Ali</t>
    </r>
    <r>
      <rPr>
        <sz val="10"/>
        <color rgb="FF333333"/>
        <rFont val="Arial"/>
        <family val="2"/>
      </rPr>
      <t>, il devient une figure de l'oppression ordinaire. virilité ironique et désenchantée</t>
    </r>
  </si>
  <si>
    <t>Bohm.H.jpg</t>
  </si>
  <si>
    <t>Noyau théâtral / Stock company/ période centrale et tardive</t>
  </si>
  <si>
    <t>pers-michael-fengler</t>
  </si>
  <si>
    <t>Fengler</t>
  </si>
  <si>
    <t>Producteur, collaborateur</t>
  </si>
  <si>
    <r>
      <t xml:space="preserve">un des plus proches collaborateurs de RWF jusqu'à son éviction après </t>
    </r>
    <r>
      <rPr>
        <i/>
        <sz val="10"/>
        <color rgb="FF222222"/>
        <rFont val="Arial"/>
        <family val="2"/>
      </rPr>
      <t>Maria Braun</t>
    </r>
  </si>
  <si>
    <t>Il fait partie du groupe qui fonde l'antiteater et la société de production antiteater-X-Film</t>
  </si>
  <si>
    <t>Petit Chaos; Le Clochard; Le Bouc; Les Dieux de la peste; Pourquoi M. R. est-il atteint de folie meurtrière ?; Le Voyage à Niklashausen; Rio das Mortes; Whity; Le Marchand des quatre saisons; Le Rôti de Satan; Roulette chinoise; Le Mariage de Maria Braun</t>
  </si>
  <si>
    <t>film-1966-le-clochard; film-1967-le-clochard; film-1969-le-bouc; film-1969-l-amour-est-plus-froid-que-la-mort; film-1970-les-dieux-de-la-peste; film-1970-pourquoi-m-r-est-il-atteint-de-folie-meurtriere; film-1970-rio-das-mortes; film-1971-prenez-garde-a-la-sainte-putain; film-1971-whity; film-1972-le-marchand-des-quatre-saisons; film-1976-le-roti-de-satan; film-1976-roulette-chinoise; film-1979-le-mariage-de-maria-braun</t>
  </si>
  <si>
    <r>
      <t xml:space="preserve">Il assure la photographie du court-métrage Le Petit Chaos (1967) et participe au montage du Clochard (1966). Il l co-réalise </t>
    </r>
    <r>
      <rPr>
        <i/>
        <sz val="10"/>
        <color rgb="FF333333"/>
        <rFont val="Arial"/>
        <family val="2"/>
      </rPr>
      <t>Pourquoi monsieur R. est-il atteint de folie meurtrière</t>
    </r>
    <r>
      <rPr>
        <sz val="10"/>
        <color rgb="FF333333"/>
        <rFont val="Arial"/>
        <family val="2"/>
      </rPr>
      <t xml:space="preserve"> ? (1970). Produit plus de 12 films de RWF.</t>
    </r>
  </si>
  <si>
    <t>Fengler.jpg</t>
  </si>
  <si>
    <t xml:space="preserve"> Irm</t>
  </si>
  <si>
    <t>Figure essentielle de la dernière période, à la fois techniquement indispensable et historiquement décisive pour la conservation de l’héritage Fassbinder</t>
  </si>
  <si>
    <t>Collaborateur total, à la frontière du jeu et de la fabrication matérielle, chef décorateur , identité visuelle des films de RWF</t>
  </si>
  <si>
    <t>L’Amour est plus froid que la mort; Le Bouc; Les Dieux de la peste; Rio das Mortes; Prenez garde à la sainte putain; Huit heures ne font pas un jour; Le Marchand des quatre saisons; Les Larmes amères de Petra von Kant; Effi Briest; La Troisième génération; Le Mariage de Maria Braun; Berlin Alexanderplatz; Lili Marleen</t>
  </si>
  <si>
    <t>film-1969-l-amour-est-plus-froid-que-la-mort; film-1969-le-bouc; film-1970-les-dieux-de-la-peste; film-1970-rio-das-mortes; film-1971-prenez-garde-a-la-sainte-putain; film-1972-huit-heures-ne-font-pas-un-jour; film-1972-le-marchand-des-quatre-saisons; film-1972-les-larmes-ameres-de-petra-von-kant; film-1974-effi-briest; film-1979-la-troisieme-generation; film-1979-le-mariage-de-maria-braun; film-1980-berlin-alexanderplatz; film-1981-lili-marleen</t>
  </si>
  <si>
    <t>pers-elisabeth-trissenaar</t>
  </si>
  <si>
    <t>Elisabeth Trissenaar</t>
  </si>
  <si>
    <t>Trissenaar</t>
  </si>
  <si>
    <t>Elisabeth</t>
  </si>
  <si>
    <t xml:space="preserve">Jeu, prestige d'une actrice renommée. </t>
  </si>
  <si>
    <t xml:space="preserve">Actrice autrichienne de formatrice classique, elle est formée au prestigieux Max Reinhardt Seminar. Elle rejoint l'univers de RWF en 1974 pour une production au Theater am Turm (TAT) de Francfort. Perçue comme une intruse par le premier cercle, son travail avec le metteur en scène et compagnon Hans Neuenfelsla matintient à une certaine distance critique vis-à-vis du « système » Fassbinder, ne vivant jamais en communauté avec le groupe. </t>
  </si>
  <si>
    <t>La Femme du chef de gare; L’Année des treize lunes; Le Mariage de Maria Braun; Berlin Alexanderplatz</t>
  </si>
  <si>
    <t>film-1977-la-femme-du-chef-de-gare; film-1978-l-annee-des-treize-lunes; film-1979-le-mariage-de-maria-braun; film-1980-berlin-alexanderplatz</t>
  </si>
  <si>
    <r>
      <t xml:space="preserve">Aux côtés de Schygulla (la malléable) et de Carstensen (la nerveuse), Trissenaar incarne une féminité plus mûre, terrienne et dotée d'une autorité naturelle. Fassbinder l'utilise pour son jeu stylisé. Son personnage dans </t>
    </r>
    <r>
      <rPr>
        <i/>
        <sz val="10"/>
        <color rgb="FF333333"/>
        <rFont val="Arial"/>
        <family val="2"/>
      </rPr>
      <t>La femme du chef de gare</t>
    </r>
    <r>
      <rPr>
        <sz val="10"/>
        <color rgb="FF333333"/>
        <rFont val="Arial"/>
        <family val="2"/>
      </rPr>
      <t xml:space="preserve"> présente des points communs avec celui d'Elvira dans </t>
    </r>
    <r>
      <rPr>
        <i/>
        <sz val="10"/>
        <color rgb="FF333333"/>
        <rFont val="Arial"/>
        <family val="2"/>
      </rPr>
      <t>l'année des treize lunes :</t>
    </r>
    <r>
      <rPr>
        <sz val="10"/>
        <color rgb="FF333333"/>
        <rFont val="Arial"/>
        <family val="2"/>
      </rPr>
      <t xml:space="preserve"> elle aussi être prête à abandonner son identité au nom du désir. </t>
    </r>
  </si>
  <si>
    <t>Trissenaar.jpeg</t>
  </si>
  <si>
    <t>Incarne souvent des personnages de travestis ou qui se déguisent, dégage une inquiétante étrangeté.</t>
  </si>
  <si>
    <t>pers-waldleitner-luggi</t>
  </si>
  <si>
    <t>Luggi Waldleitner</t>
  </si>
  <si>
    <t>Waldleitner</t>
  </si>
  <si>
    <t>Luggi</t>
  </si>
  <si>
    <t>Producteur</t>
  </si>
  <si>
    <t xml:space="preserve">Production de prestige; Collaboration ponctuelle et opportuniste; </t>
  </si>
  <si>
    <r>
      <t xml:space="preserve">RWF se rapproche de Waldleitner pour Berlin Alexander Plats. La brouille du cinéaste avec son producteur historique, Fengler à propos des droits du </t>
    </r>
    <r>
      <rPr>
        <i/>
        <sz val="11"/>
        <rFont val="Carlito"/>
      </rPr>
      <t>Mariage de Maria Braun</t>
    </r>
    <r>
      <rPr>
        <sz val="11"/>
        <rFont val="Carlito"/>
      </rPr>
      <t xml:space="preserve"> ouvre de nouvelles collaborations. Waldleitner est à l'origine du projet de </t>
    </r>
    <r>
      <rPr>
        <i/>
        <sz val="11"/>
        <rFont val="Carlito"/>
      </rPr>
      <t>Lili Marleen, dont il détroit les droits de la chanson</t>
    </r>
    <r>
      <rPr>
        <sz val="11"/>
        <rFont val="Carlito"/>
      </rPr>
      <t>.</t>
    </r>
  </si>
  <si>
    <t>Lili Marleen;</t>
  </si>
  <si>
    <t xml:space="preserve">rwf-1981-lili-marleen; </t>
  </si>
  <si>
    <t xml:space="preserve">Producteur majeur du cinéma ouest allemand, plutôt tourné vers l'industrie et les films divertissants. Il fait quelques incursions dans le cinéma de prestigue, d'auteur. </t>
  </si>
  <si>
    <t>Waldleitner.jpeg</t>
  </si>
  <si>
    <t>Colonne1</t>
  </si>
  <si>
    <t>film-1969-le-bouc; film-1970-les-dieux-de-la-peste; film-1970-pourquoi-m-r-est-il-atteint-de-folie-meurtriere; film-1971-pionniers-a-ingolstadt; film-1971-whity; film-1972-le-marchand-des-quatre-saisons; film-1978-despair; film-1979-la-troisieme-generatio</t>
  </si>
  <si>
    <t>Colonne2</t>
  </si>
  <si>
    <t xml:space="preserve">Thomas Elsaesser, Rainer Werner Fassbinder : un cinéaste d’Allemagne, Paris, Centre Pompidou, 2005, chap. 8, p. 327-350.
Claire Kaiser, « Rainer Werner Fassbinder », conférence à la Cinémathèque de Toulouse, 2016 : https://www.youtube.com/watch?v=TMhzoG7NsLsb
Rainer Werner Fassbinder, scénario de L’Année des treize lunes, cité par Claire Kaiser dans cette conférence.
</t>
  </si>
  <si>
    <r>
      <rPr>
        <sz val="14"/>
        <color theme="1"/>
        <rFont val="Carlito"/>
      </rPr>
      <t xml:space="preserve">Le film dénonce la violence exercée par une société étriquée contre les étrnagers, violence que le personnage principal, d'origine grecque, reconduit avec des individus encore plus dominés que lui. Film à l'esthétique avant-gardiste, brechtienne par son caractère anti-illustionniste. Il est constitué d'une suite de brefs tableaux, d'images figées, de plans fontaux. Les mouvements de caméra sont rares : des travellings latéraux, sans profondeur d'images, conservent une forme de théâtralité à l'image. Comme d'autres films  de RWF de la période, </t>
    </r>
    <r>
      <rPr>
        <i/>
        <sz val="14"/>
        <color theme="1"/>
        <rFont val="Carlito"/>
      </rPr>
      <t xml:space="preserve">Le bouc </t>
    </r>
    <r>
      <rPr>
        <sz val="14"/>
        <color theme="1"/>
        <rFont val="Carlito"/>
      </rPr>
      <t xml:space="preserve">vise un public qui n'est ni restreint et cinéphile, ni populaire.  </t>
    </r>
  </si>
  <si>
    <r>
      <t xml:space="preserve">Réalisé dans l’urgence après le suicide d’Armin Meier, L’Année des treize lunes ne se réduit pas à la transposition d’un deuil privé. Fassbinder reprend certains éléments de la vie de son ancien compagnon, mais les inscrit dans une réflexion plus vaste sur l’abandon, l’exploitation et l’impossibilité de réparer le passé. Le récit des cinq derniers jours d’Elvira est construit comme un parcours à rebours : abattoirs, couvent, bureaux d’Anton, appartement familial. À chaque étape, elle cherche dans les lieux et les récits d’autrui une continuité biographique qui lui échappe. Le film fait ainsi du corps et de la mémoire les deux faces d’une même histoire brisée. L’approche de Claire Kaiser part de la présence physique de Volker Spengler et de la manière dont Fassbinder la filme. Le corps d’Elvira, lourd, meurtri, changeant d’apparence et constamment exposé aux regards, s’écarte de toute représentation idéalisée de la transition. Cette « défiguration » n’a pas pour fonction de réduire le personnage au grotesque : elle rend visibles les violences qui l’ont façonné. Dès l’ouverture, Elvira est battue et contrainte de ramper ; dans l’appartement, Christof détruit son image en la plaçant devant le miroir ; à l’abattoir, son récit se superpose aux opérations d’équarrissage. La mise en scène rapproche alors corps humain et carcasse animale. Pour Kaiser, cette assimilation possède une portée politique : l’organisation capitaliste transforme le vivant en matière exploitable, tandis que le trafic de viande conduit au trafic des êtres et à la prostitution. Kaiser prolonge cette lecture à travers Anton Saitz. Rescapé de Bergen-Belsen, celui-ci reproduit dans ses entreprises la discipline apprise dans le camp : « la même structure d’ordre, d’obéissance, de devoir et de peur » (scénario de Fassbinder, cité par Claire Kaiser). La victime historique devient donc elle-même l’agent d’un ordre économique totalitaire, sans que le film efface pour autant l’asymétrie des positions. La scène où Anton et ses hommes imitent </t>
    </r>
    <r>
      <rPr>
        <i/>
        <sz val="14"/>
        <color rgb="FF000000"/>
        <rFont val="Carlito"/>
      </rPr>
      <t xml:space="preserve">You’re Never Too Young (Chérie je me sens rajeunir, 1955) </t>
    </r>
    <r>
      <rPr>
        <sz val="14"/>
        <color rgb="FF000000"/>
        <rFont val="Carlito"/>
      </rPr>
      <t>de Norman Taurog condense ce mécanisme : chacun reproduit les gestes du chef, qui copie lui-même une image hollywoodienne. L’imitation burlesque révèle un système où les corps obéissent à une loi qu’ils ne comprennent pas. Chez Kaiser, le corps d’Elvira est ainsi politique parce qu’il enregistre matériellement le refoulement historique, la domination sociale et la circulation de la violence. Thomas Elsaesser adopte un autre point de départ. Il lit le film comme la « solution imaginaire » d’un problème historique spécifiquement allemand : comment vivre, aimer et se définir après Auschwitz ? L’amour sans retour d’Elvira pour Anton devient le noyau d’une rencontre à la fois indispensable et impossible entre un Allemand né sous le nazisme et un Juif survivant des camps. Elsaesser ne fait pourtant pas des personnages de simples symboles. Il insiste au contraire sur l’impossibilité de convertir la faute en dette acquittable : aucune compensation ne peut abolir l’incommensurabilité entre victimes et héritiers de la culpabilité. Elvira sacrifie son corps, son nom, sa famille et sa place sociale pour obtenir d’Anton une reconnaissance qui lui demeure refusée ; ce sacrifice sans fondement rend sensible l’impasse d’un désir de réparation. Cette lecture est aussi temporelle. Elvira et Anton sont tous deux pris dans des boucles : elle revient sur les lieux de sa vie, tandis qu’Anton répète une comédie américaine et une discipline héritée du passé concentrationnaire. Leur rencontre est indéfiniment différée. Elsaesser décrit alors le corps d’Elvira comme une sorte de machine à remonter le temps, où les identités masculine, féminine, homosexuelle, asexuée et transsexuelle se succèdent sans former une évolution stable. Ce corps, à la fois intérieur et extérieur, présence et absence, devient une « plaie ouverte », un « corps sans peau » (Thomas Elsaesser, p. 346) sur lequel s’inscrivent le désir des autres et une histoire nationale non résolue. Les deux analyses se complètent donc sans se confondre. Kaiser montre comment la critique s’élabore concrètement par le jeu de l’acteur, les humiliations, les miroirs, l’abattoir et les gestes d’imitation ; Elsaesser interprète cette fragilité corporelle comme une forme historique, travaillée par le déphasage temporel, la culpabilité et l’impossible relation entre Allemands et Juifs après la Shoah. Leur articulation permet enfin de définir le film comme un mélodrame post-classique : la souffrance n’y est ni réprimée ni véritablement mise en mots, mais exprimée par un corps qui déborde toutes les identités assignables. Né d’une décision de survivre au deuil, le film transforme ainsi la douleur intime en interrogation politique sur ce que signifie « devenir allemand » après Auschwitz.</t>
    </r>
  </si>
  <si>
    <r>
      <t xml:space="preserve">À Zurich en 1938, Willie, chanteuse allemande, aime Robert Mendelsson, musicien juif suisse engagé dans une organisation qui aide des Juifs à fuir l’Allemagne nazie. Séparés par les événements, Robert poursuit la lutte clandestine tandis que Willie devient une vedette du Reich grâce à la chanson « Lili Marleen », sans renoncer à aider Robert et sa famille.le film s'inspire de la créatrice de la chanson </t>
    </r>
    <r>
      <rPr>
        <i/>
        <sz val="14"/>
        <rFont val="Carlito"/>
      </rPr>
      <t>Lili Marleen</t>
    </r>
    <r>
      <rPr>
        <sz val="14"/>
        <rFont val="Carlito"/>
      </rPr>
      <t xml:space="preserve"> : Lale Andersen. Une de ses chansons d'amour connut pendant la seconde guerre mondiale un succès inédit, devant une sorte d'hymne affectif pour les soldats ; une chanson d'amour devenait emblématique de la guerre. </t>
    </r>
  </si>
  <si>
    <t>This night</t>
  </si>
  <si>
    <t>rwf-1966-this-night</t>
  </si>
  <si>
    <t>rwf-1970-le-cafe</t>
  </si>
  <si>
    <t>Le Café</t>
  </si>
  <si>
    <t>Das Kaffehause</t>
  </si>
  <si>
    <t>Le cinéma comme espace de pouvoir et de destruction
Dans Prenez garde à la sainte putain, Fassbinder met en scène une équipe de tournage immobilisée dans un hôtel espagnol par des difficultés financières. L'attente, les rivalités et les relations affectives révèlent progressivement les tensions qui traversent le collectif cinématographique.
L'hôtel devient un espace de surveillance, de désir et de violence, où les rapports professionnels et les relations privées s'entremêlent. Le pouvoir du metteur en scène, incarné par Jeff, repose sur l'autorité, l'humiliation et la menace, mais cette violence révèle aussi son impuissance face aux contraintes économiques et à ses propres dépendances.
La mise en scène associe le chaos de la production à une forme fragmentée : saynètes discontinues, corps dispersés, dialogues et conflits qui désagrègent le groupe. La séquence finale du film tourné par l'équipe, Patria o Muerte , introduit cependant une rupture : le désordre laisse place à une composition maîtrisée, à des mouvements de caméra élégants et à une temporalité propre au cinéma.
Le film interroge ainsi la contradiction entre la dimension collective de la création cinématographique et les rapports de domination qui l'organisent. Il met en tension la représentation de la violence et sa reproduction dans les conditions mêmes du tournage. La beauté de l'image finale ne résout pas cette contradiction : elle fait apparaître la puissance formelle du cinéma au sein d'un système de relations destructrices.</t>
  </si>
  <si>
    <t>La fragmentation du sujet dans l'histoire
À travers l'adaptation du roman d'Alfred Döblin, Fassbinder construit une œuvre télévisuelle où le destin de Franz Biberkopf se trouve pris dans les forces sociales, affectives et historiques du Berlin des années 1920.
Le collage, caractéristique de l'écriture de Döblin, est transposé au cinéma par la juxtaposition des images, des sons, des textes et des espaces. La ville n'est pas un simple décor : elle constitue un réseau de signes et de forces qui traversent les personnages. Cette forme fragmentée traduit également la difficulté du sujet à se construire comme individu autonome.
Franz cherche à retrouver une place dans la société après sa sortie de prison, mais son existence reste déterminée par les rapports de pouvoir, la violence et les relations de dépendance. Son corps, notamment après la mutilation infligée par Reinhold, devient le lieu où se manifestent les tensions entre virilité, impuissance, désir et domination.
Le regard occupe une place centrale dans la mise en scène. Miroirs, surcadrages, obstacles visuels et mouvements de caméra empêchent l'accès direct à une intériorité stable. Les personnages sont constitués par les regards, les fantasmes et les rapports de force qui les entourent.
L'épilogue radicalise cette fragmentation en faisant éclater les repères narratifs et spatiaux. Le rêve, les références religieuses et mythologiques et les images de violence transforment le récit en une exploration de la culpabilité, du désir et de l'histoire. La trajectoire de Franz ne se conclut pas par une libération définitive : la connaissance de soi reste liée aux forces sociales et historiques qui l'ont constitué.
Berlin Alexanderplatz interroge ainsi la possibilité de construire une identité individuelle dans un monde traversé par la violence. L'histoire allemande n'est pas seulement un contexte : elle se manifeste dans les corps, les relations et les formes de représentation. L'épilogue fait de la fragmentation du récit une possibilité de connaissance, sans effacer la persistance du passé.</t>
  </si>
  <si>
    <t>Hanna Schygulla : Maria Braun
Klaus Löwitsch : Hermann Braun
Ivan Desny : Karl Oswald
Elisabeth Trissenaar : Betti Klenze
John Gottfried : Willi Klenze
Hark Bohm : Senkenberg
George Byrd : Bill
Gisela Uhlen : la mère
Peter Berling : Bronski
Volker Spengler : le chef de train
Lilo Pempeit : Mme Ehmke
Karl-Heinz von Hassel : le procureur général
Rainer Werner Fassbinder : l’homme du marché noir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</si>
</sst>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Carlito"/>
    </font>
    <font>
      <b/>
      <sz val="11"/>
      <color rgb="FFFFFFFF"/>
      <name val="Carlito"/>
    </font>
    <font>
      <b/>
      <sz val="16"/>
      <color rgb="FFFFFFFF"/>
      <name val="Carlito"/>
    </font>
    <font>
      <b/>
      <sz val="11"/>
      <color rgb="FFB84213"/>
      <name val="Carlito"/>
    </font>
    <font>
      <b/>
      <sz val="11"/>
      <name val="Carlito"/>
    </font>
    <font>
      <sz val="11"/>
      <color rgb="FF1F4E78"/>
      <name val="Carlito"/>
    </font>
    <font>
      <b/>
      <sz val="11"/>
      <color rgb="FF1F4E78"/>
      <name val="Carlito"/>
    </font>
    <font>
      <sz val="11"/>
      <color theme="1"/>
      <name val="Carlito"/>
    </font>
    <font>
      <i/>
      <sz val="11"/>
      <name val="Carlito"/>
    </font>
    <font>
      <sz val="9"/>
      <color rgb="FF56343A"/>
      <name val="IBM Plex Mono"/>
    </font>
    <font>
      <sz val="10"/>
      <color rgb="FF222222"/>
      <name val="Arial"/>
      <family val="2"/>
    </font>
    <font>
      <sz val="8"/>
      <color rgb="FF56343A"/>
      <name val="IBM Plex Mono"/>
    </font>
    <font>
      <sz val="10"/>
      <color rgb="FF333333"/>
      <name val="Arial"/>
      <family val="2"/>
    </font>
    <font>
      <sz val="12"/>
      <name val="Times New Roman"/>
      <family val="1"/>
    </font>
    <font>
      <i/>
      <sz val="10"/>
      <color rgb="FF333333"/>
      <name val="Arial"/>
      <family val="2"/>
    </font>
    <font>
      <i/>
      <sz val="10"/>
      <color rgb="FF222222"/>
      <name val="Arial"/>
      <family val="2"/>
    </font>
    <font>
      <sz val="8"/>
      <name val="IBM Plex Mono"/>
    </font>
    <font>
      <sz val="9"/>
      <color rgb="FF000000"/>
      <name val="IBM Plex Mono"/>
    </font>
    <font>
      <sz val="14"/>
      <color theme="1"/>
      <name val="Carlito"/>
    </font>
    <font>
      <sz val="14"/>
      <name val="Carlito"/>
    </font>
    <font>
      <i/>
      <sz val="14"/>
      <color theme="1"/>
      <name val="Carlito"/>
    </font>
    <font>
      <sz val="14"/>
      <color rgb="FF000000"/>
      <name val="Carlito"/>
    </font>
    <font>
      <i/>
      <sz val="14"/>
      <color rgb="FF000000"/>
      <name val="Carlito"/>
    </font>
    <font>
      <i/>
      <sz val="14"/>
      <name val="Carlito"/>
    </font>
  </fonts>
  <fills count="10">
    <fill>
      <patternFill patternType="none"/>
    </fill>
    <fill>
      <patternFill patternType="gray125"/>
    </fill>
    <fill>
      <patternFill patternType="solid">
        <fgColor rgb="FF182B3A"/>
      </patternFill>
    </fill>
    <fill>
      <patternFill patternType="solid">
        <fgColor rgb="FFF06424"/>
      </patternFill>
    </fill>
    <fill>
      <patternFill patternType="solid">
        <fgColor rgb="FFFFF4ED"/>
      </patternFill>
    </fill>
    <fill>
      <patternFill patternType="solid">
        <fgColor rgb="FFE8EEF2"/>
      </patternFill>
    </fill>
    <fill>
      <patternFill patternType="solid">
        <fgColor rgb="FF1F4E78"/>
      </patternFill>
    </fill>
    <fill>
      <patternFill patternType="solid">
        <fgColor rgb="FFEEF5FA"/>
      </patternFill>
    </fill>
    <fill>
      <patternFill patternType="solid">
        <fgColor theme="2"/>
      </patternFill>
    </fill>
    <fill>
      <patternFill patternType="solid">
        <fgColor theme="0"/>
        <bgColor indexed="64"/>
      </patternFill>
    </fill>
  </fills>
  <borders count="4">
    <border>
      <left/>
      <right/>
      <top/>
      <bottom/>
      <diagonal/>
    </border>
    <border>
      <left/>
      <right/>
      <top/>
      <bottom style="thin">
        <color rgb="FFD9D1CC"/>
      </bottom>
      <diagonal/>
    </border>
    <border>
      <left/>
      <right/>
      <top style="thin">
        <color rgb="FFD9D1CC"/>
      </top>
      <bottom style="thin">
        <color rgb="FFD9D1CC"/>
      </bottom>
      <diagonal/>
    </border>
    <border>
      <left/>
      <right/>
      <top style="thin">
        <color rgb="FFD9D1CC"/>
      </top>
      <bottom/>
      <diagonal/>
    </border>
  </borders>
  <cellStyleXfs count="1">
    <xf numFmtId="0" fontId="0" fillId="0" borderId="0"/>
  </cellStyleXfs>
  <cellXfs count="42">
    <xf numFmtId="0" fontId="0" fillId="0" borderId="0" xfId="0"/>
    <xf numFmtId="0" fontId="0" fillId="0" borderId="0" xfId="0" applyAlignment="1">
      <alignment wrapText="1"/>
    </xf>
    <xf numFmtId="0" fontId="1" fillId="3" borderId="0" xfId="0" applyFont="1" applyFill="1"/>
    <xf numFmtId="0" fontId="3" fillId="4" borderId="0" xfId="0" applyFont="1" applyFill="1" applyAlignment="1">
      <alignment wrapText="1"/>
    </xf>
    <xf numFmtId="0" fontId="4" fillId="5" borderId="0" xfId="0" applyFont="1" applyFill="1" applyAlignment="1">
      <alignment wrapText="1"/>
    </xf>
    <xf numFmtId="0" fontId="1" fillId="6" borderId="0" xfId="0" applyFont="1" applyFill="1" applyAlignment="1">
      <alignment horizontal="center" vertical="center" wrapText="1"/>
    </xf>
    <xf numFmtId="0" fontId="5" fillId="7" borderId="0" xfId="0" applyFont="1" applyFill="1" applyAlignment="1">
      <alignment wrapText="1"/>
    </xf>
    <xf numFmtId="0" fontId="6" fillId="0" borderId="0" xfId="0" applyFont="1" applyAlignment="1">
      <alignment wrapText="1"/>
    </xf>
    <xf numFmtId="0" fontId="0" fillId="0" borderId="0" xfId="0" applyAlignment="1">
      <alignment vertical="top" wrapText="1"/>
    </xf>
    <xf numFmtId="0" fontId="7" fillId="8" borderId="0" xfId="0" applyFont="1" applyFill="1" applyAlignment="1">
      <alignment horizontal="left" vertical="top" wrapText="1"/>
    </xf>
    <xf numFmtId="0" fontId="7" fillId="8" borderId="0" xfId="0" applyFont="1" applyFill="1" applyAlignment="1">
      <alignment horizontal="left" vertical="top"/>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2" fillId="0" borderId="0" xfId="0" applyFont="1" applyAlignment="1">
      <alignment horizontal="left" vertical="top" wrapText="1"/>
    </xf>
    <xf numFmtId="0" fontId="9" fillId="0" borderId="2" xfId="0" applyFont="1" applyBorder="1" applyAlignment="1">
      <alignment vertical="top" wrapText="1"/>
    </xf>
    <xf numFmtId="0" fontId="10" fillId="0" borderId="2" xfId="0" applyFont="1" applyBorder="1" applyAlignment="1">
      <alignment vertical="top" wrapText="1"/>
    </xf>
    <xf numFmtId="0" fontId="11" fillId="0" borderId="2" xfId="0" applyFont="1" applyBorder="1" applyAlignment="1">
      <alignment vertical="top" wrapText="1"/>
    </xf>
    <xf numFmtId="0" fontId="13" fillId="0" borderId="0" xfId="0" applyFont="1" applyAlignment="1">
      <alignment vertical="top"/>
    </xf>
    <xf numFmtId="0" fontId="16" fillId="0" borderId="0" xfId="0" applyFont="1" applyAlignment="1">
      <alignment vertical="top" wrapText="1"/>
    </xf>
    <xf numFmtId="0" fontId="0" fillId="0" borderId="0" xfId="0" applyAlignment="1">
      <alignment horizontal="left" vertical="top" wrapText="1"/>
    </xf>
    <xf numFmtId="0" fontId="17" fillId="0" borderId="0" xfId="0" applyFont="1" applyAlignment="1">
      <alignment vertical="top"/>
    </xf>
    <xf numFmtId="0" fontId="15" fillId="0" borderId="2" xfId="0" applyFont="1" applyBorder="1" applyAlignment="1">
      <alignment vertical="top" wrapText="1"/>
    </xf>
    <xf numFmtId="0" fontId="9" fillId="0" borderId="3" xfId="0" applyFont="1" applyBorder="1" applyAlignment="1">
      <alignment vertical="top" wrapText="1"/>
    </xf>
    <xf numFmtId="0" fontId="10" fillId="0" borderId="3" xfId="0" applyFont="1" applyBorder="1" applyAlignment="1">
      <alignment vertical="top" wrapText="1"/>
    </xf>
    <xf numFmtId="0" fontId="11" fillId="0" borderId="3" xfId="0" applyFont="1" applyBorder="1" applyAlignment="1">
      <alignment vertical="top" wrapText="1"/>
    </xf>
    <xf numFmtId="0" fontId="0" fillId="0" borderId="0" xfId="0" applyAlignment="1">
      <alignment vertical="top"/>
    </xf>
    <xf numFmtId="0" fontId="18" fillId="8" borderId="0" xfId="0" applyFont="1" applyFill="1" applyAlignment="1">
      <alignment horizontal="left" vertical="top" wrapText="1"/>
    </xf>
    <xf numFmtId="0" fontId="19" fillId="0" borderId="0" xfId="0" applyFont="1" applyAlignment="1">
      <alignment vertical="top" wrapText="1"/>
    </xf>
    <xf numFmtId="1" fontId="19" fillId="0" borderId="0" xfId="0" applyNumberFormat="1" applyFont="1" applyAlignment="1">
      <alignment vertical="top" wrapText="1"/>
    </xf>
    <xf numFmtId="0" fontId="19" fillId="0" borderId="0" xfId="0" applyFont="1"/>
    <xf numFmtId="0" fontId="21" fillId="0" borderId="0" xfId="0" applyFont="1" applyAlignment="1">
      <alignment vertical="top" wrapText="1"/>
    </xf>
    <xf numFmtId="49" fontId="19" fillId="0" borderId="0" xfId="0" applyNumberFormat="1" applyFont="1" applyAlignment="1">
      <alignment horizontal="left" vertical="top" wrapText="1"/>
    </xf>
    <xf numFmtId="0" fontId="18" fillId="9" borderId="0" xfId="0" applyFont="1" applyFill="1" applyAlignment="1">
      <alignment vertical="top" wrapText="1"/>
    </xf>
    <xf numFmtId="0" fontId="18" fillId="9" borderId="0" xfId="0" applyFont="1" applyFill="1" applyAlignment="1">
      <alignment horizontal="center" vertical="top" wrapText="1"/>
    </xf>
    <xf numFmtId="0" fontId="18" fillId="9" borderId="0" xfId="0" applyFont="1" applyFill="1" applyAlignment="1">
      <alignment horizontal="left" vertical="top" wrapText="1"/>
    </xf>
    <xf numFmtId="0" fontId="7" fillId="9" borderId="0" xfId="0" applyFont="1" applyFill="1" applyAlignment="1">
      <alignment vertical="top" wrapText="1"/>
    </xf>
    <xf numFmtId="0" fontId="7" fillId="9" borderId="0" xfId="0" applyFont="1" applyFill="1" applyAlignment="1">
      <alignment vertical="top"/>
    </xf>
    <xf numFmtId="1" fontId="19" fillId="0" borderId="0" xfId="0" applyNumberFormat="1" applyFont="1" applyAlignment="1">
      <alignment horizontal="left" vertical="top" wrapText="1"/>
    </xf>
    <xf numFmtId="0" fontId="1" fillId="6" borderId="0" xfId="0" applyFont="1" applyFill="1" applyAlignment="1">
      <alignment horizontal="left" vertical="center" wrapText="1"/>
    </xf>
    <xf numFmtId="0" fontId="0" fillId="0" borderId="0" xfId="0" applyAlignment="1">
      <alignment horizontal="left"/>
    </xf>
    <xf numFmtId="0" fontId="2" fillId="2" borderId="0" xfId="0" applyFont="1" applyFill="1" applyAlignment="1">
      <alignment horizontal="left" vertical="center" wrapText="1"/>
    </xf>
  </cellXfs>
  <cellStyles count="1">
    <cellStyle name="Normal" xfId="0" builtinId="0"/>
  </cellStyles>
  <dxfs count="46">
    <dxf>
      <fill>
        <patternFill>
          <bgColor rgb="FFF3F6F8"/>
        </patternFill>
      </fill>
    </dxf>
    <dxf>
      <fill>
        <patternFill>
          <bgColor rgb="FFF3F6F8"/>
        </patternFill>
      </fill>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10"/>
        <color rgb="FF333333"/>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8"/>
        <color rgb="FF56343A"/>
        <name val="IBM Plex Mono"/>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9"/>
        <color rgb="FF56343A"/>
        <name val="IBM Plex Mono"/>
        <scheme val="none"/>
      </font>
      <alignment horizontal="general" vertical="top" textRotation="0" wrapText="1" indent="0" justifyLastLine="0" shrinkToFit="0" readingOrder="0"/>
      <border diagonalUp="0" diagonalDown="0">
        <left/>
        <right/>
        <top style="thin">
          <color rgb="FFD9D1CC"/>
        </top>
        <bottom style="thin">
          <color rgb="FFD9D1CC"/>
        </bottom>
        <vertical/>
        <horizontal/>
      </border>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rgb="FF222222"/>
        <name val="Arial"/>
        <family val="2"/>
        <scheme val="none"/>
      </font>
      <alignment horizontal="general" vertical="top" textRotation="0" wrapText="1" indent="0" justifyLastLine="0" shrinkToFit="0" readingOrder="0"/>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alignment horizontal="left" textRotation="0" indent="0" justifyLastLine="0" shrinkToFit="0" readingOrder="0"/>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
      <font>
        <strike val="0"/>
        <outline val="0"/>
        <shadow val="0"/>
        <u val="none"/>
        <vertAlign val="baseline"/>
        <sz val="14"/>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lmsTable" displayName="FilmsTable" ref="A1:AA46" dataDxfId="45">
  <tableColumns count="27">
    <tableColumn id="1" xr3:uid="{00000000-0010-0000-0000-000001000000}" name="ID" dataDxfId="44"/>
    <tableColumn id="2" xr3:uid="{00000000-0010-0000-0000-000002000000}" name="Titre français" dataDxfId="43"/>
    <tableColumn id="3" xr3:uid="{00000000-0010-0000-0000-000003000000}" name="Titre original" dataDxfId="42"/>
    <tableColumn id="4" xr3:uid="{00000000-0010-0000-0000-000004000000}" name="Année" dataDxfId="41"/>
    <tableColumn id="5" xr3:uid="{00000000-0010-0000-0000-000005000000}" name="Type" dataDxfId="40"/>
    <tableColumn id="6" xr3:uid="{00000000-0010-0000-0000-000006000000}" name="Durée (min)" dataDxfId="39"/>
    <tableColumn id="7" xr3:uid="{00000000-0010-0000-0000-000007000000}" name="Pays" dataDxfId="38"/>
    <tableColumn id="8" xr3:uid="{00000000-0010-0000-0000-000008000000}" name="Réalisation" dataDxfId="37"/>
    <tableColumn id="9" xr3:uid="{00000000-0010-0000-0000-000009000000}" name="Scénario" dataDxfId="36"/>
    <tableColumn id="10" xr3:uid="{00000000-0010-0000-0000-00000A000000}" name="Image" dataDxfId="35"/>
    <tableColumn id="11" xr3:uid="{00000000-0010-0000-0000-00000B000000}" name="Montage" dataDxfId="34"/>
    <tableColumn id="28" xr3:uid="{00000000-0010-0000-0000-00001C000000}" name="Décors" dataDxfId="33"/>
    <tableColumn id="12" xr3:uid="{00000000-0010-0000-0000-00000C000000}" name="Musique" dataDxfId="32"/>
    <tableColumn id="13" xr3:uid="{00000000-0010-0000-0000-00000D000000}" name="Production" dataDxfId="31"/>
    <tableColumn id="14" xr3:uid="{00000000-0010-0000-0000-00000E000000}" name="Distribution artistique" dataDxfId="30"/>
    <tableColumn id="15" xr3:uid="{00000000-0010-0000-0000-00000F000000}" name="Équipe technique" dataDxfId="29"/>
    <tableColumn id="16" xr3:uid="{00000000-0010-0000-0000-000010000000}" name="Synopsis" dataDxfId="28"/>
    <tableColumn id="17" xr3:uid="{00000000-0010-0000-0000-000011000000}" name="Extraits" dataDxfId="27"/>
    <tableColumn id="18" xr3:uid="{00000000-0010-0000-0000-000012000000}" name="Analyse" dataDxfId="26"/>
    <tableColumn id="19" xr3:uid="{00000000-0010-0000-0000-000013000000}" name="Bibliographie" dataDxfId="25"/>
    <tableColumn id="20" xr3:uid="{00000000-0010-0000-0000-000014000000}" name="Affiche" dataDxfId="24"/>
    <tableColumn id="21" xr3:uid="{00000000-0010-0000-0000-000015000000}" name="Légende affiche" dataDxfId="23"/>
    <tableColumn id="22" xr3:uid="{00000000-0010-0000-0000-000016000000}" name="Source affiche" dataDxfId="22"/>
    <tableColumn id="23" xr3:uid="{00000000-0010-0000-0000-000017000000}" name="Liens chronologie" dataDxfId="21"/>
    <tableColumn id="24" xr3:uid="{00000000-0010-0000-0000-000018000000}" name="Mots-clés" dataDxfId="20"/>
    <tableColumn id="25" xr3:uid="{00000000-0010-0000-0000-000019000000}" name="Sources" dataDxfId="19"/>
    <tableColumn id="26" xr3:uid="{00000000-0010-0000-0000-00001A000000}" name="Statut"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ferentielEntourage" displayName="ReferentielEntourage" ref="A1:N27" totalsRowShown="0" headerRowDxfId="17" dataDxfId="16">
  <tableColumns count="14">
    <tableColumn id="1" xr3:uid="{00000000-0010-0000-0100-000001000000}" name="pers-harry-baer" dataDxfId="15"/>
    <tableColumn id="2" xr3:uid="{00000000-0010-0000-0100-000002000000}" name="Harry Baer" dataDxfId="14"/>
    <tableColumn id="3" xr3:uid="{00000000-0010-0000-0100-000003000000}" name="Baer" dataDxfId="13"/>
    <tableColumn id="4" xr3:uid="{00000000-0010-0000-0100-000004000000}" name="Harry" dataDxfId="12"/>
    <tableColumn id="5" xr3:uid="{00000000-0010-0000-0100-000005000000}" name="Colonne1" dataDxfId="11"/>
    <tableColumn id="6" xr3:uid="{00000000-0010-0000-0100-000006000000}" name="Noyau théâtral / Factory" dataDxfId="10"/>
    <tableColumn id="7" xr3:uid="{00000000-0010-0000-0100-000007000000}" name="Acteur, assistant, production" dataDxfId="9"/>
    <tableColumn id="8" xr3:uid="{00000000-0010-0000-0100-000008000000}" name="Jeu, soutien de production, présence interne" dataDxfId="8"/>
    <tableColumn id="9" xr3:uid="{00000000-0010-0000-0100-000009000000}" name="Proche compagnon de travail et membre du cercle masculin du collectif" dataDxfId="7"/>
    <tableColumn id="10" xr3:uid="{00000000-0010-0000-0100-00000A000000}" name="Le Bouc; Les Dieux de la peste; Pourquoi M. R. est-il atteint de folie meurtrière ?; Pionniers à Ingolstadt; Whity; Le Marchand des quatre saisons; Despair; La Troisième génération; Le Secret de Veronika Voss; Lili Marleen; Lola, une femme allemande" dataDxfId="6"/>
    <tableColumn id="11" xr3:uid="{00000000-0010-0000-0100-00000B000000}" name="film-1969-le-bouc; film-1970-les-dieux-de-la-peste; film-1970-pourquoi-m-r-est-il-atteint-de-folie-meurtriere; film-1971-pionniers-a-ingolstadt; film-1971-whity; film-1972-le-marchand-des-quatre-saisons; film-1978-despair; film-1979-la-troisieme-generatio" dataDxfId="5"/>
    <tableColumn id="12" xr3:uid="{00000000-0010-0000-0100-00000C000000}" name="Colonne2" dataDxfId="4"/>
    <tableColumn id="13" xr3:uid="{00000000-0010-0000-0100-00000D000000}" name="Témoin de l’intérieur du collectif, relais organisationnel" dataDxfId="3"/>
    <tableColumn id="14" xr3:uid="{00000000-0010-0000-0100-00000E000000}" name="Baer.jpg"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6"/>
  <sheetViews>
    <sheetView tabSelected="1" topLeftCell="D38" zoomScale="79" zoomScaleNormal="79" workbookViewId="0">
      <selection activeCell="Z39" sqref="Z39"/>
    </sheetView>
  </sheetViews>
  <sheetFormatPr baseColWidth="10" defaultColWidth="8.83203125" defaultRowHeight="14"/>
  <cols>
    <col min="1" max="1" width="24" customWidth="1"/>
    <col min="2" max="2" width="34" customWidth="1"/>
    <col min="3" max="3" width="32" customWidth="1"/>
    <col min="4" max="4" width="10" style="40" customWidth="1"/>
    <col min="5" max="5" width="24" customWidth="1"/>
    <col min="6" max="6" width="12" customWidth="1"/>
    <col min="7" max="7" width="14" customWidth="1"/>
    <col min="8" max="8" width="24" customWidth="1"/>
    <col min="9" max="9" width="34" customWidth="1"/>
    <col min="10" max="12" width="24" customWidth="1"/>
    <col min="13" max="13" width="20" customWidth="1"/>
    <col min="14" max="14" width="26" customWidth="1"/>
    <col min="15" max="16" width="42" customWidth="1"/>
    <col min="17" max="17" width="50" customWidth="1"/>
    <col min="18" max="18" width="35" customWidth="1"/>
    <col min="19" max="19" width="50" customWidth="1"/>
    <col min="20" max="20" width="35" customWidth="1"/>
    <col min="21" max="21" width="24" customWidth="1"/>
    <col min="22" max="23" width="30" customWidth="1"/>
    <col min="24" max="24" width="18" customWidth="1"/>
    <col min="25" max="25" width="34" customWidth="1"/>
    <col min="26" max="26" width="30" customWidth="1"/>
    <col min="27" max="27" width="22" customWidth="1"/>
    <col min="28" max="28" width="16" customWidth="1"/>
    <col min="29" max="30" width="42" customWidth="1"/>
    <col min="31" max="31" width="38" customWidth="1"/>
  </cols>
  <sheetData>
    <row r="1" spans="1:30" ht="107" customHeight="1">
      <c r="A1" s="5" t="s">
        <v>0</v>
      </c>
      <c r="B1" s="5" t="s">
        <v>1</v>
      </c>
      <c r="C1" s="5" t="s">
        <v>2</v>
      </c>
      <c r="D1" s="39"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1" t="s">
        <v>27</v>
      </c>
      <c r="AC1" s="1" t="s">
        <v>28</v>
      </c>
      <c r="AD1" s="1" t="s">
        <v>29</v>
      </c>
    </row>
    <row r="2" spans="1:30" s="37" customFormat="1" ht="107" customHeight="1">
      <c r="A2" s="34" t="s">
        <v>845</v>
      </c>
      <c r="B2" s="35" t="s">
        <v>844</v>
      </c>
      <c r="C2" s="35" t="s">
        <v>844</v>
      </c>
      <c r="D2" s="35">
        <v>1966</v>
      </c>
      <c r="E2" s="34" t="s">
        <v>32</v>
      </c>
      <c r="F2" s="34"/>
      <c r="G2" s="35" t="s">
        <v>33</v>
      </c>
      <c r="H2" s="33" t="s">
        <v>34</v>
      </c>
      <c r="I2" s="34"/>
      <c r="J2" s="34"/>
      <c r="K2" s="34"/>
      <c r="L2" s="34"/>
      <c r="M2" s="34"/>
      <c r="N2" s="34"/>
      <c r="O2" s="34"/>
      <c r="P2" s="34"/>
      <c r="Q2" s="34"/>
      <c r="R2" s="34"/>
      <c r="S2" s="34"/>
      <c r="T2" s="34"/>
      <c r="U2" s="34"/>
      <c r="V2" s="34"/>
      <c r="W2" s="34"/>
      <c r="X2" s="34"/>
      <c r="Y2" s="34"/>
      <c r="Z2" s="34"/>
      <c r="AA2" s="34"/>
      <c r="AB2" s="36"/>
      <c r="AC2" s="36"/>
      <c r="AD2" s="36"/>
    </row>
    <row r="3" spans="1:30" s="10" customFormat="1" ht="107" customHeight="1">
      <c r="A3" s="27" t="s">
        <v>30</v>
      </c>
      <c r="B3" s="27" t="s">
        <v>31</v>
      </c>
      <c r="C3" s="27" t="s">
        <v>582</v>
      </c>
      <c r="D3" s="27">
        <v>1966</v>
      </c>
      <c r="E3" s="27" t="s">
        <v>32</v>
      </c>
      <c r="F3" s="27">
        <v>10</v>
      </c>
      <c r="G3" s="27" t="s">
        <v>33</v>
      </c>
      <c r="H3" s="28" t="s">
        <v>34</v>
      </c>
      <c r="I3" s="27" t="s">
        <v>34</v>
      </c>
      <c r="J3" s="27" t="s">
        <v>583</v>
      </c>
      <c r="K3" s="27"/>
      <c r="L3" s="27"/>
      <c r="M3" s="27"/>
      <c r="N3" s="27" t="s">
        <v>584</v>
      </c>
      <c r="O3" s="27" t="s">
        <v>585</v>
      </c>
      <c r="P3" s="27" t="s">
        <v>586</v>
      </c>
      <c r="Q3" s="27" t="s">
        <v>587</v>
      </c>
      <c r="R3" s="27"/>
      <c r="S3" s="27"/>
      <c r="T3" s="27"/>
      <c r="U3" s="27"/>
      <c r="V3" s="27"/>
      <c r="W3" s="27"/>
      <c r="X3" s="27"/>
      <c r="Y3" s="27"/>
      <c r="Z3" s="27" t="s">
        <v>588</v>
      </c>
      <c r="AA3" s="27"/>
      <c r="AB3" s="1" t="s">
        <v>35</v>
      </c>
      <c r="AC3" s="9"/>
      <c r="AD3" s="9"/>
    </row>
    <row r="4" spans="1:30" s="10" customFormat="1" ht="107" customHeight="1">
      <c r="A4" s="27" t="s">
        <v>36</v>
      </c>
      <c r="B4" s="27" t="s">
        <v>37</v>
      </c>
      <c r="C4" s="27" t="s">
        <v>589</v>
      </c>
      <c r="D4" s="27">
        <v>1967</v>
      </c>
      <c r="E4" s="27" t="s">
        <v>32</v>
      </c>
      <c r="F4" s="27">
        <v>9</v>
      </c>
      <c r="G4" s="27" t="s">
        <v>33</v>
      </c>
      <c r="H4" s="28" t="s">
        <v>34</v>
      </c>
      <c r="I4" s="27" t="s">
        <v>34</v>
      </c>
      <c r="J4" s="27" t="s">
        <v>590</v>
      </c>
      <c r="K4" s="27"/>
      <c r="L4" s="27"/>
      <c r="M4" s="27"/>
      <c r="N4" s="27" t="s">
        <v>584</v>
      </c>
      <c r="O4" s="27" t="s">
        <v>591</v>
      </c>
      <c r="P4" s="27" t="s">
        <v>592</v>
      </c>
      <c r="Q4" s="27" t="s">
        <v>593</v>
      </c>
      <c r="R4" s="27"/>
      <c r="S4" s="27"/>
      <c r="T4" s="27"/>
      <c r="U4" s="27"/>
      <c r="V4" s="27"/>
      <c r="W4" s="27"/>
      <c r="X4" s="27"/>
      <c r="Y4" s="27"/>
      <c r="Z4" s="27" t="s">
        <v>594</v>
      </c>
      <c r="AA4" s="27"/>
      <c r="AB4" s="9" t="s">
        <v>38</v>
      </c>
      <c r="AC4" s="9"/>
      <c r="AD4" s="9"/>
    </row>
    <row r="5" spans="1:30" ht="227.75" customHeight="1">
      <c r="A5" s="28" t="s">
        <v>39</v>
      </c>
      <c r="B5" s="28" t="s">
        <v>40</v>
      </c>
      <c r="C5" s="28" t="s">
        <v>41</v>
      </c>
      <c r="D5" s="38">
        <v>1969</v>
      </c>
      <c r="E5" s="28" t="s">
        <v>42</v>
      </c>
      <c r="F5" s="29">
        <v>88</v>
      </c>
      <c r="G5" s="28" t="s">
        <v>33</v>
      </c>
      <c r="H5" s="28" t="s">
        <v>34</v>
      </c>
      <c r="I5" s="28" t="s">
        <v>34</v>
      </c>
      <c r="J5" s="28"/>
      <c r="K5" s="28" t="s">
        <v>595</v>
      </c>
      <c r="L5" s="28" t="s">
        <v>596</v>
      </c>
      <c r="M5" s="28" t="s">
        <v>597</v>
      </c>
      <c r="N5" s="28" t="s">
        <v>598</v>
      </c>
      <c r="O5" s="28" t="s">
        <v>599</v>
      </c>
      <c r="P5" s="28" t="s">
        <v>600</v>
      </c>
      <c r="Q5" s="28" t="s">
        <v>601</v>
      </c>
      <c r="R5" s="28"/>
      <c r="S5" s="28"/>
      <c r="T5" s="28"/>
      <c r="U5" s="28" t="s">
        <v>43</v>
      </c>
      <c r="V5" s="28"/>
      <c r="W5" s="28"/>
      <c r="X5" s="28" t="s">
        <v>44</v>
      </c>
      <c r="Y5" s="28"/>
      <c r="Z5" s="28" t="s">
        <v>602</v>
      </c>
      <c r="AA5" s="28" t="s">
        <v>45</v>
      </c>
      <c r="AB5" s="1" t="s">
        <v>46</v>
      </c>
      <c r="AC5" s="6" t="str">
        <f>IF(O5="","",_xlfn.TEXTJOIN("; ",TRUE,IF(ISNUMBER(SEARCH('Référentiel entourage'!$B$2,O5)),'Référentiel entourage'!$A$2,""),IF(ISNUMBER(SEARCH('Référentiel entourage'!$B$3,O5)),'Référentiel entourage'!$A$3,""),IF(ISNUMBER(SEARCH('Référentiel entourage'!$B$4,O5)),'Référentiel entourage'!$A$4,""),IF(ISNUMBER(SEARCH('Référentiel entourage'!$B$5,O5)),'Référentiel entourage'!$A$5,""),IF(ISNUMBER(SEARCH('Référentiel entourage'!$B$6,O5)),'Référentiel entourage'!$A$6,""),IF(ISNUMBER(SEARCH('Référentiel entourage'!$B$7,O5)),'Référentiel entourage'!$A$7,""),IF(ISNUMBER(SEARCH('Référentiel entourage'!$B$8,O5)),'Référentiel entourage'!$A$8,""),IF(ISNUMBER(SEARCH('Référentiel entourage'!$B$9,O5)),'Référentiel entourage'!$A$9,""),IF(ISNUMBER(SEARCH('Référentiel entourage'!$B$10,O5)),'Référentiel entourage'!$A$10,""),IF(ISNUMBER(SEARCH('Référentiel entourage'!$B$11,O5)),'Référentiel entourage'!$A$11,""),IF(ISNUMBER(SEARCH('Référentiel entourage'!$B$12,O5)),'Référentiel entourage'!$A$12,""),IF(ISNUMBER(SEARCH('Référentiel entourage'!$B$13,O5)),'Référentiel entourage'!$A$13,""),IF(ISNUMBER(SEARCH('Référentiel entourage'!$B$14,O5)),'Référentiel entourage'!$A$14,""),IF(ISNUMBER(SEARCH('Référentiel entourage'!$B$15,O5)),'Référentiel entourage'!$A$15,""),IF(ISNUMBER(SEARCH('Référentiel entourage'!$B$16,O5)),'Référentiel entourage'!$A$16,""),IF(ISNUMBER(SEARCH('Référentiel entourage'!$B$17,O5)),'Référentiel entourage'!$A$17,""),IF(ISNUMBER(SEARCH('Référentiel entourage'!$B$18,O5)),'Référentiel entourage'!$A$18,""),IF(ISNUMBER(SEARCH('Référentiel entourage'!$B$19,O5)),'Référentiel entourage'!$A$19,""),IF(ISNUMBER(SEARCH('Référentiel entourage'!$B$20,O5)),'Référentiel entourage'!$A$20,""),IF(ISNUMBER(SEARCH('Référentiel entourage'!$B$21,O5)),'Référentiel entourage'!$A$21,""),IF(ISNUMBER(SEARCH('Référentiel entourage'!$B$22,O5)),'Référentiel entourage'!$A$22,""),IF(ISNUMBER(SEARCH('Référentiel entourage'!$B$23,O5)),'Référentiel entourage'!$A$23,""),IF(ISNUMBER(SEARCH('Référentiel entourage'!$B$24,O5)),'Référentiel entourage'!$A$24,"")))</f>
        <v>pers-ingrid-caven; pers-irm-hermann; pers-ulli-lommel; pers-kurt-raab; pers-peer-raben; pers-hanna-schygulla; pers-ursula-stratz</v>
      </c>
      <c r="AD5" s="6" t="str">
        <f>_xlfn.LET(_xlpm.texte,_xlfn.TEXTJOIN(" | ",TRUE,H5:N5,P5),IF(_xlpm.texte="","",_xlfn.TEXTJOIN(";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pers-ulli-lommel; pers-peer-raben</v>
      </c>
    </row>
    <row r="6" spans="1:30" ht="227.75" customHeight="1">
      <c r="A6" s="28" t="s">
        <v>47</v>
      </c>
      <c r="B6" s="28" t="s">
        <v>48</v>
      </c>
      <c r="C6" s="28" t="s">
        <v>49</v>
      </c>
      <c r="D6" s="38">
        <v>1969</v>
      </c>
      <c r="E6" s="28" t="s">
        <v>42</v>
      </c>
      <c r="F6" s="29">
        <v>88</v>
      </c>
      <c r="G6" s="28" t="s">
        <v>33</v>
      </c>
      <c r="H6" s="28" t="s">
        <v>34</v>
      </c>
      <c r="I6" s="28" t="s">
        <v>34</v>
      </c>
      <c r="J6" s="28" t="s">
        <v>102</v>
      </c>
      <c r="K6" s="28" t="s">
        <v>34</v>
      </c>
      <c r="L6" s="28"/>
      <c r="M6" s="28" t="s">
        <v>173</v>
      </c>
      <c r="N6" s="28" t="s">
        <v>603</v>
      </c>
      <c r="O6" s="28" t="s">
        <v>604</v>
      </c>
      <c r="P6" s="28" t="s">
        <v>605</v>
      </c>
      <c r="Q6" s="28" t="s">
        <v>606</v>
      </c>
      <c r="R6" s="28"/>
      <c r="S6" s="28" t="s">
        <v>841</v>
      </c>
      <c r="T6" s="28"/>
      <c r="U6" s="28" t="s">
        <v>50</v>
      </c>
      <c r="V6" s="28"/>
      <c r="W6" s="28"/>
      <c r="X6" s="28" t="s">
        <v>44</v>
      </c>
      <c r="Y6" s="28"/>
      <c r="Z6" s="28" t="s">
        <v>607</v>
      </c>
      <c r="AA6" s="28" t="s">
        <v>45</v>
      </c>
      <c r="AB6" s="1" t="s">
        <v>51</v>
      </c>
      <c r="AC6" s="6" t="str">
        <f>IF(O6="","",_xlfn.TEXTJOIN("; ",TRUE,IF(ISNUMBER(SEARCH('Référentiel entourage'!$B$2,O6)),'Référentiel entourage'!$A$2,""),IF(ISNUMBER(SEARCH('Référentiel entourage'!$B$3,O6)),'Référentiel entourage'!$A$3,""),IF(ISNUMBER(SEARCH('Référentiel entourage'!$B$4,O6)),'Référentiel entourage'!$A$4,""),IF(ISNUMBER(SEARCH('Référentiel entourage'!$B$5,O6)),'Référentiel entourage'!$A$5,""),IF(ISNUMBER(SEARCH('Référentiel entourage'!$B$6,O6)),'Référentiel entourage'!$A$6,""),IF(ISNUMBER(SEARCH('Référentiel entourage'!$B$7,O6)),'Référentiel entourage'!$A$7,""),IF(ISNUMBER(SEARCH('Référentiel entourage'!$B$8,O6)),'Référentiel entourage'!$A$8,""),IF(ISNUMBER(SEARCH('Référentiel entourage'!$B$9,O6)),'Référentiel entourage'!$A$9,""),IF(ISNUMBER(SEARCH('Référentiel entourage'!$B$10,O6)),'Référentiel entourage'!$A$10,""),IF(ISNUMBER(SEARCH('Référentiel entourage'!$B$11,O6)),'Référentiel entourage'!$A$11,""),IF(ISNUMBER(SEARCH('Référentiel entourage'!$B$12,O6)),'Référentiel entourage'!$A$12,""),IF(ISNUMBER(SEARCH('Référentiel entourage'!$B$13,O6)),'Référentiel entourage'!$A$13,""),IF(ISNUMBER(SEARCH('Référentiel entourage'!$B$14,O6)),'Référentiel entourage'!$A$14,""),IF(ISNUMBER(SEARCH('Référentiel entourage'!$B$15,O6)),'Référentiel entourage'!$A$15,""),IF(ISNUMBER(SEARCH('Référentiel entourage'!$B$16,O6)),'Référentiel entourage'!$A$16,""),IF(ISNUMBER(SEARCH('Référentiel entourage'!$B$17,O6)),'Référentiel entourage'!$A$17,""),IF(ISNUMBER(SEARCH('Référentiel entourage'!$B$18,O6)),'Référentiel entourage'!$A$18,""),IF(ISNUMBER(SEARCH('Référentiel entourage'!$B$19,O6)),'Référentiel entourage'!$A$19,""),IF(ISNUMBER(SEARCH('Référentiel entourage'!$B$20,O6)),'Référentiel entourage'!$A$20,""),IF(ISNUMBER(SEARCH('Référentiel entourage'!$B$21,O6)),'Référentiel entourage'!$A$21,""),IF(ISNUMBER(SEARCH('Référentiel entourage'!$B$22,O6)),'Référentiel entourage'!$A$22,""),IF(ISNUMBER(SEARCH('Référentiel entourage'!$B$23,O6)),'Référentiel entourage'!$A$23,""),IF(ISNUMBER(SEARCH('Référentiel entourage'!$B$24,O6)),'Référentiel entourage'!$A$24,"")))</f>
        <v>pers-irm-hermann; pers-hanna-schygulla; pers-lilith-ungerer</v>
      </c>
      <c r="AD6" s="6" t="str">
        <f>_xlfn.LET(_xlpm.texte,_xlfn.TEXTJOIN(" | ",TRUE,H6:N6,P6),IF(_xlpm.texte="","",_xlfn.TEXTJOIN(";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pers-peer-raben</v>
      </c>
    </row>
    <row r="7" spans="1:30" ht="227.75" customHeight="1">
      <c r="A7" s="28" t="s">
        <v>52</v>
      </c>
      <c r="B7" s="28" t="s">
        <v>53</v>
      </c>
      <c r="C7" s="28" t="s">
        <v>608</v>
      </c>
      <c r="D7" s="38">
        <v>1970</v>
      </c>
      <c r="E7" s="28" t="s">
        <v>42</v>
      </c>
      <c r="F7" s="29">
        <v>91</v>
      </c>
      <c r="G7" s="28" t="s">
        <v>33</v>
      </c>
      <c r="H7" s="28" t="s">
        <v>34</v>
      </c>
      <c r="I7" s="28" t="s">
        <v>34</v>
      </c>
      <c r="J7" s="28" t="s">
        <v>102</v>
      </c>
      <c r="K7" s="28" t="s">
        <v>34</v>
      </c>
      <c r="L7" s="28" t="s">
        <v>104</v>
      </c>
      <c r="M7" s="28" t="s">
        <v>173</v>
      </c>
      <c r="N7" s="28" t="s">
        <v>609</v>
      </c>
      <c r="O7" s="28" t="s">
        <v>610</v>
      </c>
      <c r="P7" s="28" t="s">
        <v>611</v>
      </c>
      <c r="Q7" s="28" t="s">
        <v>612</v>
      </c>
      <c r="R7" s="28"/>
      <c r="S7" s="28"/>
      <c r="T7" s="28"/>
      <c r="U7" s="28" t="s">
        <v>54</v>
      </c>
      <c r="V7" s="28"/>
      <c r="W7" s="28"/>
      <c r="X7" s="28" t="s">
        <v>55</v>
      </c>
      <c r="Y7" s="28"/>
      <c r="Z7" s="28" t="s">
        <v>613</v>
      </c>
      <c r="AA7" s="28" t="s">
        <v>45</v>
      </c>
      <c r="AB7" s="1" t="s">
        <v>56</v>
      </c>
      <c r="AC7" s="6" t="str">
        <f>IF(O7="","",_xlfn.TEXTJOIN("; ",TRUE,IF(ISNUMBER(SEARCH('Référentiel entourage'!$B$2,O7)),'Référentiel entourage'!$A$2,""),IF(ISNUMBER(SEARCH('Référentiel entourage'!$B$3,O7)),'Référentiel entourage'!$A$3,""),IF(ISNUMBER(SEARCH('Référentiel entourage'!$B$4,O7)),'Référentiel entourage'!$A$4,""),IF(ISNUMBER(SEARCH('Référentiel entourage'!$B$5,O7)),'Référentiel entourage'!$A$5,""),IF(ISNUMBER(SEARCH('Référentiel entourage'!$B$6,O7)),'Référentiel entourage'!$A$6,""),IF(ISNUMBER(SEARCH('Référentiel entourage'!$B$7,O7)),'Référentiel entourage'!$A$7,""),IF(ISNUMBER(SEARCH('Référentiel entourage'!$B$8,O7)),'Référentiel entourage'!$A$8,""),IF(ISNUMBER(SEARCH('Référentiel entourage'!$B$9,O7)),'Référentiel entourage'!$A$9,""),IF(ISNUMBER(SEARCH('Référentiel entourage'!$B$10,O7)),'Référentiel entourage'!$A$10,""),IF(ISNUMBER(SEARCH('Référentiel entourage'!$B$11,O7)),'Référentiel entourage'!$A$11,""),IF(ISNUMBER(SEARCH('Référentiel entourage'!$B$12,O7)),'Référentiel entourage'!$A$12,""),IF(ISNUMBER(SEARCH('Référentiel entourage'!$B$13,O7)),'Référentiel entourage'!$A$13,""),IF(ISNUMBER(SEARCH('Référentiel entourage'!$B$14,O7)),'Référentiel entourage'!$A$14,""),IF(ISNUMBER(SEARCH('Référentiel entourage'!$B$15,O7)),'Référentiel entourage'!$A$15,""),IF(ISNUMBER(SEARCH('Référentiel entourage'!$B$16,O7)),'Référentiel entourage'!$A$16,""),IF(ISNUMBER(SEARCH('Référentiel entourage'!$B$17,O7)),'Référentiel entourage'!$A$17,""),IF(ISNUMBER(SEARCH('Référentiel entourage'!$B$18,O7)),'Référentiel entourage'!$A$18,""),IF(ISNUMBER(SEARCH('Référentiel entourage'!$B$19,O7)),'Référentiel entourage'!$A$19,""),IF(ISNUMBER(SEARCH('Référentiel entourage'!$B$20,O7)),'Référentiel entourage'!$A$20,""),IF(ISNUMBER(SEARCH('Référentiel entourage'!$B$21,O7)),'Référentiel entourage'!$A$21,""),IF(ISNUMBER(SEARCH('Référentiel entourage'!$B$22,O7)),'Référentiel entourage'!$A$22,""),IF(ISNUMBER(SEARCH('Référentiel entourage'!$B$23,O7)),'Référentiel entourage'!$A$23,""),IF(ISNUMBER(SEARCH('Référentiel entourage'!$B$24,O7)),'Référentiel entourage'!$A$24,"")))</f>
        <v>pers-ingrid-caven; pers-lilo-pempeit; pers-gunther-kaufmann; pers-hanna-schygulla; pers-lilith-ungerer</v>
      </c>
      <c r="AD7" s="6" t="str">
        <f>_xlfn.LET(_xlpm.texte,_xlfn.TEXTJOIN(" | ",TRUE,H7:N7,P7),IF(_xlpm.texte="","",_xlfn.TEXTJOIN(";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pers-michael-fengler; pers-kurt-raab; pers-peer-raben</v>
      </c>
    </row>
    <row r="8" spans="1:30" ht="227.75" customHeight="1">
      <c r="A8" s="28" t="s">
        <v>57</v>
      </c>
      <c r="B8" s="28" t="s">
        <v>58</v>
      </c>
      <c r="C8" s="28" t="s">
        <v>614</v>
      </c>
      <c r="D8" s="38">
        <v>1970</v>
      </c>
      <c r="E8" s="28" t="s">
        <v>42</v>
      </c>
      <c r="F8" s="29">
        <v>88</v>
      </c>
      <c r="G8" s="28" t="s">
        <v>33</v>
      </c>
      <c r="H8" s="28" t="s">
        <v>59</v>
      </c>
      <c r="I8" s="28" t="s">
        <v>609</v>
      </c>
      <c r="J8" s="28" t="s">
        <v>102</v>
      </c>
      <c r="K8" s="28" t="s">
        <v>609</v>
      </c>
      <c r="L8" s="28" t="s">
        <v>104</v>
      </c>
      <c r="M8" s="28" t="s">
        <v>173</v>
      </c>
      <c r="N8" s="28" t="s">
        <v>615</v>
      </c>
      <c r="O8" s="28" t="s">
        <v>616</v>
      </c>
      <c r="P8" s="28" t="s">
        <v>617</v>
      </c>
      <c r="Q8" s="28" t="s">
        <v>618</v>
      </c>
      <c r="R8" s="28"/>
      <c r="S8" s="28"/>
      <c r="T8" s="28"/>
      <c r="U8" s="28"/>
      <c r="V8" s="28"/>
      <c r="W8" s="28"/>
      <c r="X8" s="28" t="s">
        <v>55</v>
      </c>
      <c r="Y8" s="28"/>
      <c r="Z8" s="28" t="s">
        <v>619</v>
      </c>
      <c r="AA8" s="28" t="s">
        <v>45</v>
      </c>
      <c r="AB8" s="1" t="s">
        <v>60</v>
      </c>
      <c r="AC8" s="6" t="str">
        <f>IF(O8="","",_xlfn.TEXTJOIN("; ",TRUE,IF(ISNUMBER(SEARCH('Référentiel entourage'!$B$2,O8)),'Référentiel entourage'!$A$2,""),IF(ISNUMBER(SEARCH('Référentiel entourage'!$B$3,O8)),'Référentiel entourage'!$A$3,""),IF(ISNUMBER(SEARCH('Référentiel entourage'!$B$4,O8)),'Référentiel entourage'!$A$4,""),IF(ISNUMBER(SEARCH('Référentiel entourage'!$B$5,O8)),'Référentiel entourage'!$A$5,""),IF(ISNUMBER(SEARCH('Référentiel entourage'!$B$6,O8)),'Référentiel entourage'!$A$6,""),IF(ISNUMBER(SEARCH('Référentiel entourage'!$B$7,O8)),'Référentiel entourage'!$A$7,""),IF(ISNUMBER(SEARCH('Référentiel entourage'!$B$8,O8)),'Référentiel entourage'!$A$8,""),IF(ISNUMBER(SEARCH('Référentiel entourage'!$B$9,O8)),'Référentiel entourage'!$A$9,""),IF(ISNUMBER(SEARCH('Référentiel entourage'!$B$10,O8)),'Référentiel entourage'!$A$10,""),IF(ISNUMBER(SEARCH('Référentiel entourage'!$B$11,O8)),'Référentiel entourage'!$A$11,""),IF(ISNUMBER(SEARCH('Référentiel entourage'!$B$12,O8)),'Référentiel entourage'!$A$12,""),IF(ISNUMBER(SEARCH('Référentiel entourage'!$B$13,O8)),'Référentiel entourage'!$A$13,""),IF(ISNUMBER(SEARCH('Référentiel entourage'!$B$14,O8)),'Référentiel entourage'!$A$14,""),IF(ISNUMBER(SEARCH('Référentiel entourage'!$B$15,O8)),'Référentiel entourage'!$A$15,""),IF(ISNUMBER(SEARCH('Référentiel entourage'!$B$16,O8)),'Référentiel entourage'!$A$16,""),IF(ISNUMBER(SEARCH('Référentiel entourage'!$B$17,O8)),'Référentiel entourage'!$A$17,""),IF(ISNUMBER(SEARCH('Référentiel entourage'!$B$18,O8)),'Référentiel entourage'!$A$18,""),IF(ISNUMBER(SEARCH('Référentiel entourage'!$B$19,O8)),'Référentiel entourage'!$A$19,""),IF(ISNUMBER(SEARCH('Référentiel entourage'!$B$20,O8)),'Référentiel entourage'!$A$20,""),IF(ISNUMBER(SEARCH('Référentiel entourage'!$B$21,O8)),'Référentiel entourage'!$A$21,""),IF(ISNUMBER(SEARCH('Référentiel entourage'!$B$22,O8)),'Référentiel entourage'!$A$22,""),IF(ISNUMBER(SEARCH('Référentiel entourage'!$B$23,O8)),'Référentiel entourage'!$A$23,""),IF(ISNUMBER(SEARCH('Référentiel entourage'!$B$24,O8)),'Référentiel entourage'!$A$24,"")))</f>
        <v>pers-ingrid-caven; pers-lilo-pempeit; pers-irm-hermann; pers-kurt-raab; pers-peer-raben; pers-hanna-schygulla; pers-lilith-ungerer</v>
      </c>
      <c r="AD8" s="6" t="str">
        <f>_xlfn.LET(_xlpm.texte,_xlfn.TEXTJOIN(" | ",TRUE,H8:N8,P8),IF(_xlpm.texte="","",_xlfn.TEXTJOIN(";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pers-michael-fengler; pers-kurt-raab; pers-peer-raben</v>
      </c>
    </row>
    <row r="9" spans="1:30" ht="227.75" customHeight="1">
      <c r="A9" s="28" t="s">
        <v>61</v>
      </c>
      <c r="B9" s="28" t="s">
        <v>62</v>
      </c>
      <c r="C9" s="28" t="s">
        <v>620</v>
      </c>
      <c r="D9" s="38">
        <v>1970</v>
      </c>
      <c r="E9" s="28" t="s">
        <v>42</v>
      </c>
      <c r="F9" s="29">
        <v>80</v>
      </c>
      <c r="G9" s="28" t="s">
        <v>33</v>
      </c>
      <c r="H9" s="28" t="s">
        <v>34</v>
      </c>
      <c r="I9" s="28" t="s">
        <v>34</v>
      </c>
      <c r="J9" s="28" t="s">
        <v>102</v>
      </c>
      <c r="K9" s="28" t="s">
        <v>145</v>
      </c>
      <c r="L9" s="28" t="s">
        <v>621</v>
      </c>
      <c r="M9" s="28" t="s">
        <v>173</v>
      </c>
      <c r="N9" s="28" t="s">
        <v>598</v>
      </c>
      <c r="O9" s="28" t="s">
        <v>622</v>
      </c>
      <c r="P9" s="28" t="s">
        <v>623</v>
      </c>
      <c r="Q9" s="28" t="s">
        <v>624</v>
      </c>
      <c r="R9" s="28"/>
      <c r="S9" s="28"/>
      <c r="T9" s="28"/>
      <c r="U9" s="28" t="s">
        <v>63</v>
      </c>
      <c r="V9" s="28"/>
      <c r="W9" s="28"/>
      <c r="X9" s="28" t="s">
        <v>55</v>
      </c>
      <c r="Y9" s="28"/>
      <c r="Z9" s="28" t="s">
        <v>625</v>
      </c>
      <c r="AA9" s="28" t="s">
        <v>45</v>
      </c>
      <c r="AB9" s="1" t="s">
        <v>64</v>
      </c>
      <c r="AC9" s="6" t="str">
        <f>IF(O9="","",_xlfn.TEXTJOIN("; ",TRUE,IF(ISNUMBER(SEARCH('Référentiel entourage'!$B$2,O9)),'Référentiel entourage'!$A$2,""),IF(ISNUMBER(SEARCH('Référentiel entourage'!$B$3,O9)),'Référentiel entourage'!$A$3,""),IF(ISNUMBER(SEARCH('Référentiel entourage'!$B$4,O9)),'Référentiel entourage'!$A$4,""),IF(ISNUMBER(SEARCH('Référentiel entourage'!$B$5,O9)),'Référentiel entourage'!$A$5,""),IF(ISNUMBER(SEARCH('Référentiel entourage'!$B$6,O9)),'Référentiel entourage'!$A$6,""),IF(ISNUMBER(SEARCH('Référentiel entourage'!$B$7,O9)),'Référentiel entourage'!$A$7,""),IF(ISNUMBER(SEARCH('Référentiel entourage'!$B$8,O9)),'Référentiel entourage'!$A$8,""),IF(ISNUMBER(SEARCH('Référentiel entourage'!$B$9,O9)),'Référentiel entourage'!$A$9,""),IF(ISNUMBER(SEARCH('Référentiel entourage'!$B$10,O9)),'Référentiel entourage'!$A$10,""),IF(ISNUMBER(SEARCH('Référentiel entourage'!$B$11,O9)),'Référentiel entourage'!$A$11,""),IF(ISNUMBER(SEARCH('Référentiel entourage'!$B$12,O9)),'Référentiel entourage'!$A$12,""),IF(ISNUMBER(SEARCH('Référentiel entourage'!$B$13,O9)),'Référentiel entourage'!$A$13,""),IF(ISNUMBER(SEARCH('Référentiel entourage'!$B$14,O9)),'Référentiel entourage'!$A$14,""),IF(ISNUMBER(SEARCH('Référentiel entourage'!$B$15,O9)),'Référentiel entourage'!$A$15,""),IF(ISNUMBER(SEARCH('Référentiel entourage'!$B$16,O9)),'Référentiel entourage'!$A$16,""),IF(ISNUMBER(SEARCH('Référentiel entourage'!$B$17,O9)),'Référentiel entourage'!$A$17,""),IF(ISNUMBER(SEARCH('Référentiel entourage'!$B$18,O9)),'Référentiel entourage'!$A$18,""),IF(ISNUMBER(SEARCH('Référentiel entourage'!$B$19,O9)),'Référentiel entourage'!$A$19,""),IF(ISNUMBER(SEARCH('Référentiel entourage'!$B$20,O9)),'Référentiel entourage'!$A$20,""),IF(ISNUMBER(SEARCH('Référentiel entourage'!$B$21,O9)),'Référentiel entourage'!$A$21,""),IF(ISNUMBER(SEARCH('Référentiel entourage'!$B$22,O9)),'Référentiel entourage'!$A$22,""),IF(ISNUMBER(SEARCH('Référentiel entourage'!$B$23,O9)),'Référentiel entourage'!$A$23,""),IF(ISNUMBER(SEARCH('Référentiel entourage'!$B$24,O9)),'Référentiel entourage'!$A$24,"")))</f>
        <v>pers-hark-bohm; pers-ingrid-caven; pers-irm-hermann; pers-ulli-lommel; pers-kurt-raab</v>
      </c>
      <c r="AD9" s="6" t="str">
        <f>_xlfn.LET(_xlpm.texte,_xlfn.TEXTJOIN(" | ",TRUE,H9:N9,P9),IF(_xlpm.texte="","",_xlfn.TEXTJOIN(";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 pers-peer-raben</v>
      </c>
    </row>
    <row r="10" spans="1:30" ht="227.75" customHeight="1">
      <c r="A10" s="28" t="s">
        <v>65</v>
      </c>
      <c r="B10" s="28" t="s">
        <v>66</v>
      </c>
      <c r="C10" s="28" t="s">
        <v>626</v>
      </c>
      <c r="D10" s="38">
        <v>1970</v>
      </c>
      <c r="E10" s="28" t="s">
        <v>67</v>
      </c>
      <c r="F10" s="29">
        <v>90</v>
      </c>
      <c r="G10" s="28" t="s">
        <v>33</v>
      </c>
      <c r="H10" s="28" t="s">
        <v>34</v>
      </c>
      <c r="I10" s="28" t="s">
        <v>609</v>
      </c>
      <c r="J10" s="28" t="s">
        <v>102</v>
      </c>
      <c r="K10" s="28" t="s">
        <v>627</v>
      </c>
      <c r="L10" s="28" t="s">
        <v>104</v>
      </c>
      <c r="M10" s="28" t="s">
        <v>173</v>
      </c>
      <c r="N10" s="28" t="s">
        <v>628</v>
      </c>
      <c r="O10" s="28" t="s">
        <v>629</v>
      </c>
      <c r="P10" s="28" t="s">
        <v>630</v>
      </c>
      <c r="Q10" s="28"/>
      <c r="R10" s="28"/>
      <c r="S10" s="28"/>
      <c r="T10" s="28"/>
      <c r="U10" s="28"/>
      <c r="V10" s="28"/>
      <c r="W10" s="28"/>
      <c r="X10" s="28" t="s">
        <v>55</v>
      </c>
      <c r="Y10" s="28"/>
      <c r="Z10" s="28" t="s">
        <v>631</v>
      </c>
      <c r="AA10" s="28" t="s">
        <v>45</v>
      </c>
      <c r="AB10" s="1" t="s">
        <v>68</v>
      </c>
      <c r="AC10" s="6" t="str">
        <f>IF(O10="","",_xlfn.TEXTJOIN("; ",TRUE,IF(ISNUMBER(SEARCH('Référentiel entourage'!$B$2,O10)),'Référentiel entourage'!$A$2,""),IF(ISNUMBER(SEARCH('Référentiel entourage'!$B$3,O10)),'Référentiel entourage'!$A$3,""),IF(ISNUMBER(SEARCH('Référentiel entourage'!$B$4,O10)),'Référentiel entourage'!$A$4,""),IF(ISNUMBER(SEARCH('Référentiel entourage'!$B$5,O10)),'Référentiel entourage'!$A$5,""),IF(ISNUMBER(SEARCH('Référentiel entourage'!$B$6,O10)),'Référentiel entourage'!$A$6,""),IF(ISNUMBER(SEARCH('Référentiel entourage'!$B$7,O10)),'Référentiel entourage'!$A$7,""),IF(ISNUMBER(SEARCH('Référentiel entourage'!$B$8,O10)),'Référentiel entourage'!$A$8,""),IF(ISNUMBER(SEARCH('Référentiel entourage'!$B$9,O10)),'Référentiel entourage'!$A$9,""),IF(ISNUMBER(SEARCH('Référentiel entourage'!$B$10,O10)),'Référentiel entourage'!$A$10,""),IF(ISNUMBER(SEARCH('Référentiel entourage'!$B$11,O10)),'Référentiel entourage'!$A$11,""),IF(ISNUMBER(SEARCH('Référentiel entourage'!$B$12,O10)),'Référentiel entourage'!$A$12,""),IF(ISNUMBER(SEARCH('Référentiel entourage'!$B$13,O10)),'Référentiel entourage'!$A$13,""),IF(ISNUMBER(SEARCH('Référentiel entourage'!$B$14,O10)),'Référentiel entourage'!$A$14,""),IF(ISNUMBER(SEARCH('Référentiel entourage'!$B$15,O10)),'Référentiel entourage'!$A$15,""),IF(ISNUMBER(SEARCH('Référentiel entourage'!$B$16,O10)),'Référentiel entourage'!$A$16,""),IF(ISNUMBER(SEARCH('Référentiel entourage'!$B$17,O10)),'Référentiel entourage'!$A$17,""),IF(ISNUMBER(SEARCH('Référentiel entourage'!$B$18,O10)),'Référentiel entourage'!$A$18,""),IF(ISNUMBER(SEARCH('Référentiel entourage'!$B$19,O10)),'Référentiel entourage'!$A$19,""),IF(ISNUMBER(SEARCH('Référentiel entourage'!$B$20,O10)),'Référentiel entourage'!$A$20,""),IF(ISNUMBER(SEARCH('Référentiel entourage'!$B$21,O10)),'Référentiel entourage'!$A$21,""),IF(ISNUMBER(SEARCH('Référentiel entourage'!$B$22,O10)),'Référentiel entourage'!$A$22,""),IF(ISNUMBER(SEARCH('Référentiel entourage'!$B$23,O10)),'Référentiel entourage'!$A$23,""),IF(ISNUMBER(SEARCH('Référentiel entourage'!$B$24,O10)),'Référentiel entourage'!$A$24,"")))</f>
        <v>pers-margit-carstensen; pers-ingrid-caven; pers-michael-fengler; pers-gunther-kaufmann; pers-kurt-raab; pers-peer-raben; pers-hanna-schygulla</v>
      </c>
      <c r="AD10" s="6" t="str">
        <f>_xlfn.LET(_xlpm.texte,_xlfn.TEXTJOIN(" | ",TRUE,H10:N10,P10),IF(_xlpm.texte="","",_xlfn.TEXTJOIN(";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pers-michael-fengler; pers-kurt-raab; pers-peer-raben</v>
      </c>
    </row>
    <row r="11" spans="1:30" ht="227.75" customHeight="1">
      <c r="A11" s="28" t="s">
        <v>846</v>
      </c>
      <c r="B11" s="28" t="s">
        <v>847</v>
      </c>
      <c r="C11" s="28" t="s">
        <v>848</v>
      </c>
      <c r="D11" s="38">
        <v>1970</v>
      </c>
      <c r="E11" s="28" t="s">
        <v>67</v>
      </c>
      <c r="F11" s="29"/>
      <c r="G11" s="28" t="s">
        <v>33</v>
      </c>
      <c r="H11" s="28" t="s">
        <v>34</v>
      </c>
      <c r="I11" s="28"/>
      <c r="J11" s="28"/>
      <c r="K11" s="28"/>
      <c r="L11" s="28"/>
      <c r="M11" s="28"/>
      <c r="N11" s="28"/>
      <c r="O11" s="28"/>
      <c r="P11" s="28"/>
      <c r="Q11" s="28"/>
      <c r="R11" s="28"/>
      <c r="S11" s="28"/>
      <c r="T11" s="28"/>
      <c r="U11" s="28"/>
      <c r="V11" s="28"/>
      <c r="W11" s="28"/>
      <c r="X11" s="28"/>
      <c r="Y11" s="28"/>
      <c r="Z11" s="28"/>
      <c r="AA11" s="28"/>
      <c r="AB11" s="1"/>
      <c r="AC11" s="6"/>
      <c r="AD11" s="6"/>
    </row>
    <row r="12" spans="1:30" ht="227.75" customHeight="1">
      <c r="A12" s="28" t="s">
        <v>69</v>
      </c>
      <c r="B12" s="28" t="s">
        <v>70</v>
      </c>
      <c r="C12" s="28"/>
      <c r="D12" s="38">
        <v>1970</v>
      </c>
      <c r="E12" s="28" t="s">
        <v>71</v>
      </c>
      <c r="F12" s="29">
        <v>84</v>
      </c>
      <c r="G12" s="28" t="s">
        <v>33</v>
      </c>
      <c r="H12" s="28" t="s">
        <v>34</v>
      </c>
      <c r="I12" s="28" t="s">
        <v>34</v>
      </c>
      <c r="J12" s="28" t="s">
        <v>102</v>
      </c>
      <c r="K12" s="28" t="s">
        <v>627</v>
      </c>
      <c r="L12" s="28" t="s">
        <v>104</v>
      </c>
      <c r="M12" s="28" t="s">
        <v>173</v>
      </c>
      <c r="N12" s="28" t="s">
        <v>632</v>
      </c>
      <c r="O12" s="28" t="s">
        <v>633</v>
      </c>
      <c r="P12" s="28" t="s">
        <v>634</v>
      </c>
      <c r="Q12" s="28" t="s">
        <v>635</v>
      </c>
      <c r="R12" s="28"/>
      <c r="S12" s="28"/>
      <c r="T12" s="28"/>
      <c r="U12" s="28"/>
      <c r="V12" s="28"/>
      <c r="W12" s="28"/>
      <c r="X12" s="28">
        <v>1970</v>
      </c>
      <c r="Y12" s="28"/>
      <c r="Z12" s="28" t="s">
        <v>636</v>
      </c>
      <c r="AA12" s="28"/>
      <c r="AB12" s="1" t="s">
        <v>72</v>
      </c>
      <c r="AC12" s="6"/>
      <c r="AD12" s="6"/>
    </row>
    <row r="13" spans="1:30" ht="227.75" customHeight="1">
      <c r="A13" s="28" t="s">
        <v>73</v>
      </c>
      <c r="B13" s="28" t="s">
        <v>74</v>
      </c>
      <c r="C13" s="28"/>
      <c r="D13" s="38">
        <v>1971</v>
      </c>
      <c r="E13" s="28" t="s">
        <v>42</v>
      </c>
      <c r="F13" s="29">
        <v>95</v>
      </c>
      <c r="G13" s="28" t="s">
        <v>33</v>
      </c>
      <c r="H13" s="28" t="s">
        <v>34</v>
      </c>
      <c r="I13" s="28" t="s">
        <v>34</v>
      </c>
      <c r="J13" s="28" t="s">
        <v>159</v>
      </c>
      <c r="K13" s="28" t="s">
        <v>627</v>
      </c>
      <c r="L13" s="28" t="s">
        <v>104</v>
      </c>
      <c r="M13" s="28" t="s">
        <v>173</v>
      </c>
      <c r="N13" s="28" t="s">
        <v>637</v>
      </c>
      <c r="O13" s="28" t="s">
        <v>638</v>
      </c>
      <c r="P13" s="28" t="s">
        <v>639</v>
      </c>
      <c r="Q13" s="28" t="s">
        <v>640</v>
      </c>
      <c r="R13" s="28"/>
      <c r="S13" s="28"/>
      <c r="T13" s="28"/>
      <c r="U13" s="28"/>
      <c r="V13" s="28"/>
      <c r="W13" s="28"/>
      <c r="X13" s="28" t="s">
        <v>75</v>
      </c>
      <c r="Y13" s="28"/>
      <c r="Z13" s="28" t="s">
        <v>641</v>
      </c>
      <c r="AA13" s="28" t="s">
        <v>45</v>
      </c>
      <c r="AB13" s="1" t="s">
        <v>76</v>
      </c>
      <c r="AC13" s="6" t="str">
        <f>IF(O13="","",_xlfn.TEXTJOIN("; ",TRUE,IF(ISNUMBER(SEARCH('Référentiel entourage'!$B$2,O13)),'Référentiel entourage'!$A$2,""),IF(ISNUMBER(SEARCH('Référentiel entourage'!$B$3,O13)),'Référentiel entourage'!$A$3,""),IF(ISNUMBER(SEARCH('Référentiel entourage'!$B$4,O13)),'Référentiel entourage'!$A$4,""),IF(ISNUMBER(SEARCH('Référentiel entourage'!$B$5,O13)),'Référentiel entourage'!$A$5,""),IF(ISNUMBER(SEARCH('Référentiel entourage'!$B$6,O13)),'Référentiel entourage'!$A$6,""),IF(ISNUMBER(SEARCH('Référentiel entourage'!$B$7,O13)),'Référentiel entourage'!$A$7,""),IF(ISNUMBER(SEARCH('Référentiel entourage'!$B$8,O13)),'Référentiel entourage'!$A$8,""),IF(ISNUMBER(SEARCH('Référentiel entourage'!$B$9,O13)),'Référentiel entourage'!$A$9,""),IF(ISNUMBER(SEARCH('Référentiel entourage'!$B$10,O13)),'Référentiel entourage'!$A$10,""),IF(ISNUMBER(SEARCH('Référentiel entourage'!$B$11,O13)),'Référentiel entourage'!$A$11,""),IF(ISNUMBER(SEARCH('Référentiel entourage'!$B$12,O13)),'Référentiel entourage'!$A$12,""),IF(ISNUMBER(SEARCH('Référentiel entourage'!$B$13,O13)),'Référentiel entourage'!$A$13,""),IF(ISNUMBER(SEARCH('Référentiel entourage'!$B$14,O13)),'Référentiel entourage'!$A$14,""),IF(ISNUMBER(SEARCH('Référentiel entourage'!$B$15,O13)),'Référentiel entourage'!$A$15,""),IF(ISNUMBER(SEARCH('Référentiel entourage'!$B$16,O13)),'Référentiel entourage'!$A$16,""),IF(ISNUMBER(SEARCH('Référentiel entourage'!$B$17,O13)),'Référentiel entourage'!$A$17,""),IF(ISNUMBER(SEARCH('Référentiel entourage'!$B$18,O13)),'Référentiel entourage'!$A$18,""),IF(ISNUMBER(SEARCH('Référentiel entourage'!$B$19,O13)),'Référentiel entourage'!$A$19,""),IF(ISNUMBER(SEARCH('Référentiel entourage'!$B$20,O13)),'Référentiel entourage'!$A$20,""),IF(ISNUMBER(SEARCH('Référentiel entourage'!$B$21,O13)),'Référentiel entourage'!$A$21,""),IF(ISNUMBER(SEARCH('Référentiel entourage'!$B$22,O13)),'Référentiel entourage'!$A$22,""),IF(ISNUMBER(SEARCH('Référentiel entourage'!$B$23,O13)),'Référentiel entourage'!$A$23,""),IF(ISNUMBER(SEARCH('Référentiel entourage'!$B$24,O13)),'Référentiel entourage'!$A$24,"")))</f>
        <v>pers-gunther-kaufmann; pers-ulli-lommel; pers-kurt-raab; pers-hanna-schygulla</v>
      </c>
      <c r="AD13" s="6" t="str">
        <f>_xlfn.LET(_xlpm.texte,_xlfn.TEXTJOIN(" | ",TRUE,H13:N13,P13),IF(_xlpm.texte="","",_xlfn.TEXTJOIN(";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pers-ulli-lommel; pers-kurt-raab; pers-peer-raben</v>
      </c>
    </row>
    <row r="14" spans="1:30" ht="227.75" customHeight="1">
      <c r="A14" s="28" t="s">
        <v>77</v>
      </c>
      <c r="B14" s="28" t="s">
        <v>78</v>
      </c>
      <c r="C14" s="28" t="s">
        <v>642</v>
      </c>
      <c r="D14" s="38">
        <v>1971</v>
      </c>
      <c r="E14" s="28" t="s">
        <v>42</v>
      </c>
      <c r="F14" s="29">
        <v>103</v>
      </c>
      <c r="G14" s="28" t="s">
        <v>33</v>
      </c>
      <c r="H14" s="28" t="s">
        <v>34</v>
      </c>
      <c r="I14" s="28" t="s">
        <v>34</v>
      </c>
      <c r="J14" s="28" t="s">
        <v>159</v>
      </c>
      <c r="K14" s="28" t="s">
        <v>643</v>
      </c>
      <c r="L14" s="28" t="s">
        <v>104</v>
      </c>
      <c r="M14" s="28" t="s">
        <v>173</v>
      </c>
      <c r="N14" s="28" t="s">
        <v>644</v>
      </c>
      <c r="O14" s="28" t="s">
        <v>645</v>
      </c>
      <c r="P14" s="28" t="s">
        <v>646</v>
      </c>
      <c r="Q14" s="28" t="s">
        <v>647</v>
      </c>
      <c r="R14" s="28"/>
      <c r="S14" s="28" t="s">
        <v>849</v>
      </c>
      <c r="T14" s="28"/>
      <c r="U14" s="28" t="s">
        <v>79</v>
      </c>
      <c r="V14" s="28"/>
      <c r="W14" s="28"/>
      <c r="X14" s="28" t="s">
        <v>75</v>
      </c>
      <c r="Y14" s="28"/>
      <c r="Z14" s="28" t="s">
        <v>648</v>
      </c>
      <c r="AA14" s="28" t="s">
        <v>45</v>
      </c>
      <c r="AB14" s="1" t="s">
        <v>80</v>
      </c>
      <c r="AC14" s="6" t="str">
        <f>IF(O14="","",_xlfn.TEXTJOIN("; ",TRUE,IF(ISNUMBER(SEARCH('Référentiel entourage'!$B$2,O14)),'Référentiel entourage'!$A$2,""),IF(ISNUMBER(SEARCH('Référentiel entourage'!$B$3,O14)),'Référentiel entourage'!$A$3,""),IF(ISNUMBER(SEARCH('Référentiel entourage'!$B$4,O14)),'Référentiel entourage'!$A$4,""),IF(ISNUMBER(SEARCH('Référentiel entourage'!$B$5,O14)),'Référentiel entourage'!$A$5,""),IF(ISNUMBER(SEARCH('Référentiel entourage'!$B$6,O14)),'Référentiel entourage'!$A$6,""),IF(ISNUMBER(SEARCH('Référentiel entourage'!$B$7,O14)),'Référentiel entourage'!$A$7,""),IF(ISNUMBER(SEARCH('Référentiel entourage'!$B$8,O14)),'Référentiel entourage'!$A$8,""),IF(ISNUMBER(SEARCH('Référentiel entourage'!$B$9,O14)),'Référentiel entourage'!$A$9,""),IF(ISNUMBER(SEARCH('Référentiel entourage'!$B$10,O14)),'Référentiel entourage'!$A$10,""),IF(ISNUMBER(SEARCH('Référentiel entourage'!$B$11,O14)),'Référentiel entourage'!$A$11,""),IF(ISNUMBER(SEARCH('Référentiel entourage'!$B$12,O14)),'Référentiel entourage'!$A$12,""),IF(ISNUMBER(SEARCH('Référentiel entourage'!$B$13,O14)),'Référentiel entourage'!$A$13,""),IF(ISNUMBER(SEARCH('Référentiel entourage'!$B$14,O14)),'Référentiel entourage'!$A$14,""),IF(ISNUMBER(SEARCH('Référentiel entourage'!$B$15,O14)),'Référentiel entourage'!$A$15,""),IF(ISNUMBER(SEARCH('Référentiel entourage'!$B$16,O14)),'Référentiel entourage'!$A$16,""),IF(ISNUMBER(SEARCH('Référentiel entourage'!$B$17,O14)),'Référentiel entourage'!$A$17,""),IF(ISNUMBER(SEARCH('Référentiel entourage'!$B$18,O14)),'Référentiel entourage'!$A$18,""),IF(ISNUMBER(SEARCH('Référentiel entourage'!$B$19,O14)),'Référentiel entourage'!$A$19,""),IF(ISNUMBER(SEARCH('Référentiel entourage'!$B$20,O14)),'Référentiel entourage'!$A$20,""),IF(ISNUMBER(SEARCH('Référentiel entourage'!$B$21,O14)),'Référentiel entourage'!$A$21,""),IF(ISNUMBER(SEARCH('Référentiel entourage'!$B$22,O14)),'Référentiel entourage'!$A$22,""),IF(ISNUMBER(SEARCH('Référentiel entourage'!$B$23,O14)),'Référentiel entourage'!$A$23,""),IF(ISNUMBER(SEARCH('Référentiel entourage'!$B$24,O14)),'Référentiel entourage'!$A$24,"")))</f>
        <v>pers-ingrid-caven; pers-ulli-lommel; pers-kurt-raab; pers-hanna-schygulla</v>
      </c>
      <c r="AD14" s="6" t="str">
        <f>_xlfn.LET(_xlpm.texte,_xlfn.TEXTJOIN(" | ",TRUE,H14:N14,P14),IF(_xlpm.texte="","",_xlfn.TEXTJOIN(";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pers-kurt-raab; pers-peer-raben</v>
      </c>
    </row>
    <row r="15" spans="1:30" ht="227.75" customHeight="1">
      <c r="A15" s="28" t="s">
        <v>81</v>
      </c>
      <c r="B15" s="28" t="s">
        <v>82</v>
      </c>
      <c r="C15" s="28" t="s">
        <v>649</v>
      </c>
      <c r="D15" s="38">
        <v>1971</v>
      </c>
      <c r="E15" s="28" t="s">
        <v>67</v>
      </c>
      <c r="F15" s="29">
        <v>84</v>
      </c>
      <c r="G15" s="28" t="s">
        <v>33</v>
      </c>
      <c r="H15" s="28" t="s">
        <v>34</v>
      </c>
      <c r="I15" s="28" t="s">
        <v>650</v>
      </c>
      <c r="J15" s="28" t="s">
        <v>102</v>
      </c>
      <c r="K15" s="28" t="s">
        <v>145</v>
      </c>
      <c r="L15" s="28" t="s">
        <v>104</v>
      </c>
      <c r="M15" s="28" t="s">
        <v>173</v>
      </c>
      <c r="N15" s="28" t="s">
        <v>651</v>
      </c>
      <c r="O15" s="28" t="s">
        <v>652</v>
      </c>
      <c r="P15" s="28" t="s">
        <v>653</v>
      </c>
      <c r="Q15" s="28" t="s">
        <v>654</v>
      </c>
      <c r="R15" s="28"/>
      <c r="S15" s="28"/>
      <c r="T15" s="28"/>
      <c r="U15" s="28"/>
      <c r="V15" s="28"/>
      <c r="W15" s="28"/>
      <c r="X15" s="28" t="s">
        <v>75</v>
      </c>
      <c r="Y15" s="28"/>
      <c r="Z15" s="28" t="s">
        <v>655</v>
      </c>
      <c r="AA15" s="28" t="s">
        <v>45</v>
      </c>
      <c r="AB15" s="1" t="s">
        <v>83</v>
      </c>
      <c r="AC15" s="6" t="str">
        <f>IF(O15="","",_xlfn.TEXTJOIN("; ",TRUE,IF(ISNUMBER(SEARCH('Référentiel entourage'!$B$2,O15)),'Référentiel entourage'!$A$2,""),IF(ISNUMBER(SEARCH('Référentiel entourage'!$B$3,O15)),'Référentiel entourage'!$A$3,""),IF(ISNUMBER(SEARCH('Référentiel entourage'!$B$4,O15)),'Référentiel entourage'!$A$4,""),IF(ISNUMBER(SEARCH('Référentiel entourage'!$B$5,O15)),'Référentiel entourage'!$A$5,""),IF(ISNUMBER(SEARCH('Référentiel entourage'!$B$6,O15)),'Référentiel entourage'!$A$6,""),IF(ISNUMBER(SEARCH('Référentiel entourage'!$B$7,O15)),'Référentiel entourage'!$A$7,""),IF(ISNUMBER(SEARCH('Référentiel entourage'!$B$8,O15)),'Référentiel entourage'!$A$8,""),IF(ISNUMBER(SEARCH('Référentiel entourage'!$B$9,O15)),'Référentiel entourage'!$A$9,""),IF(ISNUMBER(SEARCH('Référentiel entourage'!$B$10,O15)),'Référentiel entourage'!$A$10,""),IF(ISNUMBER(SEARCH('Référentiel entourage'!$B$11,O15)),'Référentiel entourage'!$A$11,""),IF(ISNUMBER(SEARCH('Référentiel entourage'!$B$12,O15)),'Référentiel entourage'!$A$12,""),IF(ISNUMBER(SEARCH('Référentiel entourage'!$B$13,O15)),'Référentiel entourage'!$A$13,""),IF(ISNUMBER(SEARCH('Référentiel entourage'!$B$14,O15)),'Référentiel entourage'!$A$14,""),IF(ISNUMBER(SEARCH('Référentiel entourage'!$B$15,O15)),'Référentiel entourage'!$A$15,""),IF(ISNUMBER(SEARCH('Référentiel entourage'!$B$16,O15)),'Référentiel entourage'!$A$16,""),IF(ISNUMBER(SEARCH('Référentiel entourage'!$B$17,O15)),'Référentiel entourage'!$A$17,""),IF(ISNUMBER(SEARCH('Référentiel entourage'!$B$18,O15)),'Référentiel entourage'!$A$18,""),IF(ISNUMBER(SEARCH('Référentiel entourage'!$B$19,O15)),'Référentiel entourage'!$A$19,""),IF(ISNUMBER(SEARCH('Référentiel entourage'!$B$20,O15)),'Référentiel entourage'!$A$20,""),IF(ISNUMBER(SEARCH('Référentiel entourage'!$B$21,O15)),'Référentiel entourage'!$A$21,""),IF(ISNUMBER(SEARCH('Référentiel entourage'!$B$22,O15)),'Référentiel entourage'!$A$22,""),IF(ISNUMBER(SEARCH('Référentiel entourage'!$B$23,O15)),'Référentiel entourage'!$A$23,""),IF(ISNUMBER(SEARCH('Référentiel entourage'!$B$24,O15)),'Référentiel entourage'!$A$24,"")))</f>
        <v>pers-irm-hermann; pers-gunther-kaufmann; pers-hanna-schygulla</v>
      </c>
      <c r="AD15" s="6" t="str">
        <f>_xlfn.LET(_xlpm.texte,_xlfn.TEXTJOIN(" | ",TRUE,H15:N15,P15),IF(_xlpm.texte="","",_xlfn.TEXTJOIN(";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 pers-peer-raben</v>
      </c>
    </row>
    <row r="16" spans="1:30" ht="227.75" customHeight="1">
      <c r="A16" s="28" t="s">
        <v>84</v>
      </c>
      <c r="B16" s="28" t="s">
        <v>85</v>
      </c>
      <c r="C16" s="28" t="s">
        <v>86</v>
      </c>
      <c r="D16" s="38">
        <v>1972</v>
      </c>
      <c r="E16" s="28" t="s">
        <v>42</v>
      </c>
      <c r="F16" s="29">
        <v>88</v>
      </c>
      <c r="G16" s="28" t="s">
        <v>33</v>
      </c>
      <c r="H16" s="28" t="s">
        <v>34</v>
      </c>
      <c r="I16" s="28" t="s">
        <v>34</v>
      </c>
      <c r="J16" s="28" t="s">
        <v>102</v>
      </c>
      <c r="K16" s="28" t="s">
        <v>145</v>
      </c>
      <c r="L16" s="28" t="s">
        <v>104</v>
      </c>
      <c r="M16" s="28"/>
      <c r="N16" s="28" t="s">
        <v>656</v>
      </c>
      <c r="O16" s="28" t="s">
        <v>657</v>
      </c>
      <c r="P16" s="28" t="s">
        <v>658</v>
      </c>
      <c r="Q16" s="28" t="s">
        <v>659</v>
      </c>
      <c r="R16" s="28"/>
      <c r="S16" s="28"/>
      <c r="T16" s="28"/>
      <c r="U16" s="28" t="s">
        <v>87</v>
      </c>
      <c r="V16" s="28"/>
      <c r="W16" s="28"/>
      <c r="X16" s="28" t="s">
        <v>88</v>
      </c>
      <c r="Y16" s="28"/>
      <c r="Z16" s="28" t="s">
        <v>660</v>
      </c>
      <c r="AA16" s="28" t="s">
        <v>45</v>
      </c>
      <c r="AB16" s="1" t="s">
        <v>89</v>
      </c>
      <c r="AC16" s="6" t="str">
        <f>IF(O16="","",_xlfn.TEXTJOIN("; ",TRUE,IF(ISNUMBER(SEARCH('Référentiel entourage'!$B$2,O16)),'Référentiel entourage'!$A$2,""),IF(ISNUMBER(SEARCH('Référentiel entourage'!$B$3,O16)),'Référentiel entourage'!$A$3,""),IF(ISNUMBER(SEARCH('Référentiel entourage'!$B$4,O16)),'Référentiel entourage'!$A$4,""),IF(ISNUMBER(SEARCH('Référentiel entourage'!$B$5,O16)),'Référentiel entourage'!$A$5,""),IF(ISNUMBER(SEARCH('Référentiel entourage'!$B$6,O16)),'Référentiel entourage'!$A$6,""),IF(ISNUMBER(SEARCH('Référentiel entourage'!$B$7,O16)),'Référentiel entourage'!$A$7,""),IF(ISNUMBER(SEARCH('Référentiel entourage'!$B$8,O16)),'Référentiel entourage'!$A$8,""),IF(ISNUMBER(SEARCH('Référentiel entourage'!$B$9,O16)),'Référentiel entourage'!$A$9,""),IF(ISNUMBER(SEARCH('Référentiel entourage'!$B$10,O16)),'Référentiel entourage'!$A$10,""),IF(ISNUMBER(SEARCH('Référentiel entourage'!$B$11,O16)),'Référentiel entourage'!$A$11,""),IF(ISNUMBER(SEARCH('Référentiel entourage'!$B$12,O16)),'Référentiel entourage'!$A$12,""),IF(ISNUMBER(SEARCH('Référentiel entourage'!$B$13,O16)),'Référentiel entourage'!$A$13,""),IF(ISNUMBER(SEARCH('Référentiel entourage'!$B$14,O16)),'Référentiel entourage'!$A$14,""),IF(ISNUMBER(SEARCH('Référentiel entourage'!$B$15,O16)),'Référentiel entourage'!$A$15,""),IF(ISNUMBER(SEARCH('Référentiel entourage'!$B$16,O16)),'Référentiel entourage'!$A$16,""),IF(ISNUMBER(SEARCH('Référentiel entourage'!$B$17,O16)),'Référentiel entourage'!$A$17,""),IF(ISNUMBER(SEARCH('Référentiel entourage'!$B$18,O16)),'Référentiel entourage'!$A$18,""),IF(ISNUMBER(SEARCH('Référentiel entourage'!$B$19,O16)),'Référentiel entourage'!$A$19,""),IF(ISNUMBER(SEARCH('Référentiel entourage'!$B$20,O16)),'Référentiel entourage'!$A$20,""),IF(ISNUMBER(SEARCH('Référentiel entourage'!$B$21,O16)),'Référentiel entourage'!$A$21,""),IF(ISNUMBER(SEARCH('Référentiel entourage'!$B$22,O16)),'Référentiel entourage'!$A$22,""),IF(ISNUMBER(SEARCH('Référentiel entourage'!$B$23,O16)),'Référentiel entourage'!$A$23,""),IF(ISNUMBER(SEARCH('Référentiel entourage'!$B$24,O16)),'Référentiel entourage'!$A$24,"")))</f>
        <v>pers-hark-bohm; pers-ingrid-caven; pers-peter-chatel; pers-lilo-pempeit; pers-michael-fengler; pers-irm-hermann; pers-kurt-raab; pers-daniel-schmid; pers-hanna-schygulla</v>
      </c>
      <c r="AD16" s="6" t="str">
        <f>_xlfn.LET(_xlpm.texte,_xlfn.TEXTJOIN(" | ",TRUE,H16:N16,P16),IF(_xlpm.texte="","",_xlfn.TEXTJOIN(";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v>
      </c>
    </row>
    <row r="17" spans="1:30" ht="227.75" customHeight="1">
      <c r="A17" s="28" t="s">
        <v>90</v>
      </c>
      <c r="B17" s="28" t="s">
        <v>91</v>
      </c>
      <c r="C17" s="28" t="s">
        <v>92</v>
      </c>
      <c r="D17" s="38">
        <v>1972</v>
      </c>
      <c r="E17" s="28" t="s">
        <v>42</v>
      </c>
      <c r="F17" s="29">
        <v>124</v>
      </c>
      <c r="G17" s="28" t="s">
        <v>33</v>
      </c>
      <c r="H17" s="28" t="s">
        <v>34</v>
      </c>
      <c r="I17" s="28" t="s">
        <v>661</v>
      </c>
      <c r="J17" s="28" t="s">
        <v>159</v>
      </c>
      <c r="K17" s="28" t="s">
        <v>145</v>
      </c>
      <c r="L17" s="28" t="s">
        <v>104</v>
      </c>
      <c r="M17" s="28"/>
      <c r="N17" s="28" t="s">
        <v>187</v>
      </c>
      <c r="O17" s="28" t="s">
        <v>662</v>
      </c>
      <c r="P17" s="28" t="s">
        <v>663</v>
      </c>
      <c r="Q17" s="28" t="s">
        <v>664</v>
      </c>
      <c r="R17" s="28"/>
      <c r="S17" s="28"/>
      <c r="T17" s="28"/>
      <c r="U17" s="28" t="s">
        <v>93</v>
      </c>
      <c r="V17" s="28"/>
      <c r="W17" s="28"/>
      <c r="X17" s="28" t="s">
        <v>88</v>
      </c>
      <c r="Y17" s="28"/>
      <c r="Z17" s="28" t="s">
        <v>665</v>
      </c>
      <c r="AA17" s="28" t="s">
        <v>45</v>
      </c>
      <c r="AB17" s="1" t="s">
        <v>94</v>
      </c>
      <c r="AC17" s="6" t="str">
        <f>IF(O17="","",_xlfn.TEXTJOIN("; ",TRUE,IF(ISNUMBER(SEARCH('Référentiel entourage'!$B$2,O17)),'Référentiel entourage'!$A$2,""),IF(ISNUMBER(SEARCH('Référentiel entourage'!$B$3,O17)),'Référentiel entourage'!$A$3,""),IF(ISNUMBER(SEARCH('Référentiel entourage'!$B$4,O17)),'Référentiel entourage'!$A$4,""),IF(ISNUMBER(SEARCH('Référentiel entourage'!$B$5,O17)),'Référentiel entourage'!$A$5,""),IF(ISNUMBER(SEARCH('Référentiel entourage'!$B$6,O17)),'Référentiel entourage'!$A$6,""),IF(ISNUMBER(SEARCH('Référentiel entourage'!$B$7,O17)),'Référentiel entourage'!$A$7,""),IF(ISNUMBER(SEARCH('Référentiel entourage'!$B$8,O17)),'Référentiel entourage'!$A$8,""),IF(ISNUMBER(SEARCH('Référentiel entourage'!$B$9,O17)),'Référentiel entourage'!$A$9,""),IF(ISNUMBER(SEARCH('Référentiel entourage'!$B$10,O17)),'Référentiel entourage'!$A$10,""),IF(ISNUMBER(SEARCH('Référentiel entourage'!$B$11,O17)),'Référentiel entourage'!$A$11,""),IF(ISNUMBER(SEARCH('Référentiel entourage'!$B$12,O17)),'Référentiel entourage'!$A$12,""),IF(ISNUMBER(SEARCH('Référentiel entourage'!$B$13,O17)),'Référentiel entourage'!$A$13,""),IF(ISNUMBER(SEARCH('Référentiel entourage'!$B$14,O17)),'Référentiel entourage'!$A$14,""),IF(ISNUMBER(SEARCH('Référentiel entourage'!$B$15,O17)),'Référentiel entourage'!$A$15,""),IF(ISNUMBER(SEARCH('Référentiel entourage'!$B$16,O17)),'Référentiel entourage'!$A$16,""),IF(ISNUMBER(SEARCH('Référentiel entourage'!$B$17,O17)),'Référentiel entourage'!$A$17,""),IF(ISNUMBER(SEARCH('Référentiel entourage'!$B$18,O17)),'Référentiel entourage'!$A$18,""),IF(ISNUMBER(SEARCH('Référentiel entourage'!$B$19,O17)),'Référentiel entourage'!$A$19,""),IF(ISNUMBER(SEARCH('Référentiel entourage'!$B$20,O17)),'Référentiel entourage'!$A$20,""),IF(ISNUMBER(SEARCH('Référentiel entourage'!$B$21,O17)),'Référentiel entourage'!$A$21,""),IF(ISNUMBER(SEARCH('Référentiel entourage'!$B$22,O17)),'Référentiel entourage'!$A$22,""),IF(ISNUMBER(SEARCH('Référentiel entourage'!$B$23,O17)),'Référentiel entourage'!$A$23,""),IF(ISNUMBER(SEARCH('Référentiel entourage'!$B$24,O17)),'Référentiel entourage'!$A$24,"")))</f>
        <v>pers-margit-carstensen; pers-irm-hermann; pers-hanna-schygulla</v>
      </c>
      <c r="AD17" s="6" t="str">
        <f>_xlfn.LET(_xlpm.texte,_xlfn.TEXTJOIN(" | ",TRUE,H17:N17,P17),IF(_xlpm.texte="","",_xlfn.TEXTJOIN(";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pers-kurt-raab</v>
      </c>
    </row>
    <row r="18" spans="1:30" ht="227.75" customHeight="1">
      <c r="A18" s="28" t="s">
        <v>95</v>
      </c>
      <c r="B18" s="28" t="s">
        <v>96</v>
      </c>
      <c r="C18" s="28" t="s">
        <v>666</v>
      </c>
      <c r="D18" s="38">
        <v>1972</v>
      </c>
      <c r="E18" s="28" t="s">
        <v>67</v>
      </c>
      <c r="F18" s="29">
        <v>87</v>
      </c>
      <c r="G18" s="28" t="s">
        <v>33</v>
      </c>
      <c r="H18" s="28" t="s">
        <v>34</v>
      </c>
      <c r="I18" s="28" t="s">
        <v>667</v>
      </c>
      <c r="J18" s="28" t="s">
        <v>668</v>
      </c>
      <c r="K18" s="28" t="s">
        <v>669</v>
      </c>
      <c r="L18" s="28" t="s">
        <v>104</v>
      </c>
      <c r="M18" s="28"/>
      <c r="N18" s="28" t="s">
        <v>670</v>
      </c>
      <c r="O18" s="28" t="s">
        <v>671</v>
      </c>
      <c r="P18" s="28" t="s">
        <v>672</v>
      </c>
      <c r="Q18" s="28" t="s">
        <v>673</v>
      </c>
      <c r="R18" s="28"/>
      <c r="S18" s="28"/>
      <c r="T18" s="28"/>
      <c r="U18" s="28"/>
      <c r="V18" s="28"/>
      <c r="W18" s="28"/>
      <c r="X18" s="28" t="s">
        <v>88</v>
      </c>
      <c r="Y18" s="28"/>
      <c r="Z18" s="28" t="s">
        <v>674</v>
      </c>
      <c r="AA18" s="28" t="s">
        <v>45</v>
      </c>
      <c r="AB18" s="1" t="s">
        <v>97</v>
      </c>
      <c r="AC18" s="6" t="str">
        <f>IF(O18="","",_xlfn.TEXTJOIN("; ",TRUE,IF(ISNUMBER(SEARCH('Référentiel entourage'!$B$2,O18)),'Référentiel entourage'!$A$2,""),IF(ISNUMBER(SEARCH('Référentiel entourage'!$B$3,O18)),'Référentiel entourage'!$A$3,""),IF(ISNUMBER(SEARCH('Référentiel entourage'!$B$4,O18)),'Référentiel entourage'!$A$4,""),IF(ISNUMBER(SEARCH('Référentiel entourage'!$B$5,O18)),'Référentiel entourage'!$A$5,""),IF(ISNUMBER(SEARCH('Référentiel entourage'!$B$6,O18)),'Référentiel entourage'!$A$6,""),IF(ISNUMBER(SEARCH('Référentiel entourage'!$B$7,O18)),'Référentiel entourage'!$A$7,""),IF(ISNUMBER(SEARCH('Référentiel entourage'!$B$8,O18)),'Référentiel entourage'!$A$8,""),IF(ISNUMBER(SEARCH('Référentiel entourage'!$B$9,O18)),'Référentiel entourage'!$A$9,""),IF(ISNUMBER(SEARCH('Référentiel entourage'!$B$10,O18)),'Référentiel entourage'!$A$10,""),IF(ISNUMBER(SEARCH('Référentiel entourage'!$B$11,O18)),'Référentiel entourage'!$A$11,""),IF(ISNUMBER(SEARCH('Référentiel entourage'!$B$12,O18)),'Référentiel entourage'!$A$12,""),IF(ISNUMBER(SEARCH('Référentiel entourage'!$B$13,O18)),'Référentiel entourage'!$A$13,""),IF(ISNUMBER(SEARCH('Référentiel entourage'!$B$14,O18)),'Référentiel entourage'!$A$14,""),IF(ISNUMBER(SEARCH('Référentiel entourage'!$B$15,O18)),'Référentiel entourage'!$A$15,""),IF(ISNUMBER(SEARCH('Référentiel entourage'!$B$16,O18)),'Référentiel entourage'!$A$16,""),IF(ISNUMBER(SEARCH('Référentiel entourage'!$B$17,O18)),'Référentiel entourage'!$A$17,""),IF(ISNUMBER(SEARCH('Référentiel entourage'!$B$18,O18)),'Référentiel entourage'!$A$18,""),IF(ISNUMBER(SEARCH('Référentiel entourage'!$B$19,O18)),'Référentiel entourage'!$A$19,""),IF(ISNUMBER(SEARCH('Référentiel entourage'!$B$20,O18)),'Référentiel entourage'!$A$20,""),IF(ISNUMBER(SEARCH('Référentiel entourage'!$B$21,O18)),'Référentiel entourage'!$A$21,""),IF(ISNUMBER(SEARCH('Référentiel entourage'!$B$22,O18)),'Référentiel entourage'!$A$22,""),IF(ISNUMBER(SEARCH('Référentiel entourage'!$B$23,O18)),'Référentiel entourage'!$A$23,""),IF(ISNUMBER(SEARCH('Référentiel entourage'!$B$24,O18)),'Référentiel entourage'!$A$24,"")))</f>
        <v>pers-margit-carstensen; pers-lilo-pempeit; pers-ulli-lommel; pers-kurt-raab; pers-hanna-schygulla</v>
      </c>
      <c r="AD18" s="6" t="str">
        <f>_xlfn.LET(_xlpm.texte,_xlfn.TEXTJOIN(" | ",TRUE,H18:N18,P18),IF(_xlpm.texte="","",_xlfn.TEXTJOIN(";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v>
      </c>
    </row>
    <row r="19" spans="1:30" ht="227.75" customHeight="1">
      <c r="A19" s="28" t="s">
        <v>98</v>
      </c>
      <c r="B19" s="28" t="s">
        <v>99</v>
      </c>
      <c r="C19" s="28" t="s">
        <v>100</v>
      </c>
      <c r="D19" s="38">
        <v>1972</v>
      </c>
      <c r="E19" s="28" t="s">
        <v>101</v>
      </c>
      <c r="F19" s="29">
        <v>467</v>
      </c>
      <c r="G19" s="28" t="s">
        <v>33</v>
      </c>
      <c r="H19" s="28" t="s">
        <v>34</v>
      </c>
      <c r="I19" s="28" t="s">
        <v>34</v>
      </c>
      <c r="J19" s="28" t="s">
        <v>102</v>
      </c>
      <c r="K19" s="28" t="s">
        <v>103</v>
      </c>
      <c r="L19" s="28" t="s">
        <v>104</v>
      </c>
      <c r="M19" s="28"/>
      <c r="N19" s="28" t="s">
        <v>105</v>
      </c>
      <c r="O19" s="28" t="s">
        <v>106</v>
      </c>
      <c r="P19" s="28" t="s">
        <v>107</v>
      </c>
      <c r="Q19" s="28" t="s">
        <v>108</v>
      </c>
      <c r="R19" s="28"/>
      <c r="S19" s="28"/>
      <c r="T19" s="28"/>
      <c r="U19" s="28"/>
      <c r="V19" s="28"/>
      <c r="W19" s="28"/>
      <c r="X19" s="28" t="s">
        <v>109</v>
      </c>
      <c r="Y19" s="28" t="s">
        <v>110</v>
      </c>
      <c r="Z19" s="28" t="s">
        <v>111</v>
      </c>
      <c r="AA19" s="28" t="s">
        <v>112</v>
      </c>
      <c r="AB19" s="1" t="s">
        <v>113</v>
      </c>
      <c r="AC19" s="6" t="str">
        <f>IF(O19="","",_xlfn.TEXTJOIN("; ",TRUE,IF(ISNUMBER(SEARCH('Référentiel entourage'!$B$2,O19)),'Référentiel entourage'!$A$2,""),IF(ISNUMBER(SEARCH('Référentiel entourage'!$B$3,O19)),'Référentiel entourage'!$A$3,""),IF(ISNUMBER(SEARCH('Référentiel entourage'!$B$4,O19)),'Référentiel entourage'!$A$4,""),IF(ISNUMBER(SEARCH('Référentiel entourage'!$B$5,O19)),'Référentiel entourage'!$A$5,""),IF(ISNUMBER(SEARCH('Référentiel entourage'!$B$6,O19)),'Référentiel entourage'!$A$6,""),IF(ISNUMBER(SEARCH('Référentiel entourage'!$B$7,O19)),'Référentiel entourage'!$A$7,""),IF(ISNUMBER(SEARCH('Référentiel entourage'!$B$8,O19)),'Référentiel entourage'!$A$8,""),IF(ISNUMBER(SEARCH('Référentiel entourage'!$B$9,O19)),'Référentiel entourage'!$A$9,""),IF(ISNUMBER(SEARCH('Référentiel entourage'!$B$10,O19)),'Référentiel entourage'!$A$10,""),IF(ISNUMBER(SEARCH('Référentiel entourage'!$B$11,O19)),'Référentiel entourage'!$A$11,""),IF(ISNUMBER(SEARCH('Référentiel entourage'!$B$12,O19)),'Référentiel entourage'!$A$12,""),IF(ISNUMBER(SEARCH('Référentiel entourage'!$B$13,O19)),'Référentiel entourage'!$A$13,""),IF(ISNUMBER(SEARCH('Référentiel entourage'!$B$14,O19)),'Référentiel entourage'!$A$14,""),IF(ISNUMBER(SEARCH('Référentiel entourage'!$B$15,O19)),'Référentiel entourage'!$A$15,""),IF(ISNUMBER(SEARCH('Référentiel entourage'!$B$16,O19)),'Référentiel entourage'!$A$16,""),IF(ISNUMBER(SEARCH('Référentiel entourage'!$B$17,O19)),'Référentiel entourage'!$A$17,""),IF(ISNUMBER(SEARCH('Référentiel entourage'!$B$18,O19)),'Référentiel entourage'!$A$18,""),IF(ISNUMBER(SEARCH('Référentiel entourage'!$B$19,O19)),'Référentiel entourage'!$A$19,""),IF(ISNUMBER(SEARCH('Référentiel entourage'!$B$20,O19)),'Référentiel entourage'!$A$20,""),IF(ISNUMBER(SEARCH('Référentiel entourage'!$B$21,O19)),'Référentiel entourage'!$A$21,""),IF(ISNUMBER(SEARCH('Référentiel entourage'!$B$22,O19)),'Référentiel entourage'!$A$22,""),IF(ISNUMBER(SEARCH('Référentiel entourage'!$B$23,O19)),'Référentiel entourage'!$A$23,""),IF(ISNUMBER(SEARCH('Référentiel entourage'!$B$24,O19)),'Référentiel entourage'!$A$24,"")))</f>
        <v>pers-gottfried-john; pers-irm-hermann; pers-kurt-raab; pers-hanna-schygulla</v>
      </c>
      <c r="AD19" s="6" t="str">
        <f>_xlfn.LET(_xlpm.texte,_xlfn.TEXTJOIN(" | ",TRUE,H19:N19,P19),IF(_xlpm.texte="","",_xlfn.TEXTJOIN(";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v>
      </c>
    </row>
    <row r="20" spans="1:30" ht="227.75" customHeight="1">
      <c r="A20" s="28" t="s">
        <v>114</v>
      </c>
      <c r="B20" s="28" t="s">
        <v>115</v>
      </c>
      <c r="C20" s="28" t="s">
        <v>675</v>
      </c>
      <c r="D20" s="38">
        <v>1973</v>
      </c>
      <c r="E20" s="28" t="s">
        <v>67</v>
      </c>
      <c r="F20" s="29">
        <v>102</v>
      </c>
      <c r="G20" s="28" t="s">
        <v>33</v>
      </c>
      <c r="H20" s="28" t="s">
        <v>34</v>
      </c>
      <c r="I20" s="28" t="s">
        <v>676</v>
      </c>
      <c r="J20" s="28" t="s">
        <v>102</v>
      </c>
      <c r="K20" s="28" t="s">
        <v>145</v>
      </c>
      <c r="L20" s="28" t="s">
        <v>104</v>
      </c>
      <c r="M20" s="28" t="s">
        <v>677</v>
      </c>
      <c r="N20" s="28" t="s">
        <v>678</v>
      </c>
      <c r="O20" s="28" t="s">
        <v>679</v>
      </c>
      <c r="P20" s="28" t="s">
        <v>680</v>
      </c>
      <c r="Q20" s="28" t="s">
        <v>681</v>
      </c>
      <c r="R20" s="28"/>
      <c r="S20" s="28"/>
      <c r="T20" s="28"/>
      <c r="U20" s="28"/>
      <c r="V20" s="28"/>
      <c r="W20" s="28"/>
      <c r="X20" s="28" t="s">
        <v>116</v>
      </c>
      <c r="Y20" s="28"/>
      <c r="Z20" s="28" t="s">
        <v>682</v>
      </c>
      <c r="AA20" s="28" t="s">
        <v>45</v>
      </c>
      <c r="AB20" s="1" t="s">
        <v>117</v>
      </c>
      <c r="AC20" s="6" t="str">
        <f>IF(O20="","",_xlfn.TEXTJOIN("; ",TRUE,IF(ISNUMBER(SEARCH('Référentiel entourage'!$B$2,O20)),'Référentiel entourage'!$A$2,""),IF(ISNUMBER(SEARCH('Référentiel entourage'!$B$3,O20)),'Référentiel entourage'!$A$3,""),IF(ISNUMBER(SEARCH('Référentiel entourage'!$B$4,O20)),'Référentiel entourage'!$A$4,""),IF(ISNUMBER(SEARCH('Référentiel entourage'!$B$5,O20)),'Référentiel entourage'!$A$5,""),IF(ISNUMBER(SEARCH('Référentiel entourage'!$B$6,O20)),'Référentiel entourage'!$A$6,""),IF(ISNUMBER(SEARCH('Référentiel entourage'!$B$7,O20)),'Référentiel entourage'!$A$7,""),IF(ISNUMBER(SEARCH('Référentiel entourage'!$B$8,O20)),'Référentiel entourage'!$A$8,""),IF(ISNUMBER(SEARCH('Référentiel entourage'!$B$9,O20)),'Référentiel entourage'!$A$9,""),IF(ISNUMBER(SEARCH('Référentiel entourage'!$B$10,O20)),'Référentiel entourage'!$A$10,""),IF(ISNUMBER(SEARCH('Référentiel entourage'!$B$11,O20)),'Référentiel entourage'!$A$11,""),IF(ISNUMBER(SEARCH('Référentiel entourage'!$B$12,O20)),'Référentiel entourage'!$A$12,""),IF(ISNUMBER(SEARCH('Référentiel entourage'!$B$13,O20)),'Référentiel entourage'!$A$13,""),IF(ISNUMBER(SEARCH('Référentiel entourage'!$B$14,O20)),'Référentiel entourage'!$A$14,""),IF(ISNUMBER(SEARCH('Référentiel entourage'!$B$15,O20)),'Référentiel entourage'!$A$15,""),IF(ISNUMBER(SEARCH('Référentiel entourage'!$B$16,O20)),'Référentiel entourage'!$A$16,""),IF(ISNUMBER(SEARCH('Référentiel entourage'!$B$17,O20)),'Référentiel entourage'!$A$17,""),IF(ISNUMBER(SEARCH('Référentiel entourage'!$B$18,O20)),'Référentiel entourage'!$A$18,""),IF(ISNUMBER(SEARCH('Référentiel entourage'!$B$19,O20)),'Référentiel entourage'!$A$19,""),IF(ISNUMBER(SEARCH('Référentiel entourage'!$B$20,O20)),'Référentiel entourage'!$A$20,""),IF(ISNUMBER(SEARCH('Référentiel entourage'!$B$21,O20)),'Référentiel entourage'!$A$21,""),IF(ISNUMBER(SEARCH('Référentiel entourage'!$B$22,O20)),'Référentiel entourage'!$A$22,""),IF(ISNUMBER(SEARCH('Référentiel entourage'!$B$23,O20)),'Référentiel entourage'!$A$23,""),IF(ISNUMBER(SEARCH('Référentiel entourage'!$B$24,O20)),'Référentiel entourage'!$A$24,"")))</f>
        <v>pers-el-hedi-ben-salem; pers-irm-hermann; pers-kurt-raab; pers-hanna-schygulla</v>
      </c>
      <c r="AD20" s="6" t="str">
        <f>_xlfn.LET(_xlpm.texte,_xlfn.TEXTJOIN(" | ",TRUE,H20:N20,P20),IF(_xlpm.texte="","",_xlfn.TEXTJOIN(";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pers-irm-hermann; pers-kurt-raab</v>
      </c>
    </row>
    <row r="21" spans="1:30" ht="227.75" customHeight="1">
      <c r="A21" s="28" t="s">
        <v>118</v>
      </c>
      <c r="B21" s="28" t="s">
        <v>119</v>
      </c>
      <c r="C21" s="28" t="s">
        <v>120</v>
      </c>
      <c r="D21" s="38">
        <v>1973</v>
      </c>
      <c r="E21" s="28" t="s">
        <v>121</v>
      </c>
      <c r="F21" s="29">
        <v>212</v>
      </c>
      <c r="G21" s="28" t="s">
        <v>33</v>
      </c>
      <c r="H21" s="28" t="s">
        <v>34</v>
      </c>
      <c r="I21" s="28" t="s">
        <v>122</v>
      </c>
      <c r="J21" s="28"/>
      <c r="K21" s="28"/>
      <c r="L21" s="28"/>
      <c r="M21" s="28"/>
      <c r="N21" s="28" t="s">
        <v>105</v>
      </c>
      <c r="O21" s="28"/>
      <c r="P21" s="28" t="s">
        <v>123</v>
      </c>
      <c r="Q21" s="28" t="s">
        <v>124</v>
      </c>
      <c r="R21" s="28"/>
      <c r="S21" s="28"/>
      <c r="T21" s="28" t="s">
        <v>125</v>
      </c>
      <c r="U21" s="28" t="s">
        <v>126</v>
      </c>
      <c r="V21" s="28"/>
      <c r="W21" s="28"/>
      <c r="X21" s="28" t="s">
        <v>116</v>
      </c>
      <c r="Y21" s="28" t="s">
        <v>127</v>
      </c>
      <c r="Z21" s="28" t="s">
        <v>111</v>
      </c>
      <c r="AA21" s="28" t="s">
        <v>128</v>
      </c>
      <c r="AB21" s="1" t="s">
        <v>129</v>
      </c>
      <c r="AC21" s="6" t="str">
        <f>IF(O21="","",_xlfn.TEXTJOIN("; ",TRUE,IF(ISNUMBER(SEARCH('Référentiel entourage'!$B$2,O21)),'Référentiel entourage'!$A$2,""),IF(ISNUMBER(SEARCH('Référentiel entourage'!$B$3,O21)),'Référentiel entourage'!$A$3,""),IF(ISNUMBER(SEARCH('Référentiel entourage'!$B$4,O21)),'Référentiel entourage'!$A$4,""),IF(ISNUMBER(SEARCH('Référentiel entourage'!$B$5,O21)),'Référentiel entourage'!$A$5,""),IF(ISNUMBER(SEARCH('Référentiel entourage'!$B$6,O21)),'Référentiel entourage'!$A$6,""),IF(ISNUMBER(SEARCH('Référentiel entourage'!$B$7,O21)),'Référentiel entourage'!$A$7,""),IF(ISNUMBER(SEARCH('Référentiel entourage'!$B$8,O21)),'Référentiel entourage'!$A$8,""),IF(ISNUMBER(SEARCH('Référentiel entourage'!$B$9,O21)),'Référentiel entourage'!$A$9,""),IF(ISNUMBER(SEARCH('Référentiel entourage'!$B$10,O21)),'Référentiel entourage'!$A$10,""),IF(ISNUMBER(SEARCH('Référentiel entourage'!$B$11,O21)),'Référentiel entourage'!$A$11,""),IF(ISNUMBER(SEARCH('Référentiel entourage'!$B$12,O21)),'Référentiel entourage'!$A$12,""),IF(ISNUMBER(SEARCH('Référentiel entourage'!$B$13,O21)),'Référentiel entourage'!$A$13,""),IF(ISNUMBER(SEARCH('Référentiel entourage'!$B$14,O21)),'Référentiel entourage'!$A$14,""),IF(ISNUMBER(SEARCH('Référentiel entourage'!$B$15,O21)),'Référentiel entourage'!$A$15,""),IF(ISNUMBER(SEARCH('Référentiel entourage'!$B$16,O21)),'Référentiel entourage'!$A$16,""),IF(ISNUMBER(SEARCH('Référentiel entourage'!$B$17,O21)),'Référentiel entourage'!$A$17,""),IF(ISNUMBER(SEARCH('Référentiel entourage'!$B$18,O21)),'Référentiel entourage'!$A$18,""),IF(ISNUMBER(SEARCH('Référentiel entourage'!$B$19,O21)),'Référentiel entourage'!$A$19,""),IF(ISNUMBER(SEARCH('Référentiel entourage'!$B$20,O21)),'Référentiel entourage'!$A$20,""),IF(ISNUMBER(SEARCH('Référentiel entourage'!$B$21,O21)),'Référentiel entourage'!$A$21,""),IF(ISNUMBER(SEARCH('Référentiel entourage'!$B$22,O21)),'Référentiel entourage'!$A$22,""),IF(ISNUMBER(SEARCH('Référentiel entourage'!$B$23,O21)),'Référentiel entourage'!$A$23,""),IF(ISNUMBER(SEARCH('Référentiel entourage'!$B$24,O21)),'Référentiel entourage'!$A$24,"")))</f>
        <v/>
      </c>
      <c r="AD21" s="6" t="str">
        <f>_xlfn.LET(_xlpm.texte,_xlfn.TEXTJOIN(" | ",TRUE,H21:N21,P21),IF(_xlpm.texte="","",_xlfn.TEXTJOIN(";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22" spans="1:30" ht="227.75" customHeight="1">
      <c r="A22" s="28" t="s">
        <v>130</v>
      </c>
      <c r="B22" s="28" t="s">
        <v>131</v>
      </c>
      <c r="C22" s="28" t="s">
        <v>132</v>
      </c>
      <c r="D22" s="38">
        <v>1974</v>
      </c>
      <c r="E22" s="28" t="s">
        <v>42</v>
      </c>
      <c r="F22" s="29">
        <v>93</v>
      </c>
      <c r="G22" s="28" t="s">
        <v>33</v>
      </c>
      <c r="H22" s="28" t="s">
        <v>34</v>
      </c>
      <c r="I22" s="28" t="s">
        <v>34</v>
      </c>
      <c r="J22" s="28"/>
      <c r="K22" s="28"/>
      <c r="L22" s="28"/>
      <c r="M22" s="28"/>
      <c r="N22" s="28"/>
      <c r="O22" s="28" t="s">
        <v>133</v>
      </c>
      <c r="P22" s="28" t="s">
        <v>134</v>
      </c>
      <c r="Q22" s="28" t="s">
        <v>135</v>
      </c>
      <c r="R22" s="28"/>
      <c r="S22" s="28"/>
      <c r="T22" s="28"/>
      <c r="U22" s="28" t="s">
        <v>136</v>
      </c>
      <c r="V22" s="28"/>
      <c r="W22" s="28"/>
      <c r="X22" s="28" t="s">
        <v>137</v>
      </c>
      <c r="Y22" s="28" t="s">
        <v>138</v>
      </c>
      <c r="Z22" s="28" t="s">
        <v>111</v>
      </c>
      <c r="AA22" s="28" t="s">
        <v>112</v>
      </c>
      <c r="AB22" s="1" t="s">
        <v>139</v>
      </c>
      <c r="AC22" s="6" t="str">
        <f>IF(O22="","",_xlfn.TEXTJOIN("; ",TRUE,IF(ISNUMBER(SEARCH('Référentiel entourage'!$B$2,O22)),'Référentiel entourage'!$A$2,""),IF(ISNUMBER(SEARCH('Référentiel entourage'!$B$3,O22)),'Référentiel entourage'!$A$3,""),IF(ISNUMBER(SEARCH('Référentiel entourage'!$B$4,O22)),'Référentiel entourage'!$A$4,""),IF(ISNUMBER(SEARCH('Référentiel entourage'!$B$5,O22)),'Référentiel entourage'!$A$5,""),IF(ISNUMBER(SEARCH('Référentiel entourage'!$B$6,O22)),'Référentiel entourage'!$A$6,""),IF(ISNUMBER(SEARCH('Référentiel entourage'!$B$7,O22)),'Référentiel entourage'!$A$7,""),IF(ISNUMBER(SEARCH('Référentiel entourage'!$B$8,O22)),'Référentiel entourage'!$A$8,""),IF(ISNUMBER(SEARCH('Référentiel entourage'!$B$9,O22)),'Référentiel entourage'!$A$9,""),IF(ISNUMBER(SEARCH('Référentiel entourage'!$B$10,O22)),'Référentiel entourage'!$A$10,""),IF(ISNUMBER(SEARCH('Référentiel entourage'!$B$11,O22)),'Référentiel entourage'!$A$11,""),IF(ISNUMBER(SEARCH('Référentiel entourage'!$B$12,O22)),'Référentiel entourage'!$A$12,""),IF(ISNUMBER(SEARCH('Référentiel entourage'!$B$13,O22)),'Référentiel entourage'!$A$13,""),IF(ISNUMBER(SEARCH('Référentiel entourage'!$B$14,O22)),'Référentiel entourage'!$A$14,""),IF(ISNUMBER(SEARCH('Référentiel entourage'!$B$15,O22)),'Référentiel entourage'!$A$15,""),IF(ISNUMBER(SEARCH('Référentiel entourage'!$B$16,O22)),'Référentiel entourage'!$A$16,""),IF(ISNUMBER(SEARCH('Référentiel entourage'!$B$17,O22)),'Référentiel entourage'!$A$17,""),IF(ISNUMBER(SEARCH('Référentiel entourage'!$B$18,O22)),'Référentiel entourage'!$A$18,""),IF(ISNUMBER(SEARCH('Référentiel entourage'!$B$19,O22)),'Référentiel entourage'!$A$19,""),IF(ISNUMBER(SEARCH('Référentiel entourage'!$B$20,O22)),'Référentiel entourage'!$A$20,""),IF(ISNUMBER(SEARCH('Référentiel entourage'!$B$21,O22)),'Référentiel entourage'!$A$21,""),IF(ISNUMBER(SEARCH('Référentiel entourage'!$B$22,O22)),'Référentiel entourage'!$A$22,""),IF(ISNUMBER(SEARCH('Référentiel entourage'!$B$23,O22)),'Référentiel entourage'!$A$23,""),IF(ISNUMBER(SEARCH('Référentiel entourage'!$B$24,O22)),'Référentiel entourage'!$A$24,"")))</f>
        <v>pers-el-hedi-ben-salem; pers-peter-chatel; pers-lilo-pempeit; pers-irm-hermann; pers-brigitte-mira</v>
      </c>
      <c r="AD22" s="6" t="str">
        <f>_xlfn.LET(_xlpm.texte,_xlfn.TEXTJOIN(" | ",TRUE,H22:N22,P22),IF(_xlpm.texte="","",_xlfn.TEXTJOIN(";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23" spans="1:30" ht="227.75" customHeight="1">
      <c r="A23" s="28" t="s">
        <v>140</v>
      </c>
      <c r="B23" s="28" t="s">
        <v>141</v>
      </c>
      <c r="C23" s="28" t="s">
        <v>142</v>
      </c>
      <c r="D23" s="38">
        <v>1974</v>
      </c>
      <c r="E23" s="28" t="s">
        <v>42</v>
      </c>
      <c r="F23" s="29">
        <v>140</v>
      </c>
      <c r="G23" s="28" t="s">
        <v>33</v>
      </c>
      <c r="H23" s="28" t="s">
        <v>34</v>
      </c>
      <c r="I23" s="28" t="s">
        <v>143</v>
      </c>
      <c r="J23" s="28" t="s">
        <v>144</v>
      </c>
      <c r="K23" s="28" t="s">
        <v>145</v>
      </c>
      <c r="L23" s="28" t="s">
        <v>104</v>
      </c>
      <c r="M23" s="28"/>
      <c r="N23" s="28" t="s">
        <v>34</v>
      </c>
      <c r="O23" s="28" t="s">
        <v>146</v>
      </c>
      <c r="P23" s="28" t="s">
        <v>147</v>
      </c>
      <c r="Q23" s="28" t="s">
        <v>148</v>
      </c>
      <c r="R23" s="28"/>
      <c r="S23" s="28"/>
      <c r="T23" s="28" t="s">
        <v>149</v>
      </c>
      <c r="U23" s="28" t="s">
        <v>150</v>
      </c>
      <c r="V23" s="28"/>
      <c r="W23" s="28"/>
      <c r="X23" s="28" t="s">
        <v>137</v>
      </c>
      <c r="Y23" s="28" t="s">
        <v>151</v>
      </c>
      <c r="Z23" s="28" t="s">
        <v>111</v>
      </c>
      <c r="AA23" s="28" t="s">
        <v>112</v>
      </c>
      <c r="AB23" s="1" t="s">
        <v>152</v>
      </c>
      <c r="AC23" s="6" t="str">
        <f>IF(O23="","",_xlfn.TEXTJOIN("; ",TRUE,IF(ISNUMBER(SEARCH('Référentiel entourage'!$B$2,O23)),'Référentiel entourage'!$A$2,""),IF(ISNUMBER(SEARCH('Référentiel entourage'!$B$3,O23)),'Référentiel entourage'!$A$3,""),IF(ISNUMBER(SEARCH('Référentiel entourage'!$B$4,O23)),'Référentiel entourage'!$A$4,""),IF(ISNUMBER(SEARCH('Référentiel entourage'!$B$5,O23)),'Référentiel entourage'!$A$5,""),IF(ISNUMBER(SEARCH('Référentiel entourage'!$B$6,O23)),'Référentiel entourage'!$A$6,""),IF(ISNUMBER(SEARCH('Référentiel entourage'!$B$7,O23)),'Référentiel entourage'!$A$7,""),IF(ISNUMBER(SEARCH('Référentiel entourage'!$B$8,O23)),'Référentiel entourage'!$A$8,""),IF(ISNUMBER(SEARCH('Référentiel entourage'!$B$9,O23)),'Référentiel entourage'!$A$9,""),IF(ISNUMBER(SEARCH('Référentiel entourage'!$B$10,O23)),'Référentiel entourage'!$A$10,""),IF(ISNUMBER(SEARCH('Référentiel entourage'!$B$11,O23)),'Référentiel entourage'!$A$11,""),IF(ISNUMBER(SEARCH('Référentiel entourage'!$B$12,O23)),'Référentiel entourage'!$A$12,""),IF(ISNUMBER(SEARCH('Référentiel entourage'!$B$13,O23)),'Référentiel entourage'!$A$13,""),IF(ISNUMBER(SEARCH('Référentiel entourage'!$B$14,O23)),'Référentiel entourage'!$A$14,""),IF(ISNUMBER(SEARCH('Référentiel entourage'!$B$15,O23)),'Référentiel entourage'!$A$15,""),IF(ISNUMBER(SEARCH('Référentiel entourage'!$B$16,O23)),'Référentiel entourage'!$A$16,""),IF(ISNUMBER(SEARCH('Référentiel entourage'!$B$17,O23)),'Référentiel entourage'!$A$17,""),IF(ISNUMBER(SEARCH('Référentiel entourage'!$B$18,O23)),'Référentiel entourage'!$A$18,""),IF(ISNUMBER(SEARCH('Référentiel entourage'!$B$19,O23)),'Référentiel entourage'!$A$19,""),IF(ISNUMBER(SEARCH('Référentiel entourage'!$B$20,O23)),'Référentiel entourage'!$A$20,""),IF(ISNUMBER(SEARCH('Référentiel entourage'!$B$21,O23)),'Référentiel entourage'!$A$21,""),IF(ISNUMBER(SEARCH('Référentiel entourage'!$B$22,O23)),'Référentiel entourage'!$A$22,""),IF(ISNUMBER(SEARCH('Référentiel entourage'!$B$23,O23)),'Référentiel entourage'!$A$23,""),IF(ISNUMBER(SEARCH('Référentiel entourage'!$B$24,O23)),'Référentiel entourage'!$A$24,"")))</f>
        <v>pers-karlheinz-bohm; pers-hark-bohm; pers-lilo-pempeit; pers-irm-hermann; pers-ulli-lommel; pers-hanna-schygulla; pers-ursula-stratz</v>
      </c>
      <c r="AD23" s="6" t="str">
        <f>_xlfn.LET(_xlpm.texte,_xlfn.TEXTJOIN(" | ",TRUE,H23:N23,P23),IF(_xlpm.texte="","",_xlfn.TEXTJOIN(";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v>
      </c>
    </row>
    <row r="24" spans="1:30" ht="133">
      <c r="A24" s="28" t="s">
        <v>153</v>
      </c>
      <c r="B24" s="28" t="s">
        <v>154</v>
      </c>
      <c r="C24" s="28"/>
      <c r="D24" s="38">
        <v>1974</v>
      </c>
      <c r="E24" s="28" t="s">
        <v>67</v>
      </c>
      <c r="F24" s="29">
        <v>101</v>
      </c>
      <c r="G24" s="28" t="s">
        <v>33</v>
      </c>
      <c r="H24" s="28" t="s">
        <v>34</v>
      </c>
      <c r="I24" s="28" t="s">
        <v>683</v>
      </c>
      <c r="J24" s="28" t="s">
        <v>684</v>
      </c>
      <c r="K24" s="28" t="s">
        <v>685</v>
      </c>
      <c r="L24" s="28" t="s">
        <v>686</v>
      </c>
      <c r="M24" s="28"/>
      <c r="N24" s="28" t="s">
        <v>670</v>
      </c>
      <c r="O24" s="28" t="s">
        <v>687</v>
      </c>
      <c r="P24" s="28" t="s">
        <v>688</v>
      </c>
      <c r="Q24" s="28" t="s">
        <v>689</v>
      </c>
      <c r="R24" s="28"/>
      <c r="S24" s="28"/>
      <c r="T24" s="28"/>
      <c r="U24" s="28"/>
      <c r="V24" s="28"/>
      <c r="W24" s="28"/>
      <c r="X24" s="28" t="s">
        <v>137</v>
      </c>
      <c r="Y24" s="28"/>
      <c r="Z24" s="28" t="s">
        <v>690</v>
      </c>
      <c r="AA24" s="28" t="s">
        <v>45</v>
      </c>
      <c r="AB24" s="1" t="s">
        <v>155</v>
      </c>
      <c r="AC24" s="6" t="str">
        <f>IF(O24="","",_xlfn.TEXTJOIN("; ",TRUE,IF(ISNUMBER(SEARCH('Référentiel entourage'!$B$2,O24)),'Référentiel entourage'!$A$2,""),IF(ISNUMBER(SEARCH('Référentiel entourage'!$B$3,O24)),'Référentiel entourage'!$A$3,""),IF(ISNUMBER(SEARCH('Référentiel entourage'!$B$4,O24)),'Référentiel entourage'!$A$4,""),IF(ISNUMBER(SEARCH('Référentiel entourage'!$B$5,O24)),'Référentiel entourage'!$A$5,""),IF(ISNUMBER(SEARCH('Référentiel entourage'!$B$6,O24)),'Référentiel entourage'!$A$6,""),IF(ISNUMBER(SEARCH('Référentiel entourage'!$B$7,O24)),'Référentiel entourage'!$A$7,""),IF(ISNUMBER(SEARCH('Référentiel entourage'!$B$8,O24)),'Référentiel entourage'!$A$8,""),IF(ISNUMBER(SEARCH('Référentiel entourage'!$B$9,O24)),'Référentiel entourage'!$A$9,""),IF(ISNUMBER(SEARCH('Référentiel entourage'!$B$10,O24)),'Référentiel entourage'!$A$10,""),IF(ISNUMBER(SEARCH('Référentiel entourage'!$B$11,O24)),'Référentiel entourage'!$A$11,""),IF(ISNUMBER(SEARCH('Référentiel entourage'!$B$12,O24)),'Référentiel entourage'!$A$12,""),IF(ISNUMBER(SEARCH('Référentiel entourage'!$B$13,O24)),'Référentiel entourage'!$A$13,""),IF(ISNUMBER(SEARCH('Référentiel entourage'!$B$14,O24)),'Référentiel entourage'!$A$14,""),IF(ISNUMBER(SEARCH('Référentiel entourage'!$B$15,O24)),'Référentiel entourage'!$A$15,""),IF(ISNUMBER(SEARCH('Référentiel entourage'!$B$16,O24)),'Référentiel entourage'!$A$16,""),IF(ISNUMBER(SEARCH('Référentiel entourage'!$B$17,O24)),'Référentiel entourage'!$A$17,""),IF(ISNUMBER(SEARCH('Référentiel entourage'!$B$18,O24)),'Référentiel entourage'!$A$18,""),IF(ISNUMBER(SEARCH('Référentiel entourage'!$B$19,O24)),'Référentiel entourage'!$A$19,""),IF(ISNUMBER(SEARCH('Référentiel entourage'!$B$20,O24)),'Référentiel entourage'!$A$20,""),IF(ISNUMBER(SEARCH('Référentiel entourage'!$B$21,O24)),'Référentiel entourage'!$A$21,""),IF(ISNUMBER(SEARCH('Référentiel entourage'!$B$22,O24)),'Référentiel entourage'!$A$22,""),IF(ISNUMBER(SEARCH('Référentiel entourage'!$B$23,O24)),'Référentiel entourage'!$A$23,""),IF(ISNUMBER(SEARCH('Référentiel entourage'!$B$24,O24)),'Référentiel entourage'!$A$24,"")))</f>
        <v>pers-margit-carstensen; pers-lilo-pempeit; pers-irm-hermann; pers-ulli-lommel</v>
      </c>
      <c r="AD24" s="6" t="str">
        <f>_xlfn.LET(_xlpm.texte,_xlfn.TEXTJOIN(" | ",TRUE,H24:N24,P24),IF(_xlpm.texte="","",_xlfn.TEXTJOIN(";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25" spans="1:30" ht="228">
      <c r="A25" s="28" t="s">
        <v>156</v>
      </c>
      <c r="B25" s="28" t="s">
        <v>157</v>
      </c>
      <c r="C25" s="28" t="s">
        <v>157</v>
      </c>
      <c r="D25" s="38">
        <v>1974</v>
      </c>
      <c r="E25" s="28" t="s">
        <v>67</v>
      </c>
      <c r="F25" s="29">
        <v>116</v>
      </c>
      <c r="G25" s="28" t="s">
        <v>33</v>
      </c>
      <c r="H25" s="28" t="s">
        <v>34</v>
      </c>
      <c r="I25" s="28" t="s">
        <v>158</v>
      </c>
      <c r="J25" s="28" t="s">
        <v>159</v>
      </c>
      <c r="K25" s="28" t="s">
        <v>160</v>
      </c>
      <c r="L25" s="28" t="s">
        <v>104</v>
      </c>
      <c r="M25" s="28"/>
      <c r="N25" s="28" t="s">
        <v>161</v>
      </c>
      <c r="O25" s="28" t="s">
        <v>162</v>
      </c>
      <c r="P25" s="28" t="s">
        <v>163</v>
      </c>
      <c r="Q25" s="28" t="s">
        <v>164</v>
      </c>
      <c r="R25" s="28"/>
      <c r="S25" s="28" t="s">
        <v>165</v>
      </c>
      <c r="T25" s="28" t="s">
        <v>166</v>
      </c>
      <c r="U25" s="28"/>
      <c r="V25" s="28"/>
      <c r="W25" s="28"/>
      <c r="X25" s="28" t="s">
        <v>137</v>
      </c>
      <c r="Y25" s="28" t="s">
        <v>167</v>
      </c>
      <c r="Z25" s="28" t="s">
        <v>111</v>
      </c>
      <c r="AA25" s="28" t="s">
        <v>112</v>
      </c>
      <c r="AB25" s="1" t="s">
        <v>168</v>
      </c>
      <c r="AC25" s="6" t="str">
        <f>IF(O25="","",_xlfn.TEXTJOIN("; ",TRUE,IF(ISNUMBER(SEARCH('Référentiel entourage'!$B$2,O25)),'Référentiel entourage'!$A$2,""),IF(ISNUMBER(SEARCH('Référentiel entourage'!$B$3,O25)),'Référentiel entourage'!$A$3,""),IF(ISNUMBER(SEARCH('Référentiel entourage'!$B$4,O25)),'Référentiel entourage'!$A$4,""),IF(ISNUMBER(SEARCH('Référentiel entourage'!$B$5,O25)),'Référentiel entourage'!$A$5,""),IF(ISNUMBER(SEARCH('Référentiel entourage'!$B$6,O25)),'Référentiel entourage'!$A$6,""),IF(ISNUMBER(SEARCH('Référentiel entourage'!$B$7,O25)),'Référentiel entourage'!$A$7,""),IF(ISNUMBER(SEARCH('Référentiel entourage'!$B$8,O25)),'Référentiel entourage'!$A$8,""),IF(ISNUMBER(SEARCH('Référentiel entourage'!$B$9,O25)),'Référentiel entourage'!$A$9,""),IF(ISNUMBER(SEARCH('Référentiel entourage'!$B$10,O25)),'Référentiel entourage'!$A$10,""),IF(ISNUMBER(SEARCH('Référentiel entourage'!$B$11,O25)),'Référentiel entourage'!$A$11,""),IF(ISNUMBER(SEARCH('Référentiel entourage'!$B$12,O25)),'Référentiel entourage'!$A$12,""),IF(ISNUMBER(SEARCH('Référentiel entourage'!$B$13,O25)),'Référentiel entourage'!$A$13,""),IF(ISNUMBER(SEARCH('Référentiel entourage'!$B$14,O25)),'Référentiel entourage'!$A$14,""),IF(ISNUMBER(SEARCH('Référentiel entourage'!$B$15,O25)),'Référentiel entourage'!$A$15,""),IF(ISNUMBER(SEARCH('Référentiel entourage'!$B$16,O25)),'Référentiel entourage'!$A$16,""),IF(ISNUMBER(SEARCH('Référentiel entourage'!$B$17,O25)),'Référentiel entourage'!$A$17,""),IF(ISNUMBER(SEARCH('Référentiel entourage'!$B$18,O25)),'Référentiel entourage'!$A$18,""),IF(ISNUMBER(SEARCH('Référentiel entourage'!$B$19,O25)),'Référentiel entourage'!$A$19,""),IF(ISNUMBER(SEARCH('Référentiel entourage'!$B$20,O25)),'Référentiel entourage'!$A$20,""),IF(ISNUMBER(SEARCH('Référentiel entourage'!$B$21,O25)),'Référentiel entourage'!$A$21,""),IF(ISNUMBER(SEARCH('Référentiel entourage'!$B$22,O25)),'Référentiel entourage'!$A$22,""),IF(ISNUMBER(SEARCH('Référentiel entourage'!$B$23,O25)),'Référentiel entourage'!$A$23,""),IF(ISNUMBER(SEARCH('Référentiel entourage'!$B$24,O25)),'Référentiel entourage'!$A$24,"")))</f>
        <v>pers-el-hedi-ben-salem; pers-karlheinz-bohm; pers-margit-carstensen; pers-ingrid-caven; pers-peter-chatel; pers-kurt-raab</v>
      </c>
      <c r="AD25" s="6" t="str">
        <f>_xlfn.LET(_xlpm.texte,_xlfn.TEXTJOIN(" | ",TRUE,H25:N25,P25),IF(_xlpm.texte="","",_xlfn.TEXTJOIN(";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pers-kurt-raab</v>
      </c>
    </row>
    <row r="26" spans="1:30" ht="342">
      <c r="A26" s="28" t="s">
        <v>169</v>
      </c>
      <c r="B26" s="28" t="s">
        <v>170</v>
      </c>
      <c r="C26" s="28" t="s">
        <v>171</v>
      </c>
      <c r="D26" s="38">
        <v>1975</v>
      </c>
      <c r="E26" s="28" t="s">
        <v>42</v>
      </c>
      <c r="F26" s="29">
        <v>123</v>
      </c>
      <c r="G26" s="28" t="s">
        <v>33</v>
      </c>
      <c r="H26" s="28" t="s">
        <v>34</v>
      </c>
      <c r="I26" s="28" t="s">
        <v>172</v>
      </c>
      <c r="J26" s="28" t="s">
        <v>159</v>
      </c>
      <c r="K26" s="28" t="s">
        <v>145</v>
      </c>
      <c r="L26" s="28"/>
      <c r="M26" s="28" t="s">
        <v>173</v>
      </c>
      <c r="N26" s="28" t="s">
        <v>174</v>
      </c>
      <c r="O26" s="28" t="s">
        <v>175</v>
      </c>
      <c r="P26" s="28" t="s">
        <v>176</v>
      </c>
      <c r="Q26" s="28" t="s">
        <v>177</v>
      </c>
      <c r="R26" s="28"/>
      <c r="S26" s="28" t="s">
        <v>178</v>
      </c>
      <c r="T26" s="28"/>
      <c r="U26" s="28" t="s">
        <v>179</v>
      </c>
      <c r="V26" s="28"/>
      <c r="W26" s="28"/>
      <c r="X26" s="28" t="s">
        <v>180</v>
      </c>
      <c r="Y26" s="28" t="s">
        <v>181</v>
      </c>
      <c r="Z26" s="28" t="s">
        <v>111</v>
      </c>
      <c r="AA26" s="28" t="s">
        <v>112</v>
      </c>
      <c r="AB26" s="1" t="s">
        <v>182</v>
      </c>
      <c r="AC26" s="6" t="str">
        <f>IF(O26="","",_xlfn.TEXTJOIN("; ",TRUE,IF(ISNUMBER(SEARCH('Référentiel entourage'!$B$2,O26)),'Référentiel entourage'!$A$2,""),IF(ISNUMBER(SEARCH('Référentiel entourage'!$B$3,O26)),'Référentiel entourage'!$A$3,""),IF(ISNUMBER(SEARCH('Référentiel entourage'!$B$4,O26)),'Référentiel entourage'!$A$4,""),IF(ISNUMBER(SEARCH('Référentiel entourage'!$B$5,O26)),'Référentiel entourage'!$A$5,""),IF(ISNUMBER(SEARCH('Référentiel entourage'!$B$6,O26)),'Référentiel entourage'!$A$6,""),IF(ISNUMBER(SEARCH('Référentiel entourage'!$B$7,O26)),'Référentiel entourage'!$A$7,""),IF(ISNUMBER(SEARCH('Référentiel entourage'!$B$8,O26)),'Référentiel entourage'!$A$8,""),IF(ISNUMBER(SEARCH('Référentiel entourage'!$B$9,O26)),'Référentiel entourage'!$A$9,""),IF(ISNUMBER(SEARCH('Référentiel entourage'!$B$10,O26)),'Référentiel entourage'!$A$10,""),IF(ISNUMBER(SEARCH('Référentiel entourage'!$B$11,O26)),'Référentiel entourage'!$A$11,""),IF(ISNUMBER(SEARCH('Référentiel entourage'!$B$12,O26)),'Référentiel entourage'!$A$12,""),IF(ISNUMBER(SEARCH('Référentiel entourage'!$B$13,O26)),'Référentiel entourage'!$A$13,""),IF(ISNUMBER(SEARCH('Référentiel entourage'!$B$14,O26)),'Référentiel entourage'!$A$14,""),IF(ISNUMBER(SEARCH('Référentiel entourage'!$B$15,O26)),'Référentiel entourage'!$A$15,""),IF(ISNUMBER(SEARCH('Référentiel entourage'!$B$16,O26)),'Référentiel entourage'!$A$16,""),IF(ISNUMBER(SEARCH('Référentiel entourage'!$B$17,O26)),'Référentiel entourage'!$A$17,""),IF(ISNUMBER(SEARCH('Référentiel entourage'!$B$18,O26)),'Référentiel entourage'!$A$18,""),IF(ISNUMBER(SEARCH('Référentiel entourage'!$B$19,O26)),'Référentiel entourage'!$A$19,""),IF(ISNUMBER(SEARCH('Référentiel entourage'!$B$20,O26)),'Référentiel entourage'!$A$20,""),IF(ISNUMBER(SEARCH('Référentiel entourage'!$B$21,O26)),'Référentiel entourage'!$A$21,""),IF(ISNUMBER(SEARCH('Référentiel entourage'!$B$22,O26)),'Référentiel entourage'!$A$22,""),IF(ISNUMBER(SEARCH('Référentiel entourage'!$B$23,O26)),'Référentiel entourage'!$A$23,""),IF(ISNUMBER(SEARCH('Référentiel entourage'!$B$24,O26)),'Référentiel entourage'!$A$24,"")))</f>
        <v>pers-el-hedi-ben-salem; pers-karlheinz-bohm; pers-ingrid-caven; pers-peter-chatel; pers-irm-hermann; pers-brigitte-mira; pers-kurt-raab</v>
      </c>
      <c r="AD26" s="6" t="str">
        <f>_xlfn.LET(_xlpm.texte,_xlfn.TEXTJOIN(" | ",TRUE,H26:N26,P26),IF(_xlpm.texte="","",_xlfn.TEXTJOIN(";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pers-peer-raben</v>
      </c>
    </row>
    <row r="27" spans="1:30" ht="304">
      <c r="A27" s="28" t="s">
        <v>183</v>
      </c>
      <c r="B27" s="28" t="s">
        <v>184</v>
      </c>
      <c r="C27" s="28" t="s">
        <v>185</v>
      </c>
      <c r="D27" s="38">
        <v>1975</v>
      </c>
      <c r="E27" s="28" t="s">
        <v>42</v>
      </c>
      <c r="F27" s="29">
        <v>120</v>
      </c>
      <c r="G27" s="28" t="s">
        <v>33</v>
      </c>
      <c r="H27" s="28" t="s">
        <v>34</v>
      </c>
      <c r="I27" s="28" t="s">
        <v>186</v>
      </c>
      <c r="J27" s="28" t="s">
        <v>159</v>
      </c>
      <c r="K27" s="28" t="s">
        <v>145</v>
      </c>
      <c r="L27" s="28" t="s">
        <v>104</v>
      </c>
      <c r="M27" s="28" t="s">
        <v>173</v>
      </c>
      <c r="N27" s="28" t="s">
        <v>187</v>
      </c>
      <c r="O27" s="28" t="s">
        <v>188</v>
      </c>
      <c r="P27" s="28" t="s">
        <v>189</v>
      </c>
      <c r="Q27" s="28" t="s">
        <v>190</v>
      </c>
      <c r="R27" s="28"/>
      <c r="S27" s="28" t="s">
        <v>191</v>
      </c>
      <c r="T27" s="28" t="s">
        <v>192</v>
      </c>
      <c r="U27" s="28" t="s">
        <v>193</v>
      </c>
      <c r="V27" s="28"/>
      <c r="W27" s="28"/>
      <c r="X27" s="28" t="s">
        <v>180</v>
      </c>
      <c r="Y27" s="28" t="s">
        <v>194</v>
      </c>
      <c r="Z27" s="28" t="s">
        <v>111</v>
      </c>
      <c r="AA27" s="28" t="s">
        <v>112</v>
      </c>
      <c r="AB27" s="1" t="s">
        <v>195</v>
      </c>
      <c r="AC27" s="6" t="str">
        <f>IF(O27="","",_xlfn.TEXTJOIN("; ",TRUE,IF(ISNUMBER(SEARCH('Référentiel entourage'!$B$2,O27)),'Référentiel entourage'!$A$2,""),IF(ISNUMBER(SEARCH('Référentiel entourage'!$B$3,O27)),'Référentiel entourage'!$A$3,""),IF(ISNUMBER(SEARCH('Référentiel entourage'!$B$4,O27)),'Référentiel entourage'!$A$4,""),IF(ISNUMBER(SEARCH('Référentiel entourage'!$B$5,O27)),'Référentiel entourage'!$A$5,""),IF(ISNUMBER(SEARCH('Référentiel entourage'!$B$6,O27)),'Référentiel entourage'!$A$6,""),IF(ISNUMBER(SEARCH('Référentiel entourage'!$B$7,O27)),'Référentiel entourage'!$A$7,""),IF(ISNUMBER(SEARCH('Référentiel entourage'!$B$8,O27)),'Référentiel entourage'!$A$8,""),IF(ISNUMBER(SEARCH('Référentiel entourage'!$B$9,O27)),'Référentiel entourage'!$A$9,""),IF(ISNUMBER(SEARCH('Référentiel entourage'!$B$10,O27)),'Référentiel entourage'!$A$10,""),IF(ISNUMBER(SEARCH('Référentiel entourage'!$B$11,O27)),'Référentiel entourage'!$A$11,""),IF(ISNUMBER(SEARCH('Référentiel entourage'!$B$12,O27)),'Référentiel entourage'!$A$12,""),IF(ISNUMBER(SEARCH('Référentiel entourage'!$B$13,O27)),'Référentiel entourage'!$A$13,""),IF(ISNUMBER(SEARCH('Référentiel entourage'!$B$14,O27)),'Référentiel entourage'!$A$14,""),IF(ISNUMBER(SEARCH('Référentiel entourage'!$B$15,O27)),'Référentiel entourage'!$A$15,""),IF(ISNUMBER(SEARCH('Référentiel entourage'!$B$16,O27)),'Référentiel entourage'!$A$16,""),IF(ISNUMBER(SEARCH('Référentiel entourage'!$B$17,O27)),'Référentiel entourage'!$A$17,""),IF(ISNUMBER(SEARCH('Référentiel entourage'!$B$18,O27)),'Référentiel entourage'!$A$18,""),IF(ISNUMBER(SEARCH('Référentiel entourage'!$B$19,O27)),'Référentiel entourage'!$A$19,""),IF(ISNUMBER(SEARCH('Référentiel entourage'!$B$20,O27)),'Référentiel entourage'!$A$20,""),IF(ISNUMBER(SEARCH('Référentiel entourage'!$B$21,O27)),'Référentiel entourage'!$A$21,""),IF(ISNUMBER(SEARCH('Référentiel entourage'!$B$22,O27)),'Référentiel entourage'!$A$22,""),IF(ISNUMBER(SEARCH('Référentiel entourage'!$B$23,O27)),'Référentiel entourage'!$A$23,""),IF(ISNUMBER(SEARCH('Référentiel entourage'!$B$24,O27)),'Référentiel entourage'!$A$24,"")))</f>
        <v>pers-karlheinz-bohm; pers-margit-carstensen; pers-ingrid-caven; pers-peter-chatel; pers-lilo-pempeit; pers-gottfried-john; pers-irm-hermann; pers-armin-meier; pers-brigitte-mira; pers-kurt-raab</v>
      </c>
      <c r="AD27" s="6" t="str">
        <f>_xlfn.LET(_xlpm.texte,_xlfn.TEXTJOIN(" | ",TRUE,H27:N27,P27),IF(_xlpm.texte="","",_xlfn.TEXTJOIN(";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pers-kurt-raab; pers-peer-raben</v>
      </c>
    </row>
    <row r="28" spans="1:30" ht="95">
      <c r="A28" s="28" t="s">
        <v>196</v>
      </c>
      <c r="B28" s="28" t="s">
        <v>197</v>
      </c>
      <c r="C28" s="28" t="s">
        <v>691</v>
      </c>
      <c r="D28" s="38">
        <v>1975</v>
      </c>
      <c r="E28" s="28" t="s">
        <v>67</v>
      </c>
      <c r="F28" s="29">
        <v>44</v>
      </c>
      <c r="G28" s="28" t="s">
        <v>33</v>
      </c>
      <c r="H28" s="28" t="s">
        <v>34</v>
      </c>
      <c r="I28" s="28" t="s">
        <v>692</v>
      </c>
      <c r="J28" s="28" t="s">
        <v>693</v>
      </c>
      <c r="K28" s="28"/>
      <c r="L28" s="28" t="s">
        <v>104</v>
      </c>
      <c r="M28" s="28" t="s">
        <v>694</v>
      </c>
      <c r="N28" s="28" t="s">
        <v>105</v>
      </c>
      <c r="O28" s="28" t="s">
        <v>695</v>
      </c>
      <c r="P28" s="28" t="s">
        <v>696</v>
      </c>
      <c r="Q28" s="28" t="s">
        <v>697</v>
      </c>
      <c r="R28" s="28"/>
      <c r="S28" s="28"/>
      <c r="T28" s="28"/>
      <c r="U28" s="28"/>
      <c r="V28" s="28"/>
      <c r="W28" s="28"/>
      <c r="X28" s="28" t="s">
        <v>180</v>
      </c>
      <c r="Y28" s="28"/>
      <c r="Z28" s="28" t="s">
        <v>698</v>
      </c>
      <c r="AA28" s="28" t="s">
        <v>45</v>
      </c>
      <c r="AB28" s="1" t="s">
        <v>198</v>
      </c>
      <c r="AC28" s="6" t="str">
        <f>IF(O28="","",_xlfn.TEXTJOIN("; ",TRUE,IF(ISNUMBER(SEARCH('Référentiel entourage'!$B$2,O28)),'Référentiel entourage'!$A$2,""),IF(ISNUMBER(SEARCH('Référentiel entourage'!$B$3,O28)),'Référentiel entourage'!$A$3,""),IF(ISNUMBER(SEARCH('Référentiel entourage'!$B$4,O28)),'Référentiel entourage'!$A$4,""),IF(ISNUMBER(SEARCH('Référentiel entourage'!$B$5,O28)),'Référentiel entourage'!$A$5,""),IF(ISNUMBER(SEARCH('Référentiel entourage'!$B$6,O28)),'Référentiel entourage'!$A$6,""),IF(ISNUMBER(SEARCH('Référentiel entourage'!$B$7,O28)),'Référentiel entourage'!$A$7,""),IF(ISNUMBER(SEARCH('Référentiel entourage'!$B$8,O28)),'Référentiel entourage'!$A$8,""),IF(ISNUMBER(SEARCH('Référentiel entourage'!$B$9,O28)),'Référentiel entourage'!$A$9,""),IF(ISNUMBER(SEARCH('Référentiel entourage'!$B$10,O28)),'Référentiel entourage'!$A$10,""),IF(ISNUMBER(SEARCH('Référentiel entourage'!$B$11,O28)),'Référentiel entourage'!$A$11,""),IF(ISNUMBER(SEARCH('Référentiel entourage'!$B$12,O28)),'Référentiel entourage'!$A$12,""),IF(ISNUMBER(SEARCH('Référentiel entourage'!$B$13,O28)),'Référentiel entourage'!$A$13,""),IF(ISNUMBER(SEARCH('Référentiel entourage'!$B$14,O28)),'Référentiel entourage'!$A$14,""),IF(ISNUMBER(SEARCH('Référentiel entourage'!$B$15,O28)),'Référentiel entourage'!$A$15,""),IF(ISNUMBER(SEARCH('Référentiel entourage'!$B$16,O28)),'Référentiel entourage'!$A$16,""),IF(ISNUMBER(SEARCH('Référentiel entourage'!$B$17,O28)),'Référentiel entourage'!$A$17,""),IF(ISNUMBER(SEARCH('Référentiel entourage'!$B$18,O28)),'Référentiel entourage'!$A$18,""),IF(ISNUMBER(SEARCH('Référentiel entourage'!$B$19,O28)),'Référentiel entourage'!$A$19,""),IF(ISNUMBER(SEARCH('Référentiel entourage'!$B$20,O28)),'Référentiel entourage'!$A$20,""),IF(ISNUMBER(SEARCH('Référentiel entourage'!$B$21,O28)),'Référentiel entourage'!$A$21,""),IF(ISNUMBER(SEARCH('Référentiel entourage'!$B$22,O28)),'Référentiel entourage'!$A$22,""),IF(ISNUMBER(SEARCH('Référentiel entourage'!$B$23,O28)),'Référentiel entourage'!$A$23,""),IF(ISNUMBER(SEARCH('Référentiel entourage'!$B$24,O28)),'Référentiel entourage'!$A$24,"")))</f>
        <v>pers-el-hedi-ben-salem; pers-brigitte-mira</v>
      </c>
      <c r="AD28" s="6" t="str">
        <f>_xlfn.LET(_xlpm.texte,_xlfn.TEXTJOIN(" | ",TRUE,H28:N28,P28),IF(_xlpm.texte="","",_xlfn.TEXTJOIN(";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v>
      </c>
    </row>
    <row r="29" spans="1:30" ht="266">
      <c r="A29" s="28" t="s">
        <v>199</v>
      </c>
      <c r="B29" s="28" t="s">
        <v>200</v>
      </c>
      <c r="C29" s="28" t="s">
        <v>699</v>
      </c>
      <c r="D29" s="38">
        <v>1975</v>
      </c>
      <c r="E29" s="28" t="s">
        <v>67</v>
      </c>
      <c r="F29" s="29">
        <v>88</v>
      </c>
      <c r="G29" s="28" t="s">
        <v>33</v>
      </c>
      <c r="H29" s="28" t="s">
        <v>34</v>
      </c>
      <c r="I29" s="28" t="s">
        <v>700</v>
      </c>
      <c r="J29" s="28" t="s">
        <v>701</v>
      </c>
      <c r="K29" s="28" t="s">
        <v>702</v>
      </c>
      <c r="L29" s="28" t="s">
        <v>104</v>
      </c>
      <c r="M29" s="28" t="s">
        <v>173</v>
      </c>
      <c r="N29" s="28" t="s">
        <v>703</v>
      </c>
      <c r="O29" s="28" t="s">
        <v>704</v>
      </c>
      <c r="P29" s="28" t="s">
        <v>705</v>
      </c>
      <c r="Q29" s="28" t="s">
        <v>706</v>
      </c>
      <c r="R29" s="28"/>
      <c r="S29" s="28"/>
      <c r="T29" s="28"/>
      <c r="U29" s="28"/>
      <c r="V29" s="28"/>
      <c r="W29" s="28"/>
      <c r="X29" s="28" t="s">
        <v>180</v>
      </c>
      <c r="Y29" s="28"/>
      <c r="Z29" s="28" t="s">
        <v>707</v>
      </c>
      <c r="AA29" s="28" t="s">
        <v>45</v>
      </c>
      <c r="AB29" s="1" t="s">
        <v>201</v>
      </c>
      <c r="AC29" s="6" t="str">
        <f>IF(O29="","",_xlfn.TEXTJOIN("; ",TRUE,IF(ISNUMBER(SEARCH('Référentiel entourage'!$B$2,O29)),'Référentiel entourage'!$A$2,""),IF(ISNUMBER(SEARCH('Référentiel entourage'!$B$3,O29)),'Référentiel entourage'!$A$3,""),IF(ISNUMBER(SEARCH('Référentiel entourage'!$B$4,O29)),'Référentiel entourage'!$A$4,""),IF(ISNUMBER(SEARCH('Référentiel entourage'!$B$5,O29)),'Référentiel entourage'!$A$5,""),IF(ISNUMBER(SEARCH('Référentiel entourage'!$B$6,O29)),'Référentiel entourage'!$A$6,""),IF(ISNUMBER(SEARCH('Référentiel entourage'!$B$7,O29)),'Référentiel entourage'!$A$7,""),IF(ISNUMBER(SEARCH('Référentiel entourage'!$B$8,O29)),'Référentiel entourage'!$A$8,""),IF(ISNUMBER(SEARCH('Référentiel entourage'!$B$9,O29)),'Référentiel entourage'!$A$9,""),IF(ISNUMBER(SEARCH('Référentiel entourage'!$B$10,O29)),'Référentiel entourage'!$A$10,""),IF(ISNUMBER(SEARCH('Référentiel entourage'!$B$11,O29)),'Référentiel entourage'!$A$11,""),IF(ISNUMBER(SEARCH('Référentiel entourage'!$B$12,O29)),'Référentiel entourage'!$A$12,""),IF(ISNUMBER(SEARCH('Référentiel entourage'!$B$13,O29)),'Référentiel entourage'!$A$13,""),IF(ISNUMBER(SEARCH('Référentiel entourage'!$B$14,O29)),'Référentiel entourage'!$A$14,""),IF(ISNUMBER(SEARCH('Référentiel entourage'!$B$15,O29)),'Référentiel entourage'!$A$15,""),IF(ISNUMBER(SEARCH('Référentiel entourage'!$B$16,O29)),'Référentiel entourage'!$A$16,""),IF(ISNUMBER(SEARCH('Référentiel entourage'!$B$17,O29)),'Référentiel entourage'!$A$17,""),IF(ISNUMBER(SEARCH('Référentiel entourage'!$B$18,O29)),'Référentiel entourage'!$A$18,""),IF(ISNUMBER(SEARCH('Référentiel entourage'!$B$19,O29)),'Référentiel entourage'!$A$19,""),IF(ISNUMBER(SEARCH('Référentiel entourage'!$B$20,O29)),'Référentiel entourage'!$A$20,""),IF(ISNUMBER(SEARCH('Référentiel entourage'!$B$21,O29)),'Référentiel entourage'!$A$21,""),IF(ISNUMBER(SEARCH('Référentiel entourage'!$B$22,O29)),'Référentiel entourage'!$A$22,""),IF(ISNUMBER(SEARCH('Référentiel entourage'!$B$23,O29)),'Référentiel entourage'!$A$23,""),IF(ISNUMBER(SEARCH('Référentiel entourage'!$B$24,O29)),'Référentiel entourage'!$A$24,"")))</f>
        <v>pers-hark-bohm; pers-margit-carstensen; pers-ingrid-caven; pers-lilo-pempeit; pers-irm-hermann; pers-armin-meier; pers-brigitte-mira; pers-kurt-raab</v>
      </c>
      <c r="AD29" s="6" t="str">
        <f>_xlfn.LET(_xlpm.texte,_xlfn.TEXTJOIN(" | ",TRUE,H29:N29,P29),IF(_xlpm.texte="","",_xlfn.TEXTJOIN(";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pers-kurt-raab; pers-peer-raben</v>
      </c>
    </row>
    <row r="30" spans="1:30" ht="190">
      <c r="A30" s="28" t="s">
        <v>202</v>
      </c>
      <c r="B30" s="28" t="s">
        <v>203</v>
      </c>
      <c r="C30" s="28" t="s">
        <v>708</v>
      </c>
      <c r="D30" s="38">
        <v>1976</v>
      </c>
      <c r="E30" s="28" t="s">
        <v>42</v>
      </c>
      <c r="F30" s="29">
        <v>101</v>
      </c>
      <c r="G30" s="28" t="s">
        <v>33</v>
      </c>
      <c r="H30" s="28" t="s">
        <v>526</v>
      </c>
      <c r="I30" s="28" t="s">
        <v>709</v>
      </c>
      <c r="J30" s="28" t="s">
        <v>710</v>
      </c>
      <c r="K30" s="28" t="s">
        <v>224</v>
      </c>
      <c r="L30" s="28"/>
      <c r="M30" s="28" t="s">
        <v>711</v>
      </c>
      <c r="N30" s="28" t="s">
        <v>712</v>
      </c>
      <c r="O30" s="28" t="s">
        <v>713</v>
      </c>
      <c r="P30" s="28" t="s">
        <v>714</v>
      </c>
      <c r="Q30" s="28" t="s">
        <v>715</v>
      </c>
      <c r="R30" s="28"/>
      <c r="S30" s="28"/>
      <c r="T30" s="28"/>
      <c r="U30" s="28" t="s">
        <v>204</v>
      </c>
      <c r="V30" s="28"/>
      <c r="W30" s="28"/>
      <c r="X30" s="28" t="s">
        <v>205</v>
      </c>
      <c r="Y30" s="28"/>
      <c r="Z30" s="28" t="s">
        <v>716</v>
      </c>
      <c r="AA30" s="28" t="s">
        <v>45</v>
      </c>
      <c r="AB30" s="1" t="s">
        <v>206</v>
      </c>
      <c r="AC30" s="6" t="str">
        <f>IF(O30="","",_xlfn.TEXTJOIN("; ",TRUE,IF(ISNUMBER(SEARCH('Référentiel entourage'!$B$2,O30)),'Référentiel entourage'!$A$2,""),IF(ISNUMBER(SEARCH('Référentiel entourage'!$B$3,O30)),'Référentiel entourage'!$A$3,""),IF(ISNUMBER(SEARCH('Référentiel entourage'!$B$4,O30)),'Référentiel entourage'!$A$4,""),IF(ISNUMBER(SEARCH('Référentiel entourage'!$B$5,O30)),'Référentiel entourage'!$A$5,""),IF(ISNUMBER(SEARCH('Référentiel entourage'!$B$6,O30)),'Référentiel entourage'!$A$6,""),IF(ISNUMBER(SEARCH('Référentiel entourage'!$B$7,O30)),'Référentiel entourage'!$A$7,""),IF(ISNUMBER(SEARCH('Référentiel entourage'!$B$8,O30)),'Référentiel entourage'!$A$8,""),IF(ISNUMBER(SEARCH('Référentiel entourage'!$B$9,O30)),'Référentiel entourage'!$A$9,""),IF(ISNUMBER(SEARCH('Référentiel entourage'!$B$10,O30)),'Référentiel entourage'!$A$10,""),IF(ISNUMBER(SEARCH('Référentiel entourage'!$B$11,O30)),'Référentiel entourage'!$A$11,""),IF(ISNUMBER(SEARCH('Référentiel entourage'!$B$12,O30)),'Référentiel entourage'!$A$12,""),IF(ISNUMBER(SEARCH('Référentiel entourage'!$B$13,O30)),'Référentiel entourage'!$A$13,""),IF(ISNUMBER(SEARCH('Référentiel entourage'!$B$14,O30)),'Référentiel entourage'!$A$14,""),IF(ISNUMBER(SEARCH('Référentiel entourage'!$B$15,O30)),'Référentiel entourage'!$A$15,""),IF(ISNUMBER(SEARCH('Référentiel entourage'!$B$16,O30)),'Référentiel entourage'!$A$16,""),IF(ISNUMBER(SEARCH('Référentiel entourage'!$B$17,O30)),'Référentiel entourage'!$A$17,""),IF(ISNUMBER(SEARCH('Référentiel entourage'!$B$18,O30)),'Référentiel entourage'!$A$18,""),IF(ISNUMBER(SEARCH('Référentiel entourage'!$B$19,O30)),'Référentiel entourage'!$A$19,""),IF(ISNUMBER(SEARCH('Référentiel entourage'!$B$20,O30)),'Référentiel entourage'!$A$20,""),IF(ISNUMBER(SEARCH('Référentiel entourage'!$B$21,O30)),'Référentiel entourage'!$A$21,""),IF(ISNUMBER(SEARCH('Référentiel entourage'!$B$22,O30)),'Référentiel entourage'!$A$22,""),IF(ISNUMBER(SEARCH('Référentiel entourage'!$B$23,O30)),'Référentiel entourage'!$A$23,""),IF(ISNUMBER(SEARCH('Référentiel entourage'!$B$24,O30)),'Référentiel entourage'!$A$24,"")))</f>
        <v>pers-ingrid-caven; pers-ulli-lommel</v>
      </c>
      <c r="AD30" s="6" t="str">
        <f>_xlfn.LET(_xlpm.texte,_xlfn.TEXTJOIN(" | ",TRUE,H30:N30,P30),IF(_xlpm.texte="","",_xlfn.TEXTJOIN(";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pers-michael-fengler; pers-peer-raben; pers-daniel-schmid</v>
      </c>
    </row>
    <row r="31" spans="1:30" ht="266">
      <c r="A31" s="28" t="s">
        <v>207</v>
      </c>
      <c r="B31" s="28" t="s">
        <v>208</v>
      </c>
      <c r="C31" s="28" t="s">
        <v>209</v>
      </c>
      <c r="D31" s="38">
        <v>1976</v>
      </c>
      <c r="E31" s="28" t="s">
        <v>42</v>
      </c>
      <c r="F31" s="29">
        <v>112</v>
      </c>
      <c r="G31" s="28" t="s">
        <v>33</v>
      </c>
      <c r="H31" s="28" t="s">
        <v>34</v>
      </c>
      <c r="I31" s="28" t="s">
        <v>34</v>
      </c>
      <c r="J31" s="28" t="s">
        <v>210</v>
      </c>
      <c r="K31" s="28" t="s">
        <v>145</v>
      </c>
      <c r="L31" s="28"/>
      <c r="M31" s="28" t="s">
        <v>173</v>
      </c>
      <c r="N31" s="28" t="s">
        <v>211</v>
      </c>
      <c r="O31" s="28" t="s">
        <v>212</v>
      </c>
      <c r="P31" s="28" t="s">
        <v>213</v>
      </c>
      <c r="Q31" s="28" t="s">
        <v>214</v>
      </c>
      <c r="R31" s="28"/>
      <c r="S31" s="28" t="s">
        <v>215</v>
      </c>
      <c r="T31" s="28" t="s">
        <v>216</v>
      </c>
      <c r="U31" s="28" t="s">
        <v>217</v>
      </c>
      <c r="V31" s="28"/>
      <c r="W31" s="28"/>
      <c r="X31" s="28" t="s">
        <v>205</v>
      </c>
      <c r="Y31" s="28" t="s">
        <v>218</v>
      </c>
      <c r="Z31" s="28" t="s">
        <v>111</v>
      </c>
      <c r="AA31" s="28" t="s">
        <v>112</v>
      </c>
      <c r="AB31" s="1" t="s">
        <v>219</v>
      </c>
      <c r="AC31" s="6" t="str">
        <f>IF(O31="","",_xlfn.TEXTJOIN("; ",TRUE,IF(ISNUMBER(SEARCH('Référentiel entourage'!$B$2,O31)),'Référentiel entourage'!$A$2,""),IF(ISNUMBER(SEARCH('Référentiel entourage'!$B$3,O31)),'Référentiel entourage'!$A$3,""),IF(ISNUMBER(SEARCH('Référentiel entourage'!$B$4,O31)),'Référentiel entourage'!$A$4,""),IF(ISNUMBER(SEARCH('Référentiel entourage'!$B$5,O31)),'Référentiel entourage'!$A$5,""),IF(ISNUMBER(SEARCH('Référentiel entourage'!$B$6,O31)),'Référentiel entourage'!$A$6,""),IF(ISNUMBER(SEARCH('Référentiel entourage'!$B$7,O31)),'Référentiel entourage'!$A$7,""),IF(ISNUMBER(SEARCH('Référentiel entourage'!$B$8,O31)),'Référentiel entourage'!$A$8,""),IF(ISNUMBER(SEARCH('Référentiel entourage'!$B$9,O31)),'Référentiel entourage'!$A$9,""),IF(ISNUMBER(SEARCH('Référentiel entourage'!$B$10,O31)),'Référentiel entourage'!$A$10,""),IF(ISNUMBER(SEARCH('Référentiel entourage'!$B$11,O31)),'Référentiel entourage'!$A$11,""),IF(ISNUMBER(SEARCH('Référentiel entourage'!$B$12,O31)),'Référentiel entourage'!$A$12,""),IF(ISNUMBER(SEARCH('Référentiel entourage'!$B$13,O31)),'Référentiel entourage'!$A$13,""),IF(ISNUMBER(SEARCH('Référentiel entourage'!$B$14,O31)),'Référentiel entourage'!$A$14,""),IF(ISNUMBER(SEARCH('Référentiel entourage'!$B$15,O31)),'Référentiel entourage'!$A$15,""),IF(ISNUMBER(SEARCH('Référentiel entourage'!$B$16,O31)),'Référentiel entourage'!$A$16,""),IF(ISNUMBER(SEARCH('Référentiel entourage'!$B$17,O31)),'Référentiel entourage'!$A$17,""),IF(ISNUMBER(SEARCH('Référentiel entourage'!$B$18,O31)),'Référentiel entourage'!$A$18,""),IF(ISNUMBER(SEARCH('Référentiel entourage'!$B$19,O31)),'Référentiel entourage'!$A$19,""),IF(ISNUMBER(SEARCH('Référentiel entourage'!$B$20,O31)),'Référentiel entourage'!$A$20,""),IF(ISNUMBER(SEARCH('Référentiel entourage'!$B$21,O31)),'Référentiel entourage'!$A$21,""),IF(ISNUMBER(SEARCH('Référentiel entourage'!$B$22,O31)),'Référentiel entourage'!$A$22,""),IF(ISNUMBER(SEARCH('Référentiel entourage'!$B$23,O31)),'Référentiel entourage'!$A$23,""),IF(ISNUMBER(SEARCH('Référentiel entourage'!$B$24,O31)),'Référentiel entourage'!$A$24,"")))</f>
        <v>pers-margit-carstensen; pers-ingrid-caven; pers-peter-chatel; pers-ulli-lommel; pers-armin-meier; pers-brigitte-mira; pers-kurt-raab</v>
      </c>
      <c r="AD31" s="6" t="str">
        <f>_xlfn.LET(_xlpm.texte,_xlfn.TEXTJOIN(" | ",TRUE,H31:N31,P31),IF(_xlpm.texte="","",_xlfn.TEXTJOIN(";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pers-michael-fengler; pers-peer-raben</v>
      </c>
    </row>
    <row r="32" spans="1:30" ht="209">
      <c r="A32" s="28" t="s">
        <v>220</v>
      </c>
      <c r="B32" s="28" t="s">
        <v>221</v>
      </c>
      <c r="C32" s="28" t="s">
        <v>222</v>
      </c>
      <c r="D32" s="38">
        <v>1976</v>
      </c>
      <c r="E32" s="28" t="s">
        <v>42</v>
      </c>
      <c r="F32" s="29">
        <v>96</v>
      </c>
      <c r="G32" s="28" t="s">
        <v>223</v>
      </c>
      <c r="H32" s="28" t="s">
        <v>34</v>
      </c>
      <c r="I32" s="28" t="s">
        <v>34</v>
      </c>
      <c r="J32" s="28" t="s">
        <v>159</v>
      </c>
      <c r="K32" s="28" t="s">
        <v>224</v>
      </c>
      <c r="L32" s="28"/>
      <c r="M32" s="28" t="s">
        <v>173</v>
      </c>
      <c r="N32" s="28" t="s">
        <v>225</v>
      </c>
      <c r="O32" s="28" t="s">
        <v>226</v>
      </c>
      <c r="P32" s="28" t="s">
        <v>227</v>
      </c>
      <c r="Q32" s="28" t="s">
        <v>228</v>
      </c>
      <c r="R32" s="28"/>
      <c r="S32" s="28" t="s">
        <v>229</v>
      </c>
      <c r="T32" s="28"/>
      <c r="U32" s="28" t="s">
        <v>230</v>
      </c>
      <c r="V32" s="28"/>
      <c r="W32" s="28"/>
      <c r="X32" s="28" t="s">
        <v>205</v>
      </c>
      <c r="Y32" s="28" t="s">
        <v>231</v>
      </c>
      <c r="Z32" s="28" t="s">
        <v>111</v>
      </c>
      <c r="AA32" s="28" t="s">
        <v>112</v>
      </c>
      <c r="AB32" s="1" t="s">
        <v>232</v>
      </c>
      <c r="AC32" s="6" t="str">
        <f>IF(O32="","",_xlfn.TEXTJOIN("; ",TRUE,IF(ISNUMBER(SEARCH('Référentiel entourage'!$B$2,O32)),'Référentiel entourage'!$A$2,""),IF(ISNUMBER(SEARCH('Référentiel entourage'!$B$3,O32)),'Référentiel entourage'!$A$3,""),IF(ISNUMBER(SEARCH('Référentiel entourage'!$B$4,O32)),'Référentiel entourage'!$A$4,""),IF(ISNUMBER(SEARCH('Référentiel entourage'!$B$5,O32)),'Référentiel entourage'!$A$5,""),IF(ISNUMBER(SEARCH('Référentiel entourage'!$B$6,O32)),'Référentiel entourage'!$A$6,""),IF(ISNUMBER(SEARCH('Référentiel entourage'!$B$7,O32)),'Référentiel entourage'!$A$7,""),IF(ISNUMBER(SEARCH('Référentiel entourage'!$B$8,O32)),'Référentiel entourage'!$A$8,""),IF(ISNUMBER(SEARCH('Référentiel entourage'!$B$9,O32)),'Référentiel entourage'!$A$9,""),IF(ISNUMBER(SEARCH('Référentiel entourage'!$B$10,O32)),'Référentiel entourage'!$A$10,""),IF(ISNUMBER(SEARCH('Référentiel entourage'!$B$11,O32)),'Référentiel entourage'!$A$11,""),IF(ISNUMBER(SEARCH('Référentiel entourage'!$B$12,O32)),'Référentiel entourage'!$A$12,""),IF(ISNUMBER(SEARCH('Référentiel entourage'!$B$13,O32)),'Référentiel entourage'!$A$13,""),IF(ISNUMBER(SEARCH('Référentiel entourage'!$B$14,O32)),'Référentiel entourage'!$A$14,""),IF(ISNUMBER(SEARCH('Référentiel entourage'!$B$15,O32)),'Référentiel entourage'!$A$15,""),IF(ISNUMBER(SEARCH('Référentiel entourage'!$B$16,O32)),'Référentiel entourage'!$A$16,""),IF(ISNUMBER(SEARCH('Référentiel entourage'!$B$17,O32)),'Référentiel entourage'!$A$17,""),IF(ISNUMBER(SEARCH('Référentiel entourage'!$B$18,O32)),'Référentiel entourage'!$A$18,""),IF(ISNUMBER(SEARCH('Référentiel entourage'!$B$19,O32)),'Référentiel entourage'!$A$19,""),IF(ISNUMBER(SEARCH('Référentiel entourage'!$B$20,O32)),'Référentiel entourage'!$A$20,""),IF(ISNUMBER(SEARCH('Référentiel entourage'!$B$21,O32)),'Référentiel entourage'!$A$21,""),IF(ISNUMBER(SEARCH('Référentiel entourage'!$B$22,O32)),'Référentiel entourage'!$A$22,""),IF(ISNUMBER(SEARCH('Référentiel entourage'!$B$23,O32)),'Référentiel entourage'!$A$23,""),IF(ISNUMBER(SEARCH('Référentiel entourage'!$B$24,O32)),'Référentiel entourage'!$A$24,"")))</f>
        <v>pers-margit-carstensen; pers-ulli-lommel; pers-armin-meier; pers-brigitte-mira</v>
      </c>
      <c r="AD32" s="6" t="str">
        <f>_xlfn.LET(_xlpm.texte,_xlfn.TEXTJOIN(" | ",TRUE,H32:N32,P32),IF(_xlpm.texte="","",_xlfn.TEXTJOIN(";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pers-michael-fengler; pers-peer-raben</v>
      </c>
    </row>
    <row r="33" spans="1:30" ht="409.6">
      <c r="A33" s="28" t="s">
        <v>233</v>
      </c>
      <c r="B33" s="28" t="s">
        <v>234</v>
      </c>
      <c r="C33" s="28" t="s">
        <v>235</v>
      </c>
      <c r="D33" s="38">
        <v>1976</v>
      </c>
      <c r="E33" s="28" t="s">
        <v>67</v>
      </c>
      <c r="F33" s="29">
        <v>104</v>
      </c>
      <c r="G33" s="28" t="s">
        <v>33</v>
      </c>
      <c r="H33" s="28" t="s">
        <v>34</v>
      </c>
      <c r="I33" s="28"/>
      <c r="J33" s="28" t="s">
        <v>159</v>
      </c>
      <c r="K33" s="28" t="s">
        <v>160</v>
      </c>
      <c r="L33" s="28" t="s">
        <v>104</v>
      </c>
      <c r="M33" s="28" t="s">
        <v>173</v>
      </c>
      <c r="N33" s="28" t="s">
        <v>236</v>
      </c>
      <c r="O33" s="28" t="s">
        <v>237</v>
      </c>
      <c r="P33" s="28" t="s">
        <v>238</v>
      </c>
      <c r="Q33" s="28" t="s">
        <v>239</v>
      </c>
      <c r="R33" s="28"/>
      <c r="S33" s="28" t="s">
        <v>240</v>
      </c>
      <c r="T33" s="28"/>
      <c r="U33" s="28" t="s">
        <v>241</v>
      </c>
      <c r="V33" s="28"/>
      <c r="W33" s="28"/>
      <c r="X33" s="28" t="s">
        <v>205</v>
      </c>
      <c r="Y33" s="28" t="s">
        <v>242</v>
      </c>
      <c r="Z33" s="28" t="s">
        <v>111</v>
      </c>
      <c r="AA33" s="28" t="s">
        <v>112</v>
      </c>
      <c r="AB33" s="1" t="s">
        <v>243</v>
      </c>
      <c r="AC33" s="6" t="str">
        <f>IF(O33="","",_xlfn.TEXTJOIN("; ",TRUE,IF(ISNUMBER(SEARCH('Référentiel entourage'!$B$2,O33)),'Référentiel entourage'!$A$2,""),IF(ISNUMBER(SEARCH('Référentiel entourage'!$B$3,O33)),'Référentiel entourage'!$A$3,""),IF(ISNUMBER(SEARCH('Référentiel entourage'!$B$4,O33)),'Référentiel entourage'!$A$4,""),IF(ISNUMBER(SEARCH('Référentiel entourage'!$B$5,O33)),'Référentiel entourage'!$A$5,""),IF(ISNUMBER(SEARCH('Référentiel entourage'!$B$6,O33)),'Référentiel entourage'!$A$6,""),IF(ISNUMBER(SEARCH('Référentiel entourage'!$B$7,O33)),'Référentiel entourage'!$A$7,""),IF(ISNUMBER(SEARCH('Référentiel entourage'!$B$8,O33)),'Référentiel entourage'!$A$8,""),IF(ISNUMBER(SEARCH('Référentiel entourage'!$B$9,O33)),'Référentiel entourage'!$A$9,""),IF(ISNUMBER(SEARCH('Référentiel entourage'!$B$10,O33)),'Référentiel entourage'!$A$10,""),IF(ISNUMBER(SEARCH('Référentiel entourage'!$B$11,O33)),'Référentiel entourage'!$A$11,""),IF(ISNUMBER(SEARCH('Référentiel entourage'!$B$12,O33)),'Référentiel entourage'!$A$12,""),IF(ISNUMBER(SEARCH('Référentiel entourage'!$B$13,O33)),'Référentiel entourage'!$A$13,""),IF(ISNUMBER(SEARCH('Référentiel entourage'!$B$14,O33)),'Référentiel entourage'!$A$14,""),IF(ISNUMBER(SEARCH('Référentiel entourage'!$B$15,O33)),'Référentiel entourage'!$A$15,""),IF(ISNUMBER(SEARCH('Référentiel entourage'!$B$16,O33)),'Référentiel entourage'!$A$16,""),IF(ISNUMBER(SEARCH('Référentiel entourage'!$B$17,O33)),'Référentiel entourage'!$A$17,""),IF(ISNUMBER(SEARCH('Référentiel entourage'!$B$18,O33)),'Référentiel entourage'!$A$18,""),IF(ISNUMBER(SEARCH('Référentiel entourage'!$B$19,O33)),'Référentiel entourage'!$A$19,""),IF(ISNUMBER(SEARCH('Référentiel entourage'!$B$20,O33)),'Référentiel entourage'!$A$20,""),IF(ISNUMBER(SEARCH('Référentiel entourage'!$B$21,O33)),'Référentiel entourage'!$A$21,""),IF(ISNUMBER(SEARCH('Référentiel entourage'!$B$22,O33)),'Référentiel entourage'!$A$22,""),IF(ISNUMBER(SEARCH('Référentiel entourage'!$B$23,O33)),'Référentiel entourage'!$A$23,""),IF(ISNUMBER(SEARCH('Référentiel entourage'!$B$24,O33)),'Référentiel entourage'!$A$24,"")))</f>
        <v>pers-ingrid-caven; pers-lilo-pempeit; pers-armin-meier</v>
      </c>
      <c r="AD33" s="6" t="str">
        <f>_xlfn.LET(_xlpm.texte,_xlfn.TEXTJOIN(" | ",TRUE,H33:N33,P33),IF(_xlpm.texte="","",_xlfn.TEXTJOIN(";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pers-kurt-raab; pers-peer-raben</v>
      </c>
    </row>
    <row r="34" spans="1:30" ht="409.6">
      <c r="A34" s="28" t="s">
        <v>244</v>
      </c>
      <c r="B34" s="28" t="s">
        <v>245</v>
      </c>
      <c r="C34" s="28" t="s">
        <v>717</v>
      </c>
      <c r="D34" s="38">
        <v>1977</v>
      </c>
      <c r="E34" s="28" t="s">
        <v>67</v>
      </c>
      <c r="F34" s="29">
        <v>111</v>
      </c>
      <c r="G34" s="28" t="s">
        <v>33</v>
      </c>
      <c r="H34" s="28" t="s">
        <v>34</v>
      </c>
      <c r="I34" s="28" t="s">
        <v>718</v>
      </c>
      <c r="J34" s="28" t="s">
        <v>159</v>
      </c>
      <c r="K34" s="28" t="s">
        <v>719</v>
      </c>
      <c r="L34" s="28" t="s">
        <v>720</v>
      </c>
      <c r="M34" s="28"/>
      <c r="N34" s="28"/>
      <c r="O34" s="28" t="s">
        <v>721</v>
      </c>
      <c r="P34" s="28" t="s">
        <v>722</v>
      </c>
      <c r="Q34" s="28" t="s">
        <v>723</v>
      </c>
      <c r="R34" s="28"/>
      <c r="S34" s="30"/>
      <c r="T34" s="28"/>
      <c r="U34" s="28"/>
      <c r="V34" s="28"/>
      <c r="W34" s="28"/>
      <c r="X34" s="28" t="s">
        <v>246</v>
      </c>
      <c r="Y34" s="28"/>
      <c r="Z34" s="28" t="s">
        <v>724</v>
      </c>
      <c r="AA34" s="28" t="s">
        <v>45</v>
      </c>
      <c r="AB34" s="1" t="s">
        <v>247</v>
      </c>
      <c r="AC34" s="6" t="str">
        <f>IF(O34="","",_xlfn.TEXTJOIN("; ",TRUE,IF(ISNUMBER(SEARCH('Référentiel entourage'!$B$2,O34)),'Référentiel entourage'!$A$2,""),IF(ISNUMBER(SEARCH('Référentiel entourage'!$B$3,O34)),'Référentiel entourage'!$A$3,""),IF(ISNUMBER(SEARCH('Référentiel entourage'!$B$4,O34)),'Référentiel entourage'!$A$4,""),IF(ISNUMBER(SEARCH('Référentiel entourage'!$B$5,O34)),'Référentiel entourage'!$A$5,""),IF(ISNUMBER(SEARCH('Référentiel entourage'!$B$6,O34)),'Référentiel entourage'!$A$6,""),IF(ISNUMBER(SEARCH('Référentiel entourage'!$B$7,O34)),'Référentiel entourage'!$A$7,""),IF(ISNUMBER(SEARCH('Référentiel entourage'!$B$8,O34)),'Référentiel entourage'!$A$8,""),IF(ISNUMBER(SEARCH('Référentiel entourage'!$B$9,O34)),'Référentiel entourage'!$A$9,""),IF(ISNUMBER(SEARCH('Référentiel entourage'!$B$10,O34)),'Référentiel entourage'!$A$10,""),IF(ISNUMBER(SEARCH('Référentiel entourage'!$B$11,O34)),'Référentiel entourage'!$A$11,""),IF(ISNUMBER(SEARCH('Référentiel entourage'!$B$12,O34)),'Référentiel entourage'!$A$12,""),IF(ISNUMBER(SEARCH('Référentiel entourage'!$B$13,O34)),'Référentiel entourage'!$A$13,""),IF(ISNUMBER(SEARCH('Référentiel entourage'!$B$14,O34)),'Référentiel entourage'!$A$14,""),IF(ISNUMBER(SEARCH('Référentiel entourage'!$B$15,O34)),'Référentiel entourage'!$A$15,""),IF(ISNUMBER(SEARCH('Référentiel entourage'!$B$16,O34)),'Référentiel entourage'!$A$16,""),IF(ISNUMBER(SEARCH('Référentiel entourage'!$B$17,O34)),'Référentiel entourage'!$A$17,""),IF(ISNUMBER(SEARCH('Référentiel entourage'!$B$18,O34)),'Référentiel entourage'!$A$18,""),IF(ISNUMBER(SEARCH('Référentiel entourage'!$B$19,O34)),'Référentiel entourage'!$A$19,""),IF(ISNUMBER(SEARCH('Référentiel entourage'!$B$20,O34)),'Référentiel entourage'!$A$20,""),IF(ISNUMBER(SEARCH('Référentiel entourage'!$B$21,O34)),'Référentiel entourage'!$A$21,""),IF(ISNUMBER(SEARCH('Référentiel entourage'!$B$22,O34)),'Référentiel entourage'!$A$22,""),IF(ISNUMBER(SEARCH('Référentiel entourage'!$B$23,O34)),'Référentiel entourage'!$A$23,""),IF(ISNUMBER(SEARCH('Référentiel entourage'!$B$24,O34)),'Référentiel entourage'!$A$24,"")))</f>
        <v>pers-margit-carstensen; pers-irm-hermann</v>
      </c>
      <c r="AD34" s="6" t="str">
        <f>_xlfn.LET(_xlpm.texte,_xlfn.TEXTJOIN(" | ",TRUE,H34:N34,P34),IF(_xlpm.texte="","",_xlfn.TEXTJOIN(";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v>
      </c>
    </row>
    <row r="35" spans="1:30" ht="190">
      <c r="A35" s="28" t="s">
        <v>248</v>
      </c>
      <c r="B35" s="28" t="s">
        <v>249</v>
      </c>
      <c r="C35" s="28" t="s">
        <v>725</v>
      </c>
      <c r="D35" s="38">
        <v>1977</v>
      </c>
      <c r="E35" s="28" t="s">
        <v>67</v>
      </c>
      <c r="F35" s="29">
        <v>201</v>
      </c>
      <c r="G35" s="28" t="s">
        <v>33</v>
      </c>
      <c r="H35" s="28" t="s">
        <v>34</v>
      </c>
      <c r="I35" s="28" t="s">
        <v>726</v>
      </c>
      <c r="J35" s="28" t="s">
        <v>159</v>
      </c>
      <c r="K35" s="28"/>
      <c r="L35" s="28"/>
      <c r="M35" s="28" t="s">
        <v>173</v>
      </c>
      <c r="N35" s="28" t="s">
        <v>727</v>
      </c>
      <c r="O35" s="28" t="s">
        <v>728</v>
      </c>
      <c r="P35" s="28" t="s">
        <v>729</v>
      </c>
      <c r="Q35" s="28" t="s">
        <v>730</v>
      </c>
      <c r="R35" s="28"/>
      <c r="S35" s="28"/>
      <c r="T35" s="28"/>
      <c r="U35" s="28"/>
      <c r="V35" s="28"/>
      <c r="W35" s="28"/>
      <c r="X35" s="28" t="s">
        <v>246</v>
      </c>
      <c r="Y35" s="28"/>
      <c r="Z35" s="28" t="s">
        <v>731</v>
      </c>
      <c r="AA35" s="28" t="s">
        <v>45</v>
      </c>
      <c r="AB35" s="1" t="s">
        <v>250</v>
      </c>
      <c r="AC35" s="6" t="str">
        <f>IF(O35="","",_xlfn.TEXTJOIN("; ",TRUE,IF(ISNUMBER(SEARCH('Référentiel entourage'!$B$2,O35)),'Référentiel entourage'!$A$2,""),IF(ISNUMBER(SEARCH('Référentiel entourage'!$B$3,O35)),'Référentiel entourage'!$A$3,""),IF(ISNUMBER(SEARCH('Référentiel entourage'!$B$4,O35)),'Référentiel entourage'!$A$4,""),IF(ISNUMBER(SEARCH('Référentiel entourage'!$B$5,O35)),'Référentiel entourage'!$A$5,""),IF(ISNUMBER(SEARCH('Référentiel entourage'!$B$6,O35)),'Référentiel entourage'!$A$6,""),IF(ISNUMBER(SEARCH('Référentiel entourage'!$B$7,O35)),'Référentiel entourage'!$A$7,""),IF(ISNUMBER(SEARCH('Référentiel entourage'!$B$8,O35)),'Référentiel entourage'!$A$8,""),IF(ISNUMBER(SEARCH('Référentiel entourage'!$B$9,O35)),'Référentiel entourage'!$A$9,""),IF(ISNUMBER(SEARCH('Référentiel entourage'!$B$10,O35)),'Référentiel entourage'!$A$10,""),IF(ISNUMBER(SEARCH('Référentiel entourage'!$B$11,O35)),'Référentiel entourage'!$A$11,""),IF(ISNUMBER(SEARCH('Référentiel entourage'!$B$12,O35)),'Référentiel entourage'!$A$12,""),IF(ISNUMBER(SEARCH('Référentiel entourage'!$B$13,O35)),'Référentiel entourage'!$A$13,""),IF(ISNUMBER(SEARCH('Référentiel entourage'!$B$14,O35)),'Référentiel entourage'!$A$14,""),IF(ISNUMBER(SEARCH('Référentiel entourage'!$B$15,O35)),'Référentiel entourage'!$A$15,""),IF(ISNUMBER(SEARCH('Référentiel entourage'!$B$16,O35)),'Référentiel entourage'!$A$16,""),IF(ISNUMBER(SEARCH('Référentiel entourage'!$B$17,O35)),'Référentiel entourage'!$A$17,""),IF(ISNUMBER(SEARCH('Référentiel entourage'!$B$18,O35)),'Référentiel entourage'!$A$18,""),IF(ISNUMBER(SEARCH('Référentiel entourage'!$B$19,O35)),'Référentiel entourage'!$A$19,""),IF(ISNUMBER(SEARCH('Référentiel entourage'!$B$20,O35)),'Référentiel entourage'!$A$20,""),IF(ISNUMBER(SEARCH('Référentiel entourage'!$B$21,O35)),'Référentiel entourage'!$A$21,""),IF(ISNUMBER(SEARCH('Référentiel entourage'!$B$22,O35)),'Référentiel entourage'!$A$22,""),IF(ISNUMBER(SEARCH('Référentiel entourage'!$B$23,O35)),'Référentiel entourage'!$A$23,""),IF(ISNUMBER(SEARCH('Référentiel entourage'!$B$24,O35)),'Référentiel entourage'!$A$24,"")))</f>
        <v>pers-armin-meier; pers-kurt-raab; pers-elisabeth-trissenaar</v>
      </c>
      <c r="AD35" s="6" t="str">
        <f>_xlfn.LET(_xlpm.texte,_xlfn.TEXTJOIN(" | ",TRUE,H35:N35,P35),IF(_xlpm.texte="","",_xlfn.TEXTJOIN(";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pers-peer-raben</v>
      </c>
    </row>
    <row r="36" spans="1:30" ht="228">
      <c r="A36" s="28" t="s">
        <v>251</v>
      </c>
      <c r="B36" s="28" t="s">
        <v>252</v>
      </c>
      <c r="C36" s="28"/>
      <c r="D36" s="38">
        <v>1978</v>
      </c>
      <c r="E36" s="28" t="s">
        <v>253</v>
      </c>
      <c r="F36" s="29">
        <v>119</v>
      </c>
      <c r="G36" s="28" t="s">
        <v>33</v>
      </c>
      <c r="H36" s="28" t="s">
        <v>34</v>
      </c>
      <c r="I36" s="28"/>
      <c r="J36" s="28"/>
      <c r="K36" s="28"/>
      <c r="L36" s="28"/>
      <c r="M36" s="28"/>
      <c r="N36" s="28"/>
      <c r="O36" s="28"/>
      <c r="P36" s="28" t="s">
        <v>254</v>
      </c>
      <c r="Q36" s="28" t="s">
        <v>255</v>
      </c>
      <c r="R36" s="28"/>
      <c r="S36" s="28" t="s">
        <v>256</v>
      </c>
      <c r="T36" s="28"/>
      <c r="U36" s="28" t="s">
        <v>257</v>
      </c>
      <c r="V36" s="28"/>
      <c r="W36" s="28"/>
      <c r="X36" s="28" t="s">
        <v>258</v>
      </c>
      <c r="Y36" s="28" t="s">
        <v>259</v>
      </c>
      <c r="Z36" s="28" t="s">
        <v>111</v>
      </c>
      <c r="AA36" s="28" t="s">
        <v>112</v>
      </c>
      <c r="AB36" s="1" t="s">
        <v>260</v>
      </c>
      <c r="AC36" s="6" t="str">
        <f>IF(O36="","",_xlfn.TEXTJOIN("; ",TRUE,IF(ISNUMBER(SEARCH('Référentiel entourage'!$B$2,O36)),'Référentiel entourage'!$A$2,""),IF(ISNUMBER(SEARCH('Référentiel entourage'!$B$3,O36)),'Référentiel entourage'!$A$3,""),IF(ISNUMBER(SEARCH('Référentiel entourage'!$B$4,O36)),'Référentiel entourage'!$A$4,""),IF(ISNUMBER(SEARCH('Référentiel entourage'!$B$5,O36)),'Référentiel entourage'!$A$5,""),IF(ISNUMBER(SEARCH('Référentiel entourage'!$B$6,O36)),'Référentiel entourage'!$A$6,""),IF(ISNUMBER(SEARCH('Référentiel entourage'!$B$7,O36)),'Référentiel entourage'!$A$7,""),IF(ISNUMBER(SEARCH('Référentiel entourage'!$B$8,O36)),'Référentiel entourage'!$A$8,""),IF(ISNUMBER(SEARCH('Référentiel entourage'!$B$9,O36)),'Référentiel entourage'!$A$9,""),IF(ISNUMBER(SEARCH('Référentiel entourage'!$B$10,O36)),'Référentiel entourage'!$A$10,""),IF(ISNUMBER(SEARCH('Référentiel entourage'!$B$11,O36)),'Référentiel entourage'!$A$11,""),IF(ISNUMBER(SEARCH('Référentiel entourage'!$B$12,O36)),'Référentiel entourage'!$A$12,""),IF(ISNUMBER(SEARCH('Référentiel entourage'!$B$13,O36)),'Référentiel entourage'!$A$13,""),IF(ISNUMBER(SEARCH('Référentiel entourage'!$B$14,O36)),'Référentiel entourage'!$A$14,""),IF(ISNUMBER(SEARCH('Référentiel entourage'!$B$15,O36)),'Référentiel entourage'!$A$15,""),IF(ISNUMBER(SEARCH('Référentiel entourage'!$B$16,O36)),'Référentiel entourage'!$A$16,""),IF(ISNUMBER(SEARCH('Référentiel entourage'!$B$17,O36)),'Référentiel entourage'!$A$17,""),IF(ISNUMBER(SEARCH('Référentiel entourage'!$B$18,O36)),'Référentiel entourage'!$A$18,""),IF(ISNUMBER(SEARCH('Référentiel entourage'!$B$19,O36)),'Référentiel entourage'!$A$19,""),IF(ISNUMBER(SEARCH('Référentiel entourage'!$B$20,O36)),'Référentiel entourage'!$A$20,""),IF(ISNUMBER(SEARCH('Référentiel entourage'!$B$21,O36)),'Référentiel entourage'!$A$21,""),IF(ISNUMBER(SEARCH('Référentiel entourage'!$B$22,O36)),'Référentiel entourage'!$A$22,""),IF(ISNUMBER(SEARCH('Référentiel entourage'!$B$23,O36)),'Référentiel entourage'!$A$23,""),IF(ISNUMBER(SEARCH('Référentiel entourage'!$B$24,O36)),'Référentiel entourage'!$A$24,"")))</f>
        <v/>
      </c>
      <c r="AD36" s="6" t="str">
        <f>_xlfn.LET(_xlpm.texte,_xlfn.TEXTJOIN(" | ",TRUE,H36:N36,P36),IF(_xlpm.texte="","",_xlfn.TEXTJOIN(";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37" spans="1:30" ht="285">
      <c r="A37" s="28" t="s">
        <v>261</v>
      </c>
      <c r="B37" s="28" t="s">
        <v>262</v>
      </c>
      <c r="C37" s="28" t="s">
        <v>263</v>
      </c>
      <c r="D37" s="38">
        <v>1978</v>
      </c>
      <c r="E37" s="28" t="s">
        <v>42</v>
      </c>
      <c r="F37" s="29">
        <v>119</v>
      </c>
      <c r="G37" s="28" t="s">
        <v>223</v>
      </c>
      <c r="H37" s="28" t="s">
        <v>34</v>
      </c>
      <c r="I37" s="28" t="s">
        <v>264</v>
      </c>
      <c r="J37" s="28"/>
      <c r="K37" s="28"/>
      <c r="L37" s="28"/>
      <c r="M37" s="28"/>
      <c r="N37" s="28"/>
      <c r="O37" s="28" t="s">
        <v>265</v>
      </c>
      <c r="P37" s="28" t="s">
        <v>266</v>
      </c>
      <c r="Q37" s="28" t="s">
        <v>267</v>
      </c>
      <c r="R37" s="28"/>
      <c r="S37" s="28" t="s">
        <v>268</v>
      </c>
      <c r="T37" s="28"/>
      <c r="U37" s="28" t="s">
        <v>269</v>
      </c>
      <c r="V37" s="28"/>
      <c r="W37" s="28"/>
      <c r="X37" s="28" t="s">
        <v>258</v>
      </c>
      <c r="Y37" s="28" t="s">
        <v>270</v>
      </c>
      <c r="Z37" s="28" t="s">
        <v>111</v>
      </c>
      <c r="AA37" s="28" t="s">
        <v>112</v>
      </c>
      <c r="AB37" s="1" t="s">
        <v>271</v>
      </c>
      <c r="AC37" s="6" t="str">
        <f>IF(O37="","",_xlfn.TEXTJOIN("; ",TRUE,IF(ISNUMBER(SEARCH('Référentiel entourage'!$B$2,O37)),'Référentiel entourage'!$A$2,""),IF(ISNUMBER(SEARCH('Référentiel entourage'!$B$3,O37)),'Référentiel entourage'!$A$3,""),IF(ISNUMBER(SEARCH('Référentiel entourage'!$B$4,O37)),'Référentiel entourage'!$A$4,""),IF(ISNUMBER(SEARCH('Référentiel entourage'!$B$5,O37)),'Référentiel entourage'!$A$5,""),IF(ISNUMBER(SEARCH('Référentiel entourage'!$B$6,O37)),'Référentiel entourage'!$A$6,""),IF(ISNUMBER(SEARCH('Référentiel entourage'!$B$7,O37)),'Référentiel entourage'!$A$7,""),IF(ISNUMBER(SEARCH('Référentiel entourage'!$B$8,O37)),'Référentiel entourage'!$A$8,""),IF(ISNUMBER(SEARCH('Référentiel entourage'!$B$9,O37)),'Référentiel entourage'!$A$9,""),IF(ISNUMBER(SEARCH('Référentiel entourage'!$B$10,O37)),'Référentiel entourage'!$A$10,""),IF(ISNUMBER(SEARCH('Référentiel entourage'!$B$11,O37)),'Référentiel entourage'!$A$11,""),IF(ISNUMBER(SEARCH('Référentiel entourage'!$B$12,O37)),'Référentiel entourage'!$A$12,""),IF(ISNUMBER(SEARCH('Référentiel entourage'!$B$13,O37)),'Référentiel entourage'!$A$13,""),IF(ISNUMBER(SEARCH('Référentiel entourage'!$B$14,O37)),'Référentiel entourage'!$A$14,""),IF(ISNUMBER(SEARCH('Référentiel entourage'!$B$15,O37)),'Référentiel entourage'!$A$15,""),IF(ISNUMBER(SEARCH('Référentiel entourage'!$B$16,O37)),'Référentiel entourage'!$A$16,""),IF(ISNUMBER(SEARCH('Référentiel entourage'!$B$17,O37)),'Référentiel entourage'!$A$17,""),IF(ISNUMBER(SEARCH('Référentiel entourage'!$B$18,O37)),'Référentiel entourage'!$A$18,""),IF(ISNUMBER(SEARCH('Référentiel entourage'!$B$19,O37)),'Référentiel entourage'!$A$19,""),IF(ISNUMBER(SEARCH('Référentiel entourage'!$B$20,O37)),'Référentiel entourage'!$A$20,""),IF(ISNUMBER(SEARCH('Référentiel entourage'!$B$21,O37)),'Référentiel entourage'!$A$21,""),IF(ISNUMBER(SEARCH('Référentiel entourage'!$B$22,O37)),'Référentiel entourage'!$A$22,""),IF(ISNUMBER(SEARCH('Référentiel entourage'!$B$23,O37)),'Référentiel entourage'!$A$23,""),IF(ISNUMBER(SEARCH('Référentiel entourage'!$B$24,O37)),'Référentiel entourage'!$A$24,"")))</f>
        <v>pers-hark-bohm; pers-ingrid-caven; pers-gottfried-john</v>
      </c>
      <c r="AD37" s="6" t="str">
        <f>_xlfn.LET(_xlpm.texte,_xlfn.TEXTJOIN(" | ",TRUE,H37:N37,P37),IF(_xlpm.texte="","",_xlfn.TEXTJOIN(";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38" spans="1:30" ht="409.6">
      <c r="A38" s="28" t="s">
        <v>272</v>
      </c>
      <c r="B38" s="28" t="s">
        <v>273</v>
      </c>
      <c r="C38" s="28" t="s">
        <v>732</v>
      </c>
      <c r="D38" s="38">
        <v>1978</v>
      </c>
      <c r="E38" s="28" t="s">
        <v>42</v>
      </c>
      <c r="F38" s="29">
        <v>124</v>
      </c>
      <c r="G38" s="28" t="s">
        <v>33</v>
      </c>
      <c r="H38" s="28" t="s">
        <v>34</v>
      </c>
      <c r="I38" s="28" t="s">
        <v>34</v>
      </c>
      <c r="J38" s="28" t="s">
        <v>34</v>
      </c>
      <c r="K38" s="28" t="s">
        <v>733</v>
      </c>
      <c r="L38" s="28"/>
      <c r="M38" s="28" t="s">
        <v>173</v>
      </c>
      <c r="N38" s="28" t="s">
        <v>734</v>
      </c>
      <c r="O38" s="28" t="s">
        <v>735</v>
      </c>
      <c r="P38" s="28" t="s">
        <v>736</v>
      </c>
      <c r="Q38" s="28" t="s">
        <v>737</v>
      </c>
      <c r="R38" s="28"/>
      <c r="S38" s="31" t="s">
        <v>842</v>
      </c>
      <c r="T38" s="28" t="s">
        <v>840</v>
      </c>
      <c r="U38" s="28" t="s">
        <v>274</v>
      </c>
      <c r="V38" s="28"/>
      <c r="W38" s="28"/>
      <c r="X38" s="28" t="s">
        <v>258</v>
      </c>
      <c r="Y38" s="28" t="s">
        <v>738</v>
      </c>
      <c r="Z38" s="28" t="s">
        <v>111</v>
      </c>
      <c r="AA38" s="28" t="s">
        <v>112</v>
      </c>
      <c r="AB38" s="1" t="s">
        <v>275</v>
      </c>
      <c r="AC38" s="6" t="str">
        <f>IF(O38="","",_xlfn.TEXTJOIN("; ",TRUE,IF(ISNUMBER(SEARCH('Référentiel entourage'!$B$2,O38)),'Référentiel entourage'!$A$2,""),IF(ISNUMBER(SEARCH('Référentiel entourage'!$B$3,O38)),'Référentiel entourage'!$A$3,""),IF(ISNUMBER(SEARCH('Référentiel entourage'!$B$4,O38)),'Référentiel entourage'!$A$4,""),IF(ISNUMBER(SEARCH('Référentiel entourage'!$B$5,O38)),'Référentiel entourage'!$A$5,""),IF(ISNUMBER(SEARCH('Référentiel entourage'!$B$6,O38)),'Référentiel entourage'!$A$6,""),IF(ISNUMBER(SEARCH('Référentiel entourage'!$B$7,O38)),'Référentiel entourage'!$A$7,""),IF(ISNUMBER(SEARCH('Référentiel entourage'!$B$8,O38)),'Référentiel entourage'!$A$8,""),IF(ISNUMBER(SEARCH('Référentiel entourage'!$B$9,O38)),'Référentiel entourage'!$A$9,""),IF(ISNUMBER(SEARCH('Référentiel entourage'!$B$10,O38)),'Référentiel entourage'!$A$10,""),IF(ISNUMBER(SEARCH('Référentiel entourage'!$B$11,O38)),'Référentiel entourage'!$A$11,""),IF(ISNUMBER(SEARCH('Référentiel entourage'!$B$12,O38)),'Référentiel entourage'!$A$12,""),IF(ISNUMBER(SEARCH('Référentiel entourage'!$B$13,O38)),'Référentiel entourage'!$A$13,""),IF(ISNUMBER(SEARCH('Référentiel entourage'!$B$14,O38)),'Référentiel entourage'!$A$14,""),IF(ISNUMBER(SEARCH('Référentiel entourage'!$B$15,O38)),'Référentiel entourage'!$A$15,""),IF(ISNUMBER(SEARCH('Référentiel entourage'!$B$16,O38)),'Référentiel entourage'!$A$16,""),IF(ISNUMBER(SEARCH('Référentiel entourage'!$B$17,O38)),'Référentiel entourage'!$A$17,""),IF(ISNUMBER(SEARCH('Référentiel entourage'!$B$18,O38)),'Référentiel entourage'!$A$18,""),IF(ISNUMBER(SEARCH('Référentiel entourage'!$B$19,O38)),'Référentiel entourage'!$A$19,""),IF(ISNUMBER(SEARCH('Référentiel entourage'!$B$20,O38)),'Référentiel entourage'!$A$20,""),IF(ISNUMBER(SEARCH('Référentiel entourage'!$B$21,O38)),'Référentiel entourage'!$A$21,""),IF(ISNUMBER(SEARCH('Référentiel entourage'!$B$22,O38)),'Référentiel entourage'!$A$22,""),IF(ISNUMBER(SEARCH('Référentiel entourage'!$B$23,O38)),'Référentiel entourage'!$A$23,""),IF(ISNUMBER(SEARCH('Référentiel entourage'!$B$24,O38)),'Référentiel entourage'!$A$24,"")))</f>
        <v>pers-ingrid-caven; pers-gottfried-john; pers-elisabeth-trissenaar</v>
      </c>
      <c r="AD38" s="6" t="str">
        <f>_xlfn.LET(_xlpm.texte,_xlfn.TEXTJOIN(" | ",TRUE,H38:N38,P38),IF(_xlpm.texte="","",_xlfn.TEXTJOIN(";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pers-juliane-lorenz; pers-peer-raben</v>
      </c>
    </row>
    <row r="39" spans="1:30" ht="409.6">
      <c r="A39" s="28" t="s">
        <v>276</v>
      </c>
      <c r="B39" s="28" t="s">
        <v>277</v>
      </c>
      <c r="C39" s="28" t="s">
        <v>278</v>
      </c>
      <c r="D39" s="38">
        <v>1978</v>
      </c>
      <c r="E39" s="28" t="s">
        <v>42</v>
      </c>
      <c r="F39" s="29">
        <v>120</v>
      </c>
      <c r="G39" s="28" t="s">
        <v>33</v>
      </c>
      <c r="H39" s="28" t="s">
        <v>34</v>
      </c>
      <c r="I39" s="28" t="s">
        <v>739</v>
      </c>
      <c r="J39" s="28" t="s">
        <v>159</v>
      </c>
      <c r="K39" s="28"/>
      <c r="L39" s="28"/>
      <c r="M39" s="28" t="s">
        <v>173</v>
      </c>
      <c r="N39" s="28" t="s">
        <v>740</v>
      </c>
      <c r="O39" s="28" t="s">
        <v>851</v>
      </c>
      <c r="P39" s="28" t="s">
        <v>741</v>
      </c>
      <c r="Q39" s="28" t="s">
        <v>742</v>
      </c>
      <c r="R39" s="28"/>
      <c r="S39" s="28" t="s">
        <v>743</v>
      </c>
      <c r="T39" s="28" t="s">
        <v>744</v>
      </c>
      <c r="U39" s="28" t="s">
        <v>279</v>
      </c>
      <c r="V39" s="28"/>
      <c r="W39" s="28"/>
      <c r="X39" s="32" t="s">
        <v>284</v>
      </c>
      <c r="Y39" s="28" t="s">
        <v>745</v>
      </c>
      <c r="Z39" s="28" t="s">
        <v>111</v>
      </c>
      <c r="AA39" s="28" t="s">
        <v>112</v>
      </c>
      <c r="AB39" s="1" t="s">
        <v>280</v>
      </c>
      <c r="AC39" s="6" t="str">
        <f>IF(O39="","",_xlfn.TEXTJOIN("; ",TRUE,IF(ISNUMBER(SEARCH('Référentiel entourage'!$B$2,O39)),'Référentiel entourage'!$A$2,""),IF(ISNUMBER(SEARCH('Référentiel entourage'!$B$3,O39)),'Référentiel entourage'!$A$3,""),IF(ISNUMBER(SEARCH('Référentiel entourage'!$B$4,O39)),'Référentiel entourage'!$A$4,""),IF(ISNUMBER(SEARCH('Référentiel entourage'!$B$5,O39)),'Référentiel entourage'!$A$5,""),IF(ISNUMBER(SEARCH('Référentiel entourage'!$B$6,O39)),'Référentiel entourage'!$A$6,""),IF(ISNUMBER(SEARCH('Référentiel entourage'!$B$7,O39)),'Référentiel entourage'!$A$7,""),IF(ISNUMBER(SEARCH('Référentiel entourage'!$B$8,O39)),'Référentiel entourage'!$A$8,""),IF(ISNUMBER(SEARCH('Référentiel entourage'!$B$9,O39)),'Référentiel entourage'!$A$9,""),IF(ISNUMBER(SEARCH('Référentiel entourage'!$B$10,O39)),'Référentiel entourage'!$A$10,""),IF(ISNUMBER(SEARCH('Référentiel entourage'!$B$11,O39)),'Référentiel entourage'!$A$11,""),IF(ISNUMBER(SEARCH('Référentiel entourage'!$B$12,O39)),'Référentiel entourage'!$A$12,""),IF(ISNUMBER(SEARCH('Référentiel entourage'!$B$13,O39)),'Référentiel entourage'!$A$13,""),IF(ISNUMBER(SEARCH('Référentiel entourage'!$B$14,O39)),'Référentiel entourage'!$A$14,""),IF(ISNUMBER(SEARCH('Référentiel entourage'!$B$15,O39)),'Référentiel entourage'!$A$15,""),IF(ISNUMBER(SEARCH('Référentiel entourage'!$B$16,O39)),'Référentiel entourage'!$A$16,""),IF(ISNUMBER(SEARCH('Référentiel entourage'!$B$17,O39)),'Référentiel entourage'!$A$17,""),IF(ISNUMBER(SEARCH('Référentiel entourage'!$B$18,O39)),'Référentiel entourage'!$A$18,""),IF(ISNUMBER(SEARCH('Référentiel entourage'!$B$19,O39)),'Référentiel entourage'!$A$19,""),IF(ISNUMBER(SEARCH('Référentiel entourage'!$B$20,O39)),'Référentiel entourage'!$A$20,""),IF(ISNUMBER(SEARCH('Référentiel entourage'!$B$21,O39)),'Référentiel entourage'!$A$21,""),IF(ISNUMBER(SEARCH('Référentiel entourage'!$B$22,O39)),'Référentiel entourage'!$A$22,""),IF(ISNUMBER(SEARCH('Référentiel entourage'!$B$23,O39)),'Référentiel entourage'!$A$23,""),IF(ISNUMBER(SEARCH('Référentiel entourage'!$B$24,O39)),'Référentiel entourage'!$A$24,"")))</f>
        <v>pers-hark-bohm; pers-lilo-pempeit; pers-hanna-schygulla; pers-elisabeth-trissenaar</v>
      </c>
      <c r="AD39" s="6" t="str">
        <f>_xlfn.LET(_xlpm.texte,_xlfn.TEXTJOIN(" | ",TRUE,H39:N39,P39),IF(_xlpm.texte="","",_xlfn.TEXTJOIN(";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pers-peer-raben</v>
      </c>
    </row>
    <row r="40" spans="1:30" ht="228">
      <c r="A40" s="28" t="s">
        <v>281</v>
      </c>
      <c r="B40" s="28" t="s">
        <v>282</v>
      </c>
      <c r="C40" s="28" t="s">
        <v>746</v>
      </c>
      <c r="D40" s="38">
        <v>1979</v>
      </c>
      <c r="E40" s="28" t="s">
        <v>42</v>
      </c>
      <c r="F40" s="29">
        <v>105</v>
      </c>
      <c r="G40" s="28" t="s">
        <v>33</v>
      </c>
      <c r="H40" s="28" t="s">
        <v>34</v>
      </c>
      <c r="I40" s="28" t="s">
        <v>34</v>
      </c>
      <c r="J40" s="28" t="s">
        <v>34</v>
      </c>
      <c r="K40" s="28" t="s">
        <v>478</v>
      </c>
      <c r="L40" s="28"/>
      <c r="M40" s="28" t="s">
        <v>173</v>
      </c>
      <c r="N40" s="28" t="s">
        <v>747</v>
      </c>
      <c r="O40" s="28" t="s">
        <v>748</v>
      </c>
      <c r="P40" s="28" t="s">
        <v>749</v>
      </c>
      <c r="Q40" s="28" t="s">
        <v>750</v>
      </c>
      <c r="R40" s="28"/>
      <c r="S40" s="28"/>
      <c r="T40" s="28"/>
      <c r="U40" s="28" t="s">
        <v>283</v>
      </c>
      <c r="V40" s="28"/>
      <c r="W40" s="28"/>
      <c r="X40" s="28" t="s">
        <v>284</v>
      </c>
      <c r="Y40" s="28"/>
      <c r="Z40" s="28" t="s">
        <v>751</v>
      </c>
      <c r="AA40" s="28" t="s">
        <v>45</v>
      </c>
      <c r="AB40" s="1" t="s">
        <v>285</v>
      </c>
      <c r="AC40" s="6" t="str">
        <f>IF(O40="","",_xlfn.TEXTJOIN("; ",TRUE,IF(ISNUMBER(SEARCH('Référentiel entourage'!$B$2,O40)),'Référentiel entourage'!$A$2,""),IF(ISNUMBER(SEARCH('Référentiel entourage'!$B$3,O40)),'Référentiel entourage'!$A$3,""),IF(ISNUMBER(SEARCH('Référentiel entourage'!$B$4,O40)),'Référentiel entourage'!$A$4,""),IF(ISNUMBER(SEARCH('Référentiel entourage'!$B$5,O40)),'Référentiel entourage'!$A$5,""),IF(ISNUMBER(SEARCH('Référentiel entourage'!$B$6,O40)),'Référentiel entourage'!$A$6,""),IF(ISNUMBER(SEARCH('Référentiel entourage'!$B$7,O40)),'Référentiel entourage'!$A$7,""),IF(ISNUMBER(SEARCH('Référentiel entourage'!$B$8,O40)),'Référentiel entourage'!$A$8,""),IF(ISNUMBER(SEARCH('Référentiel entourage'!$B$9,O40)),'Référentiel entourage'!$A$9,""),IF(ISNUMBER(SEARCH('Référentiel entourage'!$B$10,O40)),'Référentiel entourage'!$A$10,""),IF(ISNUMBER(SEARCH('Référentiel entourage'!$B$11,O40)),'Référentiel entourage'!$A$11,""),IF(ISNUMBER(SEARCH('Référentiel entourage'!$B$12,O40)),'Référentiel entourage'!$A$12,""),IF(ISNUMBER(SEARCH('Référentiel entourage'!$B$13,O40)),'Référentiel entourage'!$A$13,""),IF(ISNUMBER(SEARCH('Référentiel entourage'!$B$14,O40)),'Référentiel entourage'!$A$14,""),IF(ISNUMBER(SEARCH('Référentiel entourage'!$B$15,O40)),'Référentiel entourage'!$A$15,""),IF(ISNUMBER(SEARCH('Référentiel entourage'!$B$16,O40)),'Référentiel entourage'!$A$16,""),IF(ISNUMBER(SEARCH('Référentiel entourage'!$B$17,O40)),'Référentiel entourage'!$A$17,""),IF(ISNUMBER(SEARCH('Référentiel entourage'!$B$18,O40)),'Référentiel entourage'!$A$18,""),IF(ISNUMBER(SEARCH('Référentiel entourage'!$B$19,O40)),'Référentiel entourage'!$A$19,""),IF(ISNUMBER(SEARCH('Référentiel entourage'!$B$20,O40)),'Référentiel entourage'!$A$20,""),IF(ISNUMBER(SEARCH('Référentiel entourage'!$B$21,O40)),'Référentiel entourage'!$A$21,""),IF(ISNUMBER(SEARCH('Référentiel entourage'!$B$22,O40)),'Référentiel entourage'!$A$22,""),IF(ISNUMBER(SEARCH('Référentiel entourage'!$B$23,O40)),'Référentiel entourage'!$A$23,""),IF(ISNUMBER(SEARCH('Référentiel entourage'!$B$24,O40)),'Référentiel entourage'!$A$24,"")))</f>
        <v>pers-hark-bohm; pers-margit-carstensen; pers-peer-raben; pers-hanna-schygulla</v>
      </c>
      <c r="AD40" s="6" t="str">
        <f>_xlfn.LET(_xlpm.texte,_xlfn.TEXTJOIN(" | ",TRUE,H40:N40,P40),IF(_xlpm.texte="","",_xlfn.TEXTJOIN(";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pers-juliane-lorenz; pers-peer-raben</v>
      </c>
    </row>
    <row r="41" spans="1:30" ht="409.6">
      <c r="A41" s="28" t="s">
        <v>286</v>
      </c>
      <c r="B41" s="28" t="s">
        <v>287</v>
      </c>
      <c r="C41" s="28" t="s">
        <v>287</v>
      </c>
      <c r="D41" s="38">
        <v>1980</v>
      </c>
      <c r="E41" s="28" t="s">
        <v>101</v>
      </c>
      <c r="F41" s="29">
        <v>894</v>
      </c>
      <c r="G41" s="28" t="s">
        <v>33</v>
      </c>
      <c r="H41" s="28" t="s">
        <v>34</v>
      </c>
      <c r="I41" s="28" t="s">
        <v>752</v>
      </c>
      <c r="J41" s="28" t="s">
        <v>753</v>
      </c>
      <c r="K41" s="28" t="s">
        <v>478</v>
      </c>
      <c r="L41" s="28"/>
      <c r="M41" s="28" t="s">
        <v>173</v>
      </c>
      <c r="N41" s="28" t="s">
        <v>754</v>
      </c>
      <c r="O41" s="28" t="s">
        <v>755</v>
      </c>
      <c r="P41" s="28" t="s">
        <v>756</v>
      </c>
      <c r="Q41" s="28" t="s">
        <v>757</v>
      </c>
      <c r="R41" s="28"/>
      <c r="S41" s="28" t="s">
        <v>850</v>
      </c>
      <c r="T41" s="28"/>
      <c r="U41" s="28" t="s">
        <v>288</v>
      </c>
      <c r="V41" s="28"/>
      <c r="W41" s="28"/>
      <c r="X41" s="28" t="s">
        <v>289</v>
      </c>
      <c r="Y41" s="28"/>
      <c r="Z41" s="28" t="s">
        <v>111</v>
      </c>
      <c r="AA41" s="28" t="s">
        <v>317</v>
      </c>
      <c r="AB41" s="1" t="s">
        <v>290</v>
      </c>
      <c r="AC41" s="6" t="str">
        <f>IF(O41="","",_xlfn.TEXTJOIN("; ",TRUE,IF(ISNUMBER(SEARCH('Référentiel entourage'!$B$2,O41)),'Référentiel entourage'!$A$2,""),IF(ISNUMBER(SEARCH('Référentiel entourage'!$B$3,O41)),'Référentiel entourage'!$A$3,""),IF(ISNUMBER(SEARCH('Référentiel entourage'!$B$4,O41)),'Référentiel entourage'!$A$4,""),IF(ISNUMBER(SEARCH('Référentiel entourage'!$B$5,O41)),'Référentiel entourage'!$A$5,""),IF(ISNUMBER(SEARCH('Référentiel entourage'!$B$6,O41)),'Référentiel entourage'!$A$6,""),IF(ISNUMBER(SEARCH('Référentiel entourage'!$B$7,O41)),'Référentiel entourage'!$A$7,""),IF(ISNUMBER(SEARCH('Référentiel entourage'!$B$8,O41)),'Référentiel entourage'!$A$8,""),IF(ISNUMBER(SEARCH('Référentiel entourage'!$B$9,O41)),'Référentiel entourage'!$A$9,""),IF(ISNUMBER(SEARCH('Référentiel entourage'!$B$10,O41)),'Référentiel entourage'!$A$10,""),IF(ISNUMBER(SEARCH('Référentiel entourage'!$B$11,O41)),'Référentiel entourage'!$A$11,""),IF(ISNUMBER(SEARCH('Référentiel entourage'!$B$12,O41)),'Référentiel entourage'!$A$12,""),IF(ISNUMBER(SEARCH('Référentiel entourage'!$B$13,O41)),'Référentiel entourage'!$A$13,""),IF(ISNUMBER(SEARCH('Référentiel entourage'!$B$14,O41)),'Référentiel entourage'!$A$14,""),IF(ISNUMBER(SEARCH('Référentiel entourage'!$B$15,O41)),'Référentiel entourage'!$A$15,""),IF(ISNUMBER(SEARCH('Référentiel entourage'!$B$16,O41)),'Référentiel entourage'!$A$16,""),IF(ISNUMBER(SEARCH('Référentiel entourage'!$B$17,O41)),'Référentiel entourage'!$A$17,""),IF(ISNUMBER(SEARCH('Référentiel entourage'!$B$18,O41)),'Référentiel entourage'!$A$18,""),IF(ISNUMBER(SEARCH('Référentiel entourage'!$B$19,O41)),'Référentiel entourage'!$A$19,""),IF(ISNUMBER(SEARCH('Référentiel entourage'!$B$20,O41)),'Référentiel entourage'!$A$20,""),IF(ISNUMBER(SEARCH('Référentiel entourage'!$B$21,O41)),'Référentiel entourage'!$A$21,""),IF(ISNUMBER(SEARCH('Référentiel entourage'!$B$22,O41)),'Référentiel entourage'!$A$22,""),IF(ISNUMBER(SEARCH('Référentiel entourage'!$B$23,O41)),'Référentiel entourage'!$A$23,""),IF(ISNUMBER(SEARCH('Référentiel entourage'!$B$24,O41)),'Référentiel entourage'!$A$24,"")))</f>
        <v>pers-margit-carstensen; pers-gottfried-john; pers-brigitte-mira; pers-hanna-schygulla; pers-elisabeth-trissenaar</v>
      </c>
      <c r="AD41" s="6" t="str">
        <f>_xlfn.LET(_xlpm.texte,_xlfn.TEXTJOIN(" | ",TRUE,H41:N41,P41),IF(_xlpm.texte="","",_xlfn.TEXTJOIN(";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pers-juliane-lorenz; pers-peer-raben</v>
      </c>
    </row>
    <row r="42" spans="1:30" ht="409.6">
      <c r="A42" s="28" t="s">
        <v>291</v>
      </c>
      <c r="B42" s="28" t="s">
        <v>292</v>
      </c>
      <c r="C42" s="28" t="s">
        <v>292</v>
      </c>
      <c r="D42" s="38">
        <v>1981</v>
      </c>
      <c r="E42" s="28" t="s">
        <v>42</v>
      </c>
      <c r="F42" s="29">
        <v>115</v>
      </c>
      <c r="G42" s="28" t="s">
        <v>33</v>
      </c>
      <c r="H42" s="28" t="s">
        <v>34</v>
      </c>
      <c r="I42" s="28" t="s">
        <v>758</v>
      </c>
      <c r="J42" s="28" t="s">
        <v>759</v>
      </c>
      <c r="K42" s="28" t="s">
        <v>760</v>
      </c>
      <c r="L42" s="28"/>
      <c r="M42" s="28" t="s">
        <v>173</v>
      </c>
      <c r="N42" s="28" t="s">
        <v>761</v>
      </c>
      <c r="O42" s="28" t="s">
        <v>762</v>
      </c>
      <c r="P42" s="28" t="s">
        <v>763</v>
      </c>
      <c r="Q42" s="28" t="s">
        <v>843</v>
      </c>
      <c r="R42" s="28"/>
      <c r="S42" s="28" t="s">
        <v>788</v>
      </c>
      <c r="T42" s="28"/>
      <c r="U42" s="28" t="s">
        <v>293</v>
      </c>
      <c r="V42" s="28"/>
      <c r="W42" s="28"/>
      <c r="X42" s="28" t="s">
        <v>294</v>
      </c>
      <c r="Y42" s="28"/>
      <c r="Z42" s="28" t="s">
        <v>764</v>
      </c>
      <c r="AA42" s="28" t="s">
        <v>45</v>
      </c>
      <c r="AB42" s="1" t="s">
        <v>295</v>
      </c>
      <c r="AC42" s="6" t="str">
        <f>IF(O42="","",_xlfn.TEXTJOIN("; ",TRUE,IF(ISNUMBER(SEARCH('Référentiel entourage'!$B$2,O42)),'Référentiel entourage'!$A$2,""),IF(ISNUMBER(SEARCH('Référentiel entourage'!$B$3,O42)),'Référentiel entourage'!$A$3,""),IF(ISNUMBER(SEARCH('Référentiel entourage'!$B$4,O42)),'Référentiel entourage'!$A$4,""),IF(ISNUMBER(SEARCH('Référentiel entourage'!$B$5,O42)),'Référentiel entourage'!$A$5,""),IF(ISNUMBER(SEARCH('Référentiel entourage'!$B$6,O42)),'Référentiel entourage'!$A$6,""),IF(ISNUMBER(SEARCH('Référentiel entourage'!$B$7,O42)),'Référentiel entourage'!$A$7,""),IF(ISNUMBER(SEARCH('Référentiel entourage'!$B$8,O42)),'Référentiel entourage'!$A$8,""),IF(ISNUMBER(SEARCH('Référentiel entourage'!$B$9,O42)),'Référentiel entourage'!$A$9,""),IF(ISNUMBER(SEARCH('Référentiel entourage'!$B$10,O42)),'Référentiel entourage'!$A$10,""),IF(ISNUMBER(SEARCH('Référentiel entourage'!$B$11,O42)),'Référentiel entourage'!$A$11,""),IF(ISNUMBER(SEARCH('Référentiel entourage'!$B$12,O42)),'Référentiel entourage'!$A$12,""),IF(ISNUMBER(SEARCH('Référentiel entourage'!$B$13,O42)),'Référentiel entourage'!$A$13,""),IF(ISNUMBER(SEARCH('Référentiel entourage'!$B$14,O42)),'Référentiel entourage'!$A$14,""),IF(ISNUMBER(SEARCH('Référentiel entourage'!$B$15,O42)),'Référentiel entourage'!$A$15,""),IF(ISNUMBER(SEARCH('Référentiel entourage'!$B$16,O42)),'Référentiel entourage'!$A$16,""),IF(ISNUMBER(SEARCH('Référentiel entourage'!$B$17,O42)),'Référentiel entourage'!$A$17,""),IF(ISNUMBER(SEARCH('Référentiel entourage'!$B$18,O42)),'Référentiel entourage'!$A$18,""),IF(ISNUMBER(SEARCH('Référentiel entourage'!$B$19,O42)),'Référentiel entourage'!$A$19,""),IF(ISNUMBER(SEARCH('Référentiel entourage'!$B$20,O42)),'Référentiel entourage'!$A$20,""),IF(ISNUMBER(SEARCH('Référentiel entourage'!$B$21,O42)),'Référentiel entourage'!$A$21,""),IF(ISNUMBER(SEARCH('Référentiel entourage'!$B$22,O42)),'Référentiel entourage'!$A$22,""),IF(ISNUMBER(SEARCH('Référentiel entourage'!$B$23,O42)),'Référentiel entourage'!$A$23,""),IF(ISNUMBER(SEARCH('Référentiel entourage'!$B$24,O42)),'Référentiel entourage'!$A$24,"")))</f>
        <v>pers-hark-bohm; pers-peter-chatel; pers-lilo-pempeit; pers-gottfried-john; pers-irm-hermann; pers-brigitte-mira; pers-hanna-schygulla</v>
      </c>
      <c r="AD42" s="6" t="str">
        <f>_xlfn.LET(_xlpm.texte,_xlfn.TEXTJOIN(" | ",TRUE,H42:N42,P42),IF(_xlpm.texte="","",_xlfn.TEXTJOIN(";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pers-michael-ballhaus; pers-juliane-lorenz; pers-peer-raben</v>
      </c>
    </row>
    <row r="43" spans="1:30" ht="76">
      <c r="A43" s="28" t="s">
        <v>296</v>
      </c>
      <c r="B43" s="28" t="s">
        <v>297</v>
      </c>
      <c r="C43" s="28" t="s">
        <v>765</v>
      </c>
      <c r="D43" s="38">
        <v>1981</v>
      </c>
      <c r="E43" s="28" t="s">
        <v>298</v>
      </c>
      <c r="F43" s="29">
        <v>91</v>
      </c>
      <c r="G43" s="28" t="s">
        <v>33</v>
      </c>
      <c r="H43" s="28" t="s">
        <v>34</v>
      </c>
      <c r="I43" s="28" t="s">
        <v>34</v>
      </c>
      <c r="J43" s="28"/>
      <c r="K43" s="28"/>
      <c r="L43" s="28"/>
      <c r="M43" s="28"/>
      <c r="N43" s="28" t="s">
        <v>766</v>
      </c>
      <c r="O43" s="28"/>
      <c r="P43" s="28" t="s">
        <v>767</v>
      </c>
      <c r="Q43" s="28" t="s">
        <v>768</v>
      </c>
      <c r="R43" s="28"/>
      <c r="S43" s="28"/>
      <c r="T43" s="28"/>
      <c r="U43" s="28"/>
      <c r="V43" s="28"/>
      <c r="W43" s="28"/>
      <c r="X43" s="28" t="s">
        <v>294</v>
      </c>
      <c r="Y43" s="28"/>
      <c r="Z43" s="28" t="s">
        <v>769</v>
      </c>
      <c r="AA43" s="28" t="s">
        <v>45</v>
      </c>
      <c r="AB43" s="1" t="s">
        <v>299</v>
      </c>
      <c r="AC43" s="6" t="str">
        <f>IF(O43="","",_xlfn.TEXTJOIN("; ",TRUE,IF(ISNUMBER(SEARCH('Référentiel entourage'!$B$2,O43)),'Référentiel entourage'!$A$2,""),IF(ISNUMBER(SEARCH('Référentiel entourage'!$B$3,O43)),'Référentiel entourage'!$A$3,""),IF(ISNUMBER(SEARCH('Référentiel entourage'!$B$4,O43)),'Référentiel entourage'!$A$4,""),IF(ISNUMBER(SEARCH('Référentiel entourage'!$B$5,O43)),'Référentiel entourage'!$A$5,""),IF(ISNUMBER(SEARCH('Référentiel entourage'!$B$6,O43)),'Référentiel entourage'!$A$6,""),IF(ISNUMBER(SEARCH('Référentiel entourage'!$B$7,O43)),'Référentiel entourage'!$A$7,""),IF(ISNUMBER(SEARCH('Référentiel entourage'!$B$8,O43)),'Référentiel entourage'!$A$8,""),IF(ISNUMBER(SEARCH('Référentiel entourage'!$B$9,O43)),'Référentiel entourage'!$A$9,""),IF(ISNUMBER(SEARCH('Référentiel entourage'!$B$10,O43)),'Référentiel entourage'!$A$10,""),IF(ISNUMBER(SEARCH('Référentiel entourage'!$B$11,O43)),'Référentiel entourage'!$A$11,""),IF(ISNUMBER(SEARCH('Référentiel entourage'!$B$12,O43)),'Référentiel entourage'!$A$12,""),IF(ISNUMBER(SEARCH('Référentiel entourage'!$B$13,O43)),'Référentiel entourage'!$A$13,""),IF(ISNUMBER(SEARCH('Référentiel entourage'!$B$14,O43)),'Référentiel entourage'!$A$14,""),IF(ISNUMBER(SEARCH('Référentiel entourage'!$B$15,O43)),'Référentiel entourage'!$A$15,""),IF(ISNUMBER(SEARCH('Référentiel entourage'!$B$16,O43)),'Référentiel entourage'!$A$16,""),IF(ISNUMBER(SEARCH('Référentiel entourage'!$B$17,O43)),'Référentiel entourage'!$A$17,""),IF(ISNUMBER(SEARCH('Référentiel entourage'!$B$18,O43)),'Référentiel entourage'!$A$18,""),IF(ISNUMBER(SEARCH('Référentiel entourage'!$B$19,O43)),'Référentiel entourage'!$A$19,""),IF(ISNUMBER(SEARCH('Référentiel entourage'!$B$20,O43)),'Référentiel entourage'!$A$20,""),IF(ISNUMBER(SEARCH('Référentiel entourage'!$B$21,O43)),'Référentiel entourage'!$A$21,""),IF(ISNUMBER(SEARCH('Référentiel entourage'!$B$22,O43)),'Référentiel entourage'!$A$22,""),IF(ISNUMBER(SEARCH('Référentiel entourage'!$B$23,O43)),'Référentiel entourage'!$A$23,""),IF(ISNUMBER(SEARCH('Référentiel entourage'!$B$24,O43)),'Référentiel entourage'!$A$24,"")))</f>
        <v/>
      </c>
      <c r="AD43" s="6" t="str">
        <f>_xlfn.LET(_xlpm.texte,_xlfn.TEXTJOIN(" | ",TRUE,H43:N43,P43),IF(_xlpm.texte="","",_xlfn.TEXTJOIN(";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44" spans="1:30" ht="304">
      <c r="A44" s="28" t="s">
        <v>300</v>
      </c>
      <c r="B44" s="28" t="s">
        <v>301</v>
      </c>
      <c r="C44" s="28" t="s">
        <v>770</v>
      </c>
      <c r="D44" s="38">
        <v>1981</v>
      </c>
      <c r="E44" s="28" t="s">
        <v>42</v>
      </c>
      <c r="F44" s="29">
        <v>113</v>
      </c>
      <c r="G44" s="28" t="s">
        <v>33</v>
      </c>
      <c r="H44" s="28" t="s">
        <v>34</v>
      </c>
      <c r="I44" s="28" t="s">
        <v>771</v>
      </c>
      <c r="J44" s="28" t="s">
        <v>753</v>
      </c>
      <c r="K44" s="28" t="s">
        <v>760</v>
      </c>
      <c r="L44" s="28"/>
      <c r="M44" s="28" t="s">
        <v>772</v>
      </c>
      <c r="N44" s="28" t="s">
        <v>773</v>
      </c>
      <c r="O44" s="28" t="s">
        <v>774</v>
      </c>
      <c r="P44" s="28" t="s">
        <v>775</v>
      </c>
      <c r="Q44" s="28" t="s">
        <v>776</v>
      </c>
      <c r="R44" s="28"/>
      <c r="S44" s="28"/>
      <c r="T44" s="28"/>
      <c r="U44" s="28" t="s">
        <v>302</v>
      </c>
      <c r="V44" s="28"/>
      <c r="W44" s="28"/>
      <c r="X44" s="28" t="s">
        <v>294</v>
      </c>
      <c r="Y44" s="28"/>
      <c r="Z44" s="28" t="s">
        <v>777</v>
      </c>
      <c r="AA44" s="28" t="s">
        <v>45</v>
      </c>
      <c r="AB44" s="1" t="s">
        <v>303</v>
      </c>
      <c r="AC44" s="6" t="str">
        <f>IF(O44="","",_xlfn.TEXTJOIN("; ",TRUE,IF(ISNUMBER(SEARCH('Référentiel entourage'!$B$2,O44)),'Référentiel entourage'!$A$2,""),IF(ISNUMBER(SEARCH('Référentiel entourage'!$B$3,O44)),'Référentiel entourage'!$A$3,""),IF(ISNUMBER(SEARCH('Référentiel entourage'!$B$4,O44)),'Référentiel entourage'!$A$4,""),IF(ISNUMBER(SEARCH('Référentiel entourage'!$B$5,O44)),'Référentiel entourage'!$A$5,""),IF(ISNUMBER(SEARCH('Référentiel entourage'!$B$6,O44)),'Référentiel entourage'!$A$6,""),IF(ISNUMBER(SEARCH('Référentiel entourage'!$B$7,O44)),'Référentiel entourage'!$A$7,""),IF(ISNUMBER(SEARCH('Référentiel entourage'!$B$8,O44)),'Référentiel entourage'!$A$8,""),IF(ISNUMBER(SEARCH('Référentiel entourage'!$B$9,O44)),'Référentiel entourage'!$A$9,""),IF(ISNUMBER(SEARCH('Référentiel entourage'!$B$10,O44)),'Référentiel entourage'!$A$10,""),IF(ISNUMBER(SEARCH('Référentiel entourage'!$B$11,O44)),'Référentiel entourage'!$A$11,""),IF(ISNUMBER(SEARCH('Référentiel entourage'!$B$12,O44)),'Référentiel entourage'!$A$12,""),IF(ISNUMBER(SEARCH('Référentiel entourage'!$B$13,O44)),'Référentiel entourage'!$A$13,""),IF(ISNUMBER(SEARCH('Référentiel entourage'!$B$14,O44)),'Référentiel entourage'!$A$14,""),IF(ISNUMBER(SEARCH('Référentiel entourage'!$B$15,O44)),'Référentiel entourage'!$A$15,""),IF(ISNUMBER(SEARCH('Référentiel entourage'!$B$16,O44)),'Référentiel entourage'!$A$16,""),IF(ISNUMBER(SEARCH('Référentiel entourage'!$B$17,O44)),'Référentiel entourage'!$A$17,""),IF(ISNUMBER(SEARCH('Référentiel entourage'!$B$18,O44)),'Référentiel entourage'!$A$18,""),IF(ISNUMBER(SEARCH('Référentiel entourage'!$B$19,O44)),'Référentiel entourage'!$A$19,""),IF(ISNUMBER(SEARCH('Référentiel entourage'!$B$20,O44)),'Référentiel entourage'!$A$20,""),IF(ISNUMBER(SEARCH('Référentiel entourage'!$B$21,O44)),'Référentiel entourage'!$A$21,""),IF(ISNUMBER(SEARCH('Référentiel entourage'!$B$22,O44)),'Référentiel entourage'!$A$22,""),IF(ISNUMBER(SEARCH('Référentiel entourage'!$B$23,O44)),'Référentiel entourage'!$A$23,""),IF(ISNUMBER(SEARCH('Référentiel entourage'!$B$24,O44)),'Référentiel entourage'!$A$24,"")))</f>
        <v>pers-hark-bohm; pers-gunther-kaufmann</v>
      </c>
      <c r="AD44" s="6" t="str">
        <f>_xlfn.LET(_xlpm.texte,_xlfn.TEXTJOIN(" | ",TRUE,H44:N44,P44),IF(_xlpm.texte="","",_xlfn.TEXTJOIN(";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pers-juliane-lorenz; pers-peer-raben</v>
      </c>
    </row>
    <row r="45" spans="1:30" ht="380">
      <c r="A45" s="28" t="s">
        <v>304</v>
      </c>
      <c r="B45" s="28" t="s">
        <v>305</v>
      </c>
      <c r="C45" s="28" t="s">
        <v>306</v>
      </c>
      <c r="D45" s="38">
        <v>1981</v>
      </c>
      <c r="E45" s="28" t="s">
        <v>42</v>
      </c>
      <c r="F45" s="29"/>
      <c r="G45" s="28" t="s">
        <v>33</v>
      </c>
      <c r="H45" s="28" t="s">
        <v>34</v>
      </c>
      <c r="I45" s="28"/>
      <c r="J45" s="28"/>
      <c r="K45" s="28"/>
      <c r="L45" s="28"/>
      <c r="M45" s="28"/>
      <c r="N45" s="28"/>
      <c r="O45" s="28" t="s">
        <v>778</v>
      </c>
      <c r="P45" s="28"/>
      <c r="Q45" s="28" t="s">
        <v>779</v>
      </c>
      <c r="R45" s="28"/>
      <c r="S45" s="28"/>
      <c r="T45" s="28"/>
      <c r="U45" s="28" t="s">
        <v>307</v>
      </c>
      <c r="V45" s="28"/>
      <c r="W45" s="28"/>
      <c r="X45" s="28" t="s">
        <v>294</v>
      </c>
      <c r="Y45" s="28"/>
      <c r="Z45" s="28" t="s">
        <v>780</v>
      </c>
      <c r="AA45" s="28" t="s">
        <v>45</v>
      </c>
      <c r="AB45" s="1" t="s">
        <v>308</v>
      </c>
      <c r="AC45" s="6" t="str">
        <f>IF(O45="","",_xlfn.TEXTJOIN("; ",TRUE,IF(ISNUMBER(SEARCH('Référentiel entourage'!$B$2,O45)),'Référentiel entourage'!$A$2,""),IF(ISNUMBER(SEARCH('Référentiel entourage'!$B$3,O45)),'Référentiel entourage'!$A$3,""),IF(ISNUMBER(SEARCH('Référentiel entourage'!$B$4,O45)),'Référentiel entourage'!$A$4,""),IF(ISNUMBER(SEARCH('Référentiel entourage'!$B$5,O45)),'Référentiel entourage'!$A$5,""),IF(ISNUMBER(SEARCH('Référentiel entourage'!$B$6,O45)),'Référentiel entourage'!$A$6,""),IF(ISNUMBER(SEARCH('Référentiel entourage'!$B$7,O45)),'Référentiel entourage'!$A$7,""),IF(ISNUMBER(SEARCH('Référentiel entourage'!$B$8,O45)),'Référentiel entourage'!$A$8,""),IF(ISNUMBER(SEARCH('Référentiel entourage'!$B$9,O45)),'Référentiel entourage'!$A$9,""),IF(ISNUMBER(SEARCH('Référentiel entourage'!$B$10,O45)),'Référentiel entourage'!$A$10,""),IF(ISNUMBER(SEARCH('Référentiel entourage'!$B$11,O45)),'Référentiel entourage'!$A$11,""),IF(ISNUMBER(SEARCH('Référentiel entourage'!$B$12,O45)),'Référentiel entourage'!$A$12,""),IF(ISNUMBER(SEARCH('Référentiel entourage'!$B$13,O45)),'Référentiel entourage'!$A$13,""),IF(ISNUMBER(SEARCH('Référentiel entourage'!$B$14,O45)),'Référentiel entourage'!$A$14,""),IF(ISNUMBER(SEARCH('Référentiel entourage'!$B$15,O45)),'Référentiel entourage'!$A$15,""),IF(ISNUMBER(SEARCH('Référentiel entourage'!$B$16,O45)),'Référentiel entourage'!$A$16,""),IF(ISNUMBER(SEARCH('Référentiel entourage'!$B$17,O45)),'Référentiel entourage'!$A$17,""),IF(ISNUMBER(SEARCH('Référentiel entourage'!$B$18,O45)),'Référentiel entourage'!$A$18,""),IF(ISNUMBER(SEARCH('Référentiel entourage'!$B$19,O45)),'Référentiel entourage'!$A$19,""),IF(ISNUMBER(SEARCH('Référentiel entourage'!$B$20,O45)),'Référentiel entourage'!$A$20,""),IF(ISNUMBER(SEARCH('Référentiel entourage'!$B$21,O45)),'Référentiel entourage'!$A$21,""),IF(ISNUMBER(SEARCH('Référentiel entourage'!$B$22,O45)),'Référentiel entourage'!$A$22,""),IF(ISNUMBER(SEARCH('Référentiel entourage'!$B$23,O45)),'Référentiel entourage'!$A$23,""),IF(ISNUMBER(SEARCH('Référentiel entourage'!$B$24,O45)),'Référentiel entourage'!$A$24,"")))</f>
        <v>pers-lilo-pempeit; pers-gunther-kaufmann</v>
      </c>
      <c r="AD45" s="6" t="str">
        <f>_xlfn.LET(_xlpm.texte,_xlfn.TEXTJOIN(" | ",TRUE,H45:N45,P45),IF(_xlpm.texte="","",_xlfn.TEXTJOIN(";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
      </c>
    </row>
    <row r="46" spans="1:30" ht="342">
      <c r="A46" s="28" t="s">
        <v>309</v>
      </c>
      <c r="B46" s="28" t="s">
        <v>310</v>
      </c>
      <c r="C46" s="28" t="s">
        <v>310</v>
      </c>
      <c r="D46" s="38">
        <v>1982</v>
      </c>
      <c r="E46" s="28" t="s">
        <v>42</v>
      </c>
      <c r="F46" s="29">
        <v>107</v>
      </c>
      <c r="G46" s="28" t="s">
        <v>223</v>
      </c>
      <c r="H46" s="28" t="s">
        <v>34</v>
      </c>
      <c r="I46" s="28" t="s">
        <v>781</v>
      </c>
      <c r="J46" s="28" t="s">
        <v>753</v>
      </c>
      <c r="K46" s="28" t="s">
        <v>760</v>
      </c>
      <c r="L46" s="28" t="s">
        <v>782</v>
      </c>
      <c r="M46" s="28" t="s">
        <v>173</v>
      </c>
      <c r="N46" s="28" t="s">
        <v>783</v>
      </c>
      <c r="O46" s="28" t="s">
        <v>784</v>
      </c>
      <c r="P46" s="28" t="s">
        <v>785</v>
      </c>
      <c r="Q46" s="28" t="s">
        <v>786</v>
      </c>
      <c r="R46" s="28"/>
      <c r="S46" s="28"/>
      <c r="T46" s="28"/>
      <c r="U46" s="28" t="s">
        <v>311</v>
      </c>
      <c r="V46" s="28"/>
      <c r="W46" s="28"/>
      <c r="X46" s="28" t="s">
        <v>312</v>
      </c>
      <c r="Y46" s="28"/>
      <c r="Z46" s="28" t="s">
        <v>787</v>
      </c>
      <c r="AA46" s="28" t="s">
        <v>45</v>
      </c>
      <c r="AB46" s="1" t="s">
        <v>313</v>
      </c>
      <c r="AC46" s="6" t="str">
        <f>IF(O46="","",_xlfn.TEXTJOIN("; ",TRUE,IF(ISNUMBER(SEARCH('Référentiel entourage'!$B$2,O46)),'Référentiel entourage'!$A$2,""),IF(ISNUMBER(SEARCH('Référentiel entourage'!$B$3,O46)),'Référentiel entourage'!$A$3,""),IF(ISNUMBER(SEARCH('Référentiel entourage'!$B$4,O46)),'Référentiel entourage'!$A$4,""),IF(ISNUMBER(SEARCH('Référentiel entourage'!$B$5,O46)),'Référentiel entourage'!$A$5,""),IF(ISNUMBER(SEARCH('Référentiel entourage'!$B$6,O46)),'Référentiel entourage'!$A$6,""),IF(ISNUMBER(SEARCH('Référentiel entourage'!$B$7,O46)),'Référentiel entourage'!$A$7,""),IF(ISNUMBER(SEARCH('Référentiel entourage'!$B$8,O46)),'Référentiel entourage'!$A$8,""),IF(ISNUMBER(SEARCH('Référentiel entourage'!$B$9,O46)),'Référentiel entourage'!$A$9,""),IF(ISNUMBER(SEARCH('Référentiel entourage'!$B$10,O46)),'Référentiel entourage'!$A$10,""),IF(ISNUMBER(SEARCH('Référentiel entourage'!$B$11,O46)),'Référentiel entourage'!$A$11,""),IF(ISNUMBER(SEARCH('Référentiel entourage'!$B$12,O46)),'Référentiel entourage'!$A$12,""),IF(ISNUMBER(SEARCH('Référentiel entourage'!$B$13,O46)),'Référentiel entourage'!$A$13,""),IF(ISNUMBER(SEARCH('Référentiel entourage'!$B$14,O46)),'Référentiel entourage'!$A$14,""),IF(ISNUMBER(SEARCH('Référentiel entourage'!$B$15,O46)),'Référentiel entourage'!$A$15,""),IF(ISNUMBER(SEARCH('Référentiel entourage'!$B$16,O46)),'Référentiel entourage'!$A$16,""),IF(ISNUMBER(SEARCH('Référentiel entourage'!$B$17,O46)),'Référentiel entourage'!$A$17,""),IF(ISNUMBER(SEARCH('Référentiel entourage'!$B$18,O46)),'Référentiel entourage'!$A$18,""),IF(ISNUMBER(SEARCH('Référentiel entourage'!$B$19,O46)),'Référentiel entourage'!$A$19,""),IF(ISNUMBER(SEARCH('Référentiel entourage'!$B$20,O46)),'Référentiel entourage'!$A$20,""),IF(ISNUMBER(SEARCH('Référentiel entourage'!$B$21,O46)),'Référentiel entourage'!$A$21,""),IF(ISNUMBER(SEARCH('Référentiel entourage'!$B$22,O46)),'Référentiel entourage'!$A$22,""),IF(ISNUMBER(SEARCH('Référentiel entourage'!$B$23,O46)),'Référentiel entourage'!$A$23,""),IF(ISNUMBER(SEARCH('Référentiel entourage'!$B$24,O46)),'Référentiel entourage'!$A$24,"")))</f>
        <v>pers-gunther-kaufmann</v>
      </c>
      <c r="AD46" s="6" t="str">
        <f>_xlfn.LET(_xlpm.texte,_xlfn.TEXTJOIN(" | ",TRUE,H46:N46,P46),IF(_xlpm.texte="","",_xlfn.TEXTJOIN("; ",TRUE,IF(ISNUMBER(SEARCH('Référentiel entourage'!$B$2,_xlpm.texte)),'Référentiel entourage'!$A$2,""),IF(ISNUMBER(SEARCH('Référentiel entourage'!$B$3,_xlpm.texte)),'Référentiel entourage'!$A$3,""),IF(ISNUMBER(SEARCH('Référentiel entourage'!$B$4,_xlpm.texte)),'Référentiel entourage'!$A$4,""),IF(ISNUMBER(SEARCH('Référentiel entourage'!$B$5,_xlpm.texte)),'Référentiel entourage'!$A$5,""),IF(ISNUMBER(SEARCH('Référentiel entourage'!$B$6,_xlpm.texte)),'Référentiel entourage'!$A$6,""),IF(ISNUMBER(SEARCH('Référentiel entourage'!$B$7,_xlpm.texte)),'Référentiel entourage'!$A$7,""),IF(ISNUMBER(SEARCH('Référentiel entourage'!$B$8,_xlpm.texte)),'Référentiel entourage'!$A$8,""),IF(ISNUMBER(SEARCH('Référentiel entourage'!$B$9,_xlpm.texte)),'Référentiel entourage'!$A$9,""),IF(ISNUMBER(SEARCH('Référentiel entourage'!$B$10,_xlpm.texte)),'Référentiel entourage'!$A$10,""),IF(ISNUMBER(SEARCH('Référentiel entourage'!$B$11,_xlpm.texte)),'Référentiel entourage'!$A$11,""),IF(ISNUMBER(SEARCH('Référentiel entourage'!$B$12,_xlpm.texte)),'Référentiel entourage'!$A$12,""),IF(ISNUMBER(SEARCH('Référentiel entourage'!$B$13,_xlpm.texte)),'Référentiel entourage'!$A$13,""),IF(ISNUMBER(SEARCH('Référentiel entourage'!$B$14,_xlpm.texte)),'Référentiel entourage'!$A$14,""),IF(ISNUMBER(SEARCH('Référentiel entourage'!$B$15,_xlpm.texte)),'Référentiel entourage'!$A$15,""),IF(ISNUMBER(SEARCH('Référentiel entourage'!$B$16,_xlpm.texte)),'Référentiel entourage'!$A$16,""),IF(ISNUMBER(SEARCH('Référentiel entourage'!$B$17,_xlpm.texte)),'Référentiel entourage'!$A$17,""),IF(ISNUMBER(SEARCH('Référentiel entourage'!$B$18,_xlpm.texte)),'Référentiel entourage'!$A$18,""),IF(ISNUMBER(SEARCH('Référentiel entourage'!$B$19,_xlpm.texte)),'Référentiel entourage'!$A$19,""),IF(ISNUMBER(SEARCH('Référentiel entourage'!$B$20,_xlpm.texte)),'Référentiel entourage'!$A$20,""),IF(ISNUMBER(SEARCH('Référentiel entourage'!$B$21,_xlpm.texte)),'Référentiel entourage'!$A$21,""),IF(ISNUMBER(SEARCH('Référentiel entourage'!$B$22,_xlpm.texte)),'Référentiel entourage'!$A$22,""),IF(ISNUMBER(SEARCH('Référentiel entourage'!$B$23,_xlpm.texte)),'Référentiel entourage'!$A$23,""),IF(ISNUMBER(SEARCH('Référentiel entourage'!$B$24,_xlpm.texte)),'Référentiel entourage'!$A$24,""))))</f>
        <v>pers-michael-fengler; pers-juliane-lorenz; pers-kurt-raab; pers-peer-raben</v>
      </c>
    </row>
  </sheetData>
  <conditionalFormatting sqref="A5:T23 V5:AA23">
    <cfRule type="expression" dxfId="1" priority="3">
      <formula>MOD(ROW(),2)=0</formula>
    </cfRule>
  </conditionalFormatting>
  <conditionalFormatting sqref="H2:H4">
    <cfRule type="expression" dxfId="0" priority="1">
      <formula>MOD(ROW(),2)=0</formula>
    </cfRule>
  </conditionalFormatting>
  <dataValidations count="1">
    <dataValidation type="list" sqref="AA5:AA23" xr:uid="{00000000-0002-0000-0000-000000000000}">
      <formula1>"À compléter,Partiellement documenté,Documenté,Validé"</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3203125" defaultRowHeight="14"/>
  <cols>
    <col min="1" max="2" width="22" customWidth="1"/>
  </cols>
  <sheetData>
    <row r="1" spans="1:2" ht="15">
      <c r="A1" s="2" t="s">
        <v>314</v>
      </c>
      <c r="B1" s="2" t="s">
        <v>315</v>
      </c>
    </row>
    <row r="2" spans="1:2">
      <c r="A2" t="s">
        <v>42</v>
      </c>
      <c r="B2" t="s">
        <v>45</v>
      </c>
    </row>
    <row r="3" spans="1:2">
      <c r="A3" t="s">
        <v>316</v>
      </c>
      <c r="B3" t="s">
        <v>317</v>
      </c>
    </row>
    <row r="4" spans="1:2">
      <c r="A4" t="s">
        <v>67</v>
      </c>
      <c r="B4" t="s">
        <v>318</v>
      </c>
    </row>
    <row r="5" spans="1:2">
      <c r="A5" t="s">
        <v>101</v>
      </c>
      <c r="B5" t="s">
        <v>319</v>
      </c>
    </row>
    <row r="6" spans="1:2">
      <c r="A6" t="s">
        <v>320</v>
      </c>
    </row>
    <row r="7" spans="1:2">
      <c r="A7" t="s">
        <v>321</v>
      </c>
    </row>
    <row r="8" spans="1:2">
      <c r="A8" t="s">
        <v>322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selection sqref="A1:B1"/>
    </sheetView>
  </sheetViews>
  <sheetFormatPr baseColWidth="10" defaultColWidth="8.83203125" defaultRowHeight="14"/>
  <cols>
    <col min="1" max="1" width="28" customWidth="1"/>
    <col min="2" max="2" width="85" customWidth="1"/>
  </cols>
  <sheetData>
    <row r="1" spans="1:2" ht="107" customHeight="1">
      <c r="A1" s="41" t="s">
        <v>323</v>
      </c>
      <c r="B1" s="41"/>
    </row>
    <row r="2" spans="1:2" ht="133" customHeight="1">
      <c r="A2" s="3" t="s">
        <v>324</v>
      </c>
      <c r="B2" s="1" t="s">
        <v>325</v>
      </c>
    </row>
    <row r="3" spans="1:2" ht="133" customHeight="1">
      <c r="A3" s="3" t="s">
        <v>326</v>
      </c>
      <c r="B3" s="1" t="s">
        <v>327</v>
      </c>
    </row>
    <row r="4" spans="1:2" ht="133" customHeight="1">
      <c r="A4" s="3" t="s">
        <v>328</v>
      </c>
      <c r="B4" s="1" t="s">
        <v>329</v>
      </c>
    </row>
    <row r="5" spans="1:2" ht="133" customHeight="1">
      <c r="A5" s="3" t="s">
        <v>17</v>
      </c>
      <c r="B5" s="1" t="s">
        <v>330</v>
      </c>
    </row>
    <row r="6" spans="1:2" ht="133" customHeight="1">
      <c r="A6" s="3" t="s">
        <v>331</v>
      </c>
      <c r="B6" s="1" t="s">
        <v>332</v>
      </c>
    </row>
    <row r="7" spans="1:2" ht="133" customHeight="1">
      <c r="A7" s="3" t="s">
        <v>23</v>
      </c>
      <c r="B7" s="1" t="s">
        <v>333</v>
      </c>
    </row>
    <row r="8" spans="1:2" ht="133" customHeight="1">
      <c r="A8" s="3" t="s">
        <v>14</v>
      </c>
      <c r="B8" s="1" t="s">
        <v>334</v>
      </c>
    </row>
    <row r="9" spans="1:2" ht="133" customHeight="1">
      <c r="A9" s="3" t="s">
        <v>15</v>
      </c>
      <c r="B9" s="1" t="s">
        <v>335</v>
      </c>
    </row>
    <row r="10" spans="1:2" ht="133" customHeight="1">
      <c r="A10" s="3" t="s">
        <v>19</v>
      </c>
      <c r="B10" s="1" t="s">
        <v>336</v>
      </c>
    </row>
    <row r="11" spans="1:2" ht="133" customHeight="1">
      <c r="A11" s="3" t="s">
        <v>0</v>
      </c>
      <c r="B11" s="1" t="s">
        <v>337</v>
      </c>
    </row>
    <row r="12" spans="1:2" ht="133" customHeight="1">
      <c r="A12" s="3" t="s">
        <v>26</v>
      </c>
      <c r="B12" s="1" t="s">
        <v>338</v>
      </c>
    </row>
    <row r="13" spans="1:2" ht="16">
      <c r="A13" s="4" t="s">
        <v>339</v>
      </c>
      <c r="B13" s="1" t="s">
        <v>340</v>
      </c>
    </row>
    <row r="14" spans="1:2" ht="16">
      <c r="A14" s="4" t="s">
        <v>341</v>
      </c>
      <c r="B14" s="1" t="s">
        <v>342</v>
      </c>
    </row>
    <row r="15" spans="1:2" ht="71" customHeight="1">
      <c r="A15" s="7" t="s">
        <v>343</v>
      </c>
      <c r="B15" s="1" t="s">
        <v>344</v>
      </c>
    </row>
    <row r="16" spans="1:2" ht="71" customHeight="1">
      <c r="A16" s="7" t="s">
        <v>345</v>
      </c>
      <c r="B16" s="1" t="s">
        <v>346</v>
      </c>
    </row>
    <row r="17" spans="1:2" ht="109" customHeight="1">
      <c r="A17" s="7" t="s">
        <v>14</v>
      </c>
      <c r="B17" s="1" t="s">
        <v>347</v>
      </c>
    </row>
    <row r="18" spans="1:2" ht="109" customHeight="1">
      <c r="A18" s="7" t="s">
        <v>15</v>
      </c>
      <c r="B18" s="1" t="s">
        <v>348</v>
      </c>
    </row>
    <row r="19" spans="1:2" ht="76" customHeight="1">
      <c r="A19" s="7" t="s">
        <v>349</v>
      </c>
      <c r="B19" s="1" t="s">
        <v>350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7"/>
  <sheetViews>
    <sheetView topLeftCell="A8" workbookViewId="0">
      <selection activeCell="C5" sqref="C5"/>
    </sheetView>
  </sheetViews>
  <sheetFormatPr baseColWidth="10" defaultColWidth="8.83203125" defaultRowHeight="14"/>
  <cols>
    <col min="1" max="1" width="26" customWidth="1"/>
    <col min="2" max="2" width="24" customWidth="1"/>
    <col min="3" max="4" width="18" customWidth="1"/>
    <col min="5" max="6" width="20" customWidth="1"/>
    <col min="7" max="14" width="34" customWidth="1"/>
  </cols>
  <sheetData>
    <row r="1" spans="1:14" ht="98">
      <c r="A1" s="11" t="s">
        <v>351</v>
      </c>
      <c r="B1" s="12" t="s">
        <v>352</v>
      </c>
      <c r="C1" s="12" t="s">
        <v>353</v>
      </c>
      <c r="D1" s="12" t="s">
        <v>354</v>
      </c>
      <c r="E1" s="12" t="s">
        <v>837</v>
      </c>
      <c r="F1" s="12" t="s">
        <v>355</v>
      </c>
      <c r="G1" s="12" t="s">
        <v>356</v>
      </c>
      <c r="H1" s="12" t="s">
        <v>357</v>
      </c>
      <c r="I1" s="12" t="s">
        <v>358</v>
      </c>
      <c r="J1" s="12" t="s">
        <v>359</v>
      </c>
      <c r="K1" s="13" t="s">
        <v>838</v>
      </c>
      <c r="L1" s="12" t="s">
        <v>839</v>
      </c>
      <c r="M1" s="14" t="s">
        <v>360</v>
      </c>
      <c r="N1" s="12" t="s">
        <v>361</v>
      </c>
    </row>
    <row r="2" spans="1:14" ht="156">
      <c r="A2" s="15" t="s">
        <v>362</v>
      </c>
      <c r="B2" s="16" t="s">
        <v>159</v>
      </c>
      <c r="C2" s="16" t="s">
        <v>363</v>
      </c>
      <c r="D2" s="16" t="s">
        <v>364</v>
      </c>
      <c r="E2" s="16"/>
      <c r="F2" s="16" t="s">
        <v>365</v>
      </c>
      <c r="G2" s="16" t="s">
        <v>366</v>
      </c>
      <c r="H2" s="16" t="s">
        <v>367</v>
      </c>
      <c r="I2" s="16" t="s">
        <v>368</v>
      </c>
      <c r="J2" s="16" t="s">
        <v>369</v>
      </c>
      <c r="K2" s="17" t="s">
        <v>370</v>
      </c>
      <c r="L2" s="16"/>
      <c r="M2" s="14" t="s">
        <v>371</v>
      </c>
      <c r="N2" s="16" t="s">
        <v>372</v>
      </c>
    </row>
    <row r="3" spans="1:14" ht="60">
      <c r="A3" s="15" t="s">
        <v>373</v>
      </c>
      <c r="B3" s="16" t="s">
        <v>374</v>
      </c>
      <c r="C3" s="16" t="s">
        <v>375</v>
      </c>
      <c r="D3" s="16" t="s">
        <v>376</v>
      </c>
      <c r="E3" s="16"/>
      <c r="F3" s="16" t="s">
        <v>377</v>
      </c>
      <c r="G3" s="16" t="s">
        <v>378</v>
      </c>
      <c r="H3" s="16" t="s">
        <v>379</v>
      </c>
      <c r="I3" s="16" t="s">
        <v>380</v>
      </c>
      <c r="J3" s="16" t="s">
        <v>381</v>
      </c>
      <c r="K3" s="17" t="s">
        <v>382</v>
      </c>
      <c r="L3" s="16"/>
      <c r="M3" s="14" t="s">
        <v>383</v>
      </c>
      <c r="N3" s="16" t="s">
        <v>384</v>
      </c>
    </row>
    <row r="4" spans="1:14" ht="48">
      <c r="A4" s="15" t="s">
        <v>385</v>
      </c>
      <c r="B4" s="16" t="s">
        <v>386</v>
      </c>
      <c r="C4" s="16" t="s">
        <v>387</v>
      </c>
      <c r="D4" s="16" t="s">
        <v>388</v>
      </c>
      <c r="E4" s="16"/>
      <c r="F4" s="16" t="s">
        <v>377</v>
      </c>
      <c r="G4" s="16" t="s">
        <v>389</v>
      </c>
      <c r="H4" s="16" t="s">
        <v>390</v>
      </c>
      <c r="I4" s="16" t="s">
        <v>391</v>
      </c>
      <c r="J4" s="16" t="s">
        <v>392</v>
      </c>
      <c r="K4" s="17" t="s">
        <v>393</v>
      </c>
      <c r="L4" s="16"/>
      <c r="M4" s="14" t="s">
        <v>394</v>
      </c>
      <c r="N4" s="16" t="s">
        <v>395</v>
      </c>
    </row>
    <row r="5" spans="1:14" ht="182">
      <c r="A5" s="15" t="s">
        <v>789</v>
      </c>
      <c r="B5" s="16" t="s">
        <v>790</v>
      </c>
      <c r="C5" s="16" t="s">
        <v>791</v>
      </c>
      <c r="D5" s="18" t="s">
        <v>792</v>
      </c>
      <c r="E5" s="16"/>
      <c r="F5" s="16" t="s">
        <v>793</v>
      </c>
      <c r="G5" s="16" t="s">
        <v>389</v>
      </c>
      <c r="H5" s="16" t="s">
        <v>794</v>
      </c>
      <c r="I5" s="16" t="s">
        <v>795</v>
      </c>
      <c r="J5" s="16" t="s">
        <v>796</v>
      </c>
      <c r="K5" s="17" t="s">
        <v>797</v>
      </c>
      <c r="L5" s="16"/>
      <c r="M5" s="14" t="s">
        <v>798</v>
      </c>
      <c r="N5" s="16" t="s">
        <v>799</v>
      </c>
    </row>
    <row r="6" spans="1:14" ht="84">
      <c r="A6" s="15" t="s">
        <v>396</v>
      </c>
      <c r="B6" s="16" t="s">
        <v>397</v>
      </c>
      <c r="C6" s="16" t="s">
        <v>398</v>
      </c>
      <c r="D6" s="16" t="s">
        <v>399</v>
      </c>
      <c r="E6" s="16"/>
      <c r="F6" s="16" t="s">
        <v>400</v>
      </c>
      <c r="G6" s="16" t="s">
        <v>401</v>
      </c>
      <c r="H6" s="16" t="s">
        <v>402</v>
      </c>
      <c r="I6" s="16" t="s">
        <v>403</v>
      </c>
      <c r="J6" s="16" t="s">
        <v>404</v>
      </c>
      <c r="K6" s="17" t="s">
        <v>405</v>
      </c>
      <c r="L6" s="16"/>
      <c r="M6" s="14" t="s">
        <v>406</v>
      </c>
      <c r="N6" s="16" t="s">
        <v>407</v>
      </c>
    </row>
    <row r="7" spans="1:14" ht="156">
      <c r="A7" s="15" t="s">
        <v>408</v>
      </c>
      <c r="B7" s="16" t="s">
        <v>409</v>
      </c>
      <c r="C7" s="16" t="s">
        <v>410</v>
      </c>
      <c r="D7" s="16" t="s">
        <v>411</v>
      </c>
      <c r="E7" s="16"/>
      <c r="F7" s="16" t="s">
        <v>800</v>
      </c>
      <c r="G7" s="16" t="s">
        <v>412</v>
      </c>
      <c r="H7" s="16" t="s">
        <v>413</v>
      </c>
      <c r="I7" s="16" t="s">
        <v>414</v>
      </c>
      <c r="J7" s="16" t="s">
        <v>415</v>
      </c>
      <c r="K7" s="17" t="s">
        <v>416</v>
      </c>
      <c r="L7" s="16"/>
      <c r="M7" s="14" t="s">
        <v>417</v>
      </c>
      <c r="N7" s="16" t="s">
        <v>418</v>
      </c>
    </row>
    <row r="8" spans="1:14" ht="72">
      <c r="A8" s="15" t="s">
        <v>419</v>
      </c>
      <c r="B8" s="16" t="s">
        <v>420</v>
      </c>
      <c r="C8" s="16" t="s">
        <v>421</v>
      </c>
      <c r="D8" s="16" t="s">
        <v>422</v>
      </c>
      <c r="E8" s="16"/>
      <c r="F8" s="16" t="s">
        <v>423</v>
      </c>
      <c r="G8" s="16" t="s">
        <v>389</v>
      </c>
      <c r="H8" s="16" t="s">
        <v>424</v>
      </c>
      <c r="I8" s="16" t="s">
        <v>425</v>
      </c>
      <c r="J8" s="16" t="s">
        <v>426</v>
      </c>
      <c r="K8" s="17" t="s">
        <v>427</v>
      </c>
      <c r="L8" s="16"/>
      <c r="M8" s="14" t="s">
        <v>428</v>
      </c>
      <c r="N8" s="16" t="s">
        <v>429</v>
      </c>
    </row>
    <row r="9" spans="1:14" ht="156">
      <c r="A9" s="15" t="s">
        <v>430</v>
      </c>
      <c r="B9" s="16" t="s">
        <v>431</v>
      </c>
      <c r="C9" s="16" t="s">
        <v>432</v>
      </c>
      <c r="D9" s="16" t="s">
        <v>433</v>
      </c>
      <c r="E9" s="16"/>
      <c r="F9" s="16"/>
      <c r="G9" s="16" t="s">
        <v>434</v>
      </c>
      <c r="H9" s="16"/>
      <c r="I9" s="16" t="s">
        <v>435</v>
      </c>
      <c r="J9" s="16" t="s">
        <v>436</v>
      </c>
      <c r="K9" s="17" t="s">
        <v>437</v>
      </c>
      <c r="L9" s="16" t="s">
        <v>438</v>
      </c>
      <c r="M9" s="14" t="s">
        <v>439</v>
      </c>
      <c r="N9" s="16" t="s">
        <v>440</v>
      </c>
    </row>
    <row r="10" spans="1:14" ht="144">
      <c r="A10" s="15" t="s">
        <v>801</v>
      </c>
      <c r="B10" s="16" t="s">
        <v>590</v>
      </c>
      <c r="C10" s="16" t="s">
        <v>802</v>
      </c>
      <c r="D10" s="16" t="s">
        <v>364</v>
      </c>
      <c r="E10" s="16"/>
      <c r="F10" s="16" t="s">
        <v>355</v>
      </c>
      <c r="G10" s="16" t="s">
        <v>803</v>
      </c>
      <c r="H10" s="16" t="s">
        <v>804</v>
      </c>
      <c r="I10" s="16" t="s">
        <v>805</v>
      </c>
      <c r="J10" s="16" t="s">
        <v>806</v>
      </c>
      <c r="K10" s="19" t="s">
        <v>807</v>
      </c>
      <c r="L10" s="16"/>
      <c r="M10" s="14" t="s">
        <v>808</v>
      </c>
      <c r="N10" s="16" t="s">
        <v>809</v>
      </c>
    </row>
    <row r="11" spans="1:14" ht="108">
      <c r="A11" s="15" t="s">
        <v>441</v>
      </c>
      <c r="B11" s="16" t="s">
        <v>442</v>
      </c>
      <c r="C11" s="16" t="s">
        <v>443</v>
      </c>
      <c r="D11" s="16" t="s">
        <v>444</v>
      </c>
      <c r="E11" s="16"/>
      <c r="F11" s="16"/>
      <c r="G11" s="16" t="s">
        <v>389</v>
      </c>
      <c r="H11" s="16" t="s">
        <v>445</v>
      </c>
      <c r="I11" s="16"/>
      <c r="J11" s="16" t="s">
        <v>446</v>
      </c>
      <c r="K11" s="17" t="s">
        <v>447</v>
      </c>
      <c r="L11" s="16"/>
      <c r="M11" s="14" t="s">
        <v>448</v>
      </c>
      <c r="N11" s="16" t="s">
        <v>449</v>
      </c>
    </row>
    <row r="12" spans="1:14" ht="120">
      <c r="A12" s="15" t="s">
        <v>450</v>
      </c>
      <c r="B12" s="16" t="s">
        <v>451</v>
      </c>
      <c r="C12" s="16" t="s">
        <v>452</v>
      </c>
      <c r="D12" s="16" t="s">
        <v>810</v>
      </c>
      <c r="E12" s="16"/>
      <c r="F12" s="16"/>
      <c r="G12" s="16" t="s">
        <v>401</v>
      </c>
      <c r="H12" s="16" t="s">
        <v>453</v>
      </c>
      <c r="I12" s="16" t="s">
        <v>454</v>
      </c>
      <c r="J12" s="16" t="s">
        <v>455</v>
      </c>
      <c r="K12" s="17" t="s">
        <v>456</v>
      </c>
      <c r="L12" s="16"/>
      <c r="M12" s="14" t="s">
        <v>457</v>
      </c>
      <c r="N12" s="16" t="s">
        <v>458</v>
      </c>
    </row>
    <row r="13" spans="1:14" ht="84">
      <c r="A13" s="15" t="s">
        <v>459</v>
      </c>
      <c r="B13" s="16" t="s">
        <v>460</v>
      </c>
      <c r="C13" s="16" t="s">
        <v>461</v>
      </c>
      <c r="D13" s="16" t="s">
        <v>462</v>
      </c>
      <c r="E13" s="16"/>
      <c r="F13" s="16" t="s">
        <v>400</v>
      </c>
      <c r="G13" s="16" t="s">
        <v>389</v>
      </c>
      <c r="H13" s="16" t="s">
        <v>463</v>
      </c>
      <c r="I13" s="16" t="s">
        <v>464</v>
      </c>
      <c r="J13" s="16" t="s">
        <v>465</v>
      </c>
      <c r="K13" s="17" t="s">
        <v>466</v>
      </c>
      <c r="L13" s="16"/>
      <c r="M13" s="14" t="s">
        <v>467</v>
      </c>
      <c r="N13" s="16" t="s">
        <v>468</v>
      </c>
    </row>
    <row r="14" spans="1:14" ht="96">
      <c r="A14" s="15" t="s">
        <v>469</v>
      </c>
      <c r="B14" s="16" t="s">
        <v>470</v>
      </c>
      <c r="C14" s="16" t="s">
        <v>471</v>
      </c>
      <c r="D14" s="16" t="s">
        <v>472</v>
      </c>
      <c r="E14" s="16"/>
      <c r="F14" s="16"/>
      <c r="G14" s="16" t="s">
        <v>473</v>
      </c>
      <c r="H14" s="16"/>
      <c r="I14" s="16"/>
      <c r="J14" s="16" t="s">
        <v>474</v>
      </c>
      <c r="K14" s="17" t="s">
        <v>475</v>
      </c>
      <c r="L14" s="16"/>
      <c r="M14" s="20"/>
      <c r="N14" s="16" t="s">
        <v>476</v>
      </c>
    </row>
    <row r="15" spans="1:14" ht="84">
      <c r="A15" s="15" t="s">
        <v>477</v>
      </c>
      <c r="B15" s="16" t="s">
        <v>478</v>
      </c>
      <c r="C15" s="16" t="s">
        <v>479</v>
      </c>
      <c r="D15" s="16" t="s">
        <v>480</v>
      </c>
      <c r="E15" s="16"/>
      <c r="F15" s="16"/>
      <c r="G15" s="16" t="s">
        <v>481</v>
      </c>
      <c r="H15" s="16" t="s">
        <v>482</v>
      </c>
      <c r="I15" s="16" t="s">
        <v>483</v>
      </c>
      <c r="J15" s="16" t="s">
        <v>484</v>
      </c>
      <c r="K15" s="17" t="s">
        <v>485</v>
      </c>
      <c r="L15" s="16"/>
      <c r="M15" s="14" t="s">
        <v>811</v>
      </c>
      <c r="N15" s="16" t="s">
        <v>486</v>
      </c>
    </row>
    <row r="16" spans="1:14" ht="72">
      <c r="A16" s="15" t="s">
        <v>487</v>
      </c>
      <c r="B16" s="16" t="s">
        <v>488</v>
      </c>
      <c r="C16" s="16" t="s">
        <v>489</v>
      </c>
      <c r="D16" s="16" t="s">
        <v>490</v>
      </c>
      <c r="E16" s="16"/>
      <c r="F16" s="16" t="s">
        <v>377</v>
      </c>
      <c r="G16" s="16" t="s">
        <v>389</v>
      </c>
      <c r="H16" s="16" t="s">
        <v>491</v>
      </c>
      <c r="I16" s="16" t="s">
        <v>492</v>
      </c>
      <c r="J16" s="16" t="s">
        <v>493</v>
      </c>
      <c r="K16" s="17" t="s">
        <v>494</v>
      </c>
      <c r="L16" s="16"/>
      <c r="M16" s="14" t="s">
        <v>495</v>
      </c>
      <c r="N16" s="16" t="s">
        <v>496</v>
      </c>
    </row>
    <row r="17" spans="1:14" ht="72">
      <c r="A17" s="15" t="s">
        <v>497</v>
      </c>
      <c r="B17" s="16" t="s">
        <v>498</v>
      </c>
      <c r="C17" s="16" t="s">
        <v>499</v>
      </c>
      <c r="D17" s="16" t="s">
        <v>500</v>
      </c>
      <c r="E17" s="16"/>
      <c r="F17" s="16" t="s">
        <v>501</v>
      </c>
      <c r="G17" s="16" t="s">
        <v>401</v>
      </c>
      <c r="H17" s="16" t="s">
        <v>502</v>
      </c>
      <c r="I17" s="16" t="s">
        <v>503</v>
      </c>
      <c r="J17" s="16" t="s">
        <v>504</v>
      </c>
      <c r="K17" s="17" t="s">
        <v>505</v>
      </c>
      <c r="L17" s="16"/>
      <c r="M17" s="14" t="s">
        <v>506</v>
      </c>
      <c r="N17" s="16" t="s">
        <v>507</v>
      </c>
    </row>
    <row r="18" spans="1:14" ht="204">
      <c r="A18" s="15" t="s">
        <v>508</v>
      </c>
      <c r="B18" s="16" t="s">
        <v>104</v>
      </c>
      <c r="C18" s="16" t="s">
        <v>509</v>
      </c>
      <c r="D18" s="16" t="s">
        <v>510</v>
      </c>
      <c r="E18" s="16"/>
      <c r="F18" s="16" t="s">
        <v>355</v>
      </c>
      <c r="G18" s="16" t="s">
        <v>511</v>
      </c>
      <c r="H18" s="16" t="s">
        <v>512</v>
      </c>
      <c r="I18" s="16" t="s">
        <v>513</v>
      </c>
      <c r="J18" s="16" t="s">
        <v>514</v>
      </c>
      <c r="K18" s="17" t="s">
        <v>515</v>
      </c>
      <c r="L18" s="16"/>
      <c r="M18" s="14" t="s">
        <v>812</v>
      </c>
      <c r="N18" s="16" t="s">
        <v>516</v>
      </c>
    </row>
    <row r="19" spans="1:14" ht="42">
      <c r="A19" s="15" t="s">
        <v>517</v>
      </c>
      <c r="B19" s="16" t="s">
        <v>173</v>
      </c>
      <c r="C19" s="16" t="s">
        <v>518</v>
      </c>
      <c r="D19" s="16" t="s">
        <v>519</v>
      </c>
      <c r="E19" s="16"/>
      <c r="F19" s="16" t="s">
        <v>355</v>
      </c>
      <c r="G19" s="16" t="s">
        <v>520</v>
      </c>
      <c r="H19" s="16" t="s">
        <v>521</v>
      </c>
      <c r="I19" s="16" t="s">
        <v>522</v>
      </c>
      <c r="J19" s="16"/>
      <c r="K19" s="17"/>
      <c r="L19" s="16"/>
      <c r="M19" s="14" t="s">
        <v>523</v>
      </c>
      <c r="N19" s="16" t="s">
        <v>524</v>
      </c>
    </row>
    <row r="20" spans="1:14" ht="28">
      <c r="A20" s="15" t="s">
        <v>525</v>
      </c>
      <c r="B20" s="16" t="s">
        <v>526</v>
      </c>
      <c r="C20" s="16" t="s">
        <v>527</v>
      </c>
      <c r="D20" s="16" t="s">
        <v>528</v>
      </c>
      <c r="E20" s="16"/>
      <c r="F20" s="16" t="s">
        <v>529</v>
      </c>
      <c r="G20" s="16" t="s">
        <v>530</v>
      </c>
      <c r="H20" s="16" t="s">
        <v>531</v>
      </c>
      <c r="I20" s="16" t="s">
        <v>532</v>
      </c>
      <c r="J20" s="16" t="s">
        <v>203</v>
      </c>
      <c r="K20" s="17" t="s">
        <v>206</v>
      </c>
      <c r="L20" s="16"/>
      <c r="M20" s="14" t="s">
        <v>533</v>
      </c>
      <c r="N20" s="16" t="s">
        <v>534</v>
      </c>
    </row>
    <row r="21" spans="1:14" ht="156">
      <c r="A21" s="15" t="s">
        <v>535</v>
      </c>
      <c r="B21" s="16" t="s">
        <v>536</v>
      </c>
      <c r="C21" s="16" t="s">
        <v>537</v>
      </c>
      <c r="D21" s="16" t="s">
        <v>538</v>
      </c>
      <c r="E21" s="16"/>
      <c r="F21" s="16" t="s">
        <v>355</v>
      </c>
      <c r="G21" s="16" t="s">
        <v>539</v>
      </c>
      <c r="H21" s="16" t="s">
        <v>540</v>
      </c>
      <c r="I21" s="16" t="s">
        <v>541</v>
      </c>
      <c r="J21" s="16" t="s">
        <v>813</v>
      </c>
      <c r="K21" s="17" t="s">
        <v>814</v>
      </c>
      <c r="L21" s="16" t="s">
        <v>542</v>
      </c>
      <c r="M21" s="14" t="s">
        <v>543</v>
      </c>
      <c r="N21" s="16" t="s">
        <v>544</v>
      </c>
    </row>
    <row r="22" spans="1:14" ht="48">
      <c r="A22" s="15" t="s">
        <v>545</v>
      </c>
      <c r="B22" s="16" t="s">
        <v>546</v>
      </c>
      <c r="C22" s="16" t="s">
        <v>547</v>
      </c>
      <c r="D22" s="16" t="s">
        <v>548</v>
      </c>
      <c r="E22" s="16"/>
      <c r="F22" s="16" t="s">
        <v>549</v>
      </c>
      <c r="G22" s="16" t="s">
        <v>401</v>
      </c>
      <c r="H22" s="16" t="s">
        <v>550</v>
      </c>
      <c r="I22" s="16" t="s">
        <v>551</v>
      </c>
      <c r="J22" s="16" t="s">
        <v>552</v>
      </c>
      <c r="K22" s="17" t="s">
        <v>553</v>
      </c>
      <c r="L22" s="16"/>
      <c r="M22" s="14" t="s">
        <v>554</v>
      </c>
      <c r="N22" s="16" t="s">
        <v>555</v>
      </c>
    </row>
    <row r="23" spans="1:14" ht="168">
      <c r="A23" s="21" t="s">
        <v>815</v>
      </c>
      <c r="B23" s="16" t="s">
        <v>816</v>
      </c>
      <c r="C23" s="16" t="s">
        <v>817</v>
      </c>
      <c r="D23" s="16" t="s">
        <v>818</v>
      </c>
      <c r="E23" s="16"/>
      <c r="F23" s="16" t="s">
        <v>529</v>
      </c>
      <c r="G23" s="16" t="s">
        <v>401</v>
      </c>
      <c r="H23" s="16" t="s">
        <v>819</v>
      </c>
      <c r="I23" s="16" t="s">
        <v>820</v>
      </c>
      <c r="J23" s="22" t="s">
        <v>821</v>
      </c>
      <c r="K23" s="17" t="s">
        <v>822</v>
      </c>
      <c r="L23" s="16"/>
      <c r="M23" s="14" t="s">
        <v>823</v>
      </c>
      <c r="N23" s="16" t="s">
        <v>824</v>
      </c>
    </row>
    <row r="24" spans="1:14" ht="42">
      <c r="A24" s="15" t="s">
        <v>556</v>
      </c>
      <c r="B24" s="16" t="s">
        <v>557</v>
      </c>
      <c r="C24" s="16" t="s">
        <v>558</v>
      </c>
      <c r="D24" s="16" t="s">
        <v>559</v>
      </c>
      <c r="E24" s="16"/>
      <c r="F24" s="16" t="s">
        <v>400</v>
      </c>
      <c r="G24" s="16" t="s">
        <v>401</v>
      </c>
      <c r="H24" s="16" t="s">
        <v>560</v>
      </c>
      <c r="I24" s="16" t="s">
        <v>561</v>
      </c>
      <c r="J24" s="16" t="s">
        <v>562</v>
      </c>
      <c r="K24" s="17" t="s">
        <v>563</v>
      </c>
      <c r="L24" s="16"/>
      <c r="M24" s="14" t="s">
        <v>564</v>
      </c>
      <c r="N24" s="16" t="s">
        <v>565</v>
      </c>
    </row>
    <row r="25" spans="1:14" ht="60">
      <c r="A25" s="15" t="s">
        <v>566</v>
      </c>
      <c r="B25" s="16" t="s">
        <v>567</v>
      </c>
      <c r="C25" s="16" t="s">
        <v>568</v>
      </c>
      <c r="D25" s="16" t="s">
        <v>569</v>
      </c>
      <c r="E25" s="16"/>
      <c r="F25" s="16"/>
      <c r="G25" s="16" t="s">
        <v>401</v>
      </c>
      <c r="H25" s="16" t="s">
        <v>560</v>
      </c>
      <c r="I25" s="16" t="s">
        <v>570</v>
      </c>
      <c r="J25" s="16" t="s">
        <v>571</v>
      </c>
      <c r="K25" s="17" t="s">
        <v>572</v>
      </c>
      <c r="L25" s="16"/>
      <c r="M25" s="20" t="s">
        <v>573</v>
      </c>
      <c r="N25" s="16" t="s">
        <v>574</v>
      </c>
    </row>
    <row r="26" spans="1:14" ht="96">
      <c r="A26" s="23" t="s">
        <v>575</v>
      </c>
      <c r="B26" s="24" t="s">
        <v>576</v>
      </c>
      <c r="C26" s="24" t="s">
        <v>577</v>
      </c>
      <c r="D26" s="24" t="s">
        <v>578</v>
      </c>
      <c r="E26" s="24"/>
      <c r="F26" s="24"/>
      <c r="G26" s="24" t="s">
        <v>389</v>
      </c>
      <c r="H26" s="24" t="s">
        <v>560</v>
      </c>
      <c r="I26" s="24"/>
      <c r="J26" s="24" t="s">
        <v>579</v>
      </c>
      <c r="K26" s="25" t="s">
        <v>580</v>
      </c>
      <c r="L26" s="24"/>
      <c r="M26" s="14" t="s">
        <v>825</v>
      </c>
      <c r="N26" s="24" t="s">
        <v>581</v>
      </c>
    </row>
    <row r="27" spans="1:14" ht="124">
      <c r="A27" s="26" t="s">
        <v>826</v>
      </c>
      <c r="B27" s="26" t="s">
        <v>827</v>
      </c>
      <c r="C27" s="26" t="s">
        <v>828</v>
      </c>
      <c r="D27" s="26" t="s">
        <v>829</v>
      </c>
      <c r="E27" s="26"/>
      <c r="F27" s="26" t="s">
        <v>529</v>
      </c>
      <c r="G27" s="26" t="s">
        <v>830</v>
      </c>
      <c r="H27" s="26" t="s">
        <v>831</v>
      </c>
      <c r="I27" s="8" t="s">
        <v>832</v>
      </c>
      <c r="J27" s="26" t="s">
        <v>833</v>
      </c>
      <c r="K27" s="8" t="s">
        <v>834</v>
      </c>
      <c r="L27" s="26"/>
      <c r="M27" s="8" t="s">
        <v>835</v>
      </c>
      <c r="N27" s="26" t="s">
        <v>836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Films</vt:lpstr>
      <vt:lpstr>Listes</vt:lpstr>
      <vt:lpstr>Mode_emploi</vt:lpstr>
      <vt:lpstr>Référentiel entourage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Frédérique Hammerli</cp:lastModifiedBy>
  <dcterms:modified xsi:type="dcterms:W3CDTF">2026-10-22T08:05:50Z</dcterms:modified>
</cp:coreProperties>
</file>