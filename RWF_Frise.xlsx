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mc:AlternateContent xmlns:mc="http://schemas.openxmlformats.org/markup-compatibility/2006">
    <mc:Choice Requires="x15">
      <x15ac:absPath xmlns:x15ac="http://schemas.microsoft.com/office/spreadsheetml/2010/11/ac" url="https://d.docs.live.net/23f243e0dd638448/cours/KH/RWF/Fiches/Frise/Frise2_Fassbinder/"/>
    </mc:Choice>
  </mc:AlternateContent>
  <xr:revisionPtr revIDLastSave="85" documentId="11_C90F0C6AA18020CF03A1E4286871985300A7B78E" xr6:coauthVersionLast="47" xr6:coauthVersionMax="47" xr10:uidLastSave="{E50FCFFA-0B1B-244B-9966-AEB8FB7A569F}"/>
  <bookViews>
    <workbookView xWindow="7200" yWindow="2680" windowWidth="37600" windowHeight="22520" activeTab="1" xr2:uid="{00000000-000D-0000-FFFF-FFFF00000000}"/>
  </bookViews>
  <sheets>
    <sheet name="Périodes" sheetId="1" r:id="rId1"/>
    <sheet name="Années" sheetId="2" r:id="rId2"/>
    <sheet name="Sources générales" sheetId="5" r:id="rId3"/>
    <sheet name="Référentiel films" sheetId="3" r:id="rId4"/>
    <sheet name="Mode_emploi" sheetId="4"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38" i="2" l="1"/>
  <c r="U37" i="2"/>
  <c r="U36" i="2"/>
  <c r="U35" i="2"/>
  <c r="U34" i="2"/>
  <c r="U33" i="2"/>
  <c r="U32" i="2"/>
  <c r="U31" i="2"/>
  <c r="U30" i="2"/>
  <c r="U29" i="2"/>
  <c r="U28" i="2"/>
  <c r="U27" i="2"/>
  <c r="U26" i="2"/>
  <c r="U25" i="2"/>
  <c r="U24" i="2"/>
  <c r="U23" i="2"/>
  <c r="U22" i="2"/>
  <c r="U20" i="2"/>
  <c r="U19" i="2"/>
  <c r="U18" i="2"/>
  <c r="U17" i="2"/>
  <c r="U16" i="2"/>
  <c r="U15" i="2"/>
  <c r="U14" i="2"/>
  <c r="U13" i="2"/>
  <c r="U12" i="2"/>
  <c r="U11" i="2"/>
  <c r="U10" i="2"/>
  <c r="U9" i="2"/>
  <c r="U8" i="2"/>
  <c r="U7" i="2"/>
  <c r="U6" i="2"/>
  <c r="U5" i="2"/>
  <c r="U4" i="2"/>
  <c r="U3" i="2"/>
  <c r="U2" i="2"/>
  <c r="H4" i="1"/>
  <c r="H3" i="1"/>
  <c r="H2" i="1"/>
</calcChain>
</file>

<file path=xl/sharedStrings.xml><?xml version="1.0" encoding="utf-8"?>
<sst xmlns="http://schemas.openxmlformats.org/spreadsheetml/2006/main" count="477" uniqueCount="378">
  <si>
    <t>ID période</t>
  </si>
  <si>
    <t>Titre période</t>
  </si>
  <si>
    <t>question directrice</t>
  </si>
  <si>
    <t>Événement histoire et politique</t>
  </si>
  <si>
    <t>Contexte culturel</t>
  </si>
  <si>
    <t>Biographie de Fassbinder</t>
  </si>
  <si>
    <t>Œuvres</t>
  </si>
  <si>
    <t>ID films - Œuvres</t>
  </si>
  <si>
    <t>Analyse et réception critique</t>
  </si>
  <si>
    <t>Liens</t>
  </si>
  <si>
    <t>Citation</t>
  </si>
  <si>
    <t>Image</t>
  </si>
  <si>
    <t>Légende</t>
  </si>
  <si>
    <t>Notion</t>
  </si>
  <si>
    <t>1945-1948</t>
  </si>
  <si>
    <t>Des ruines de l'Heure zéro à la division de l'Allemagne</t>
  </si>
  <si>
    <t>Le "point zéro" de l'histoire de l'Allemagne d'après-guerre est-il un point zéro pour la vie et l'œuvre de RWF ?</t>
  </si>
  <si>
    <t>Capitulation du Troisième Reich (mai). Bilan humain de la guerre : 4,2 millions de soldats tués, 500 000 morts civils dans les bombardements, 300 000 victimes des persécutions nazies, 11 millions de prisonniers de guerre (dont 3,3 millions en URSS, le dernier rentrant en 1956). L'Allemagne est en ruines (Heure Zéro). L’« heure zéro » désigne moins une rupture absolue qu’une société de l’effondrement : ruines matérielles : 25 % des logements détruits, 20 millions de sans-abri, 90 % du réseau ferroviaire inutilisable, production industrielle de la Ruhr paralysée, pénuries alimentaires. L'inflation est persistante et le chômage élevé (jusqu'en 1951).
Conférences de Yalta (février 1945) et de Potsdam (juillet 1945) : division de l'Allemagne en quatre zones d'occupation (États-Unis, URSS, Grande-Bretagne, France) et amputation territoriale de 25 % à l'Est (ligne Oder-Neisse). Un gouvernement militaire est placé à la tête de chaque zone.  L’occupation alliée engage simultanément division territoriale, dénazification, démilitarisation et apprentissage démocratique. 
Procès de Nuremberg (novembre 1945) : création des catégories pénales « crime contre la paix », « crime contre l'humanité ». Cependant face aux divergences croissantes entre Alliés occidentaux et URSS, la dénazification cède le pas à la confrontation des deux blocs. L'article 131 de la Loi fondamentale (1949) permet aux anciens adhérents du NSDAP de réintégrer la fonction publique.
Fusion des zones américaine et britannique (bizone, décembre 1946), puis française (trizone,mars 1948). En réaction, blocus de Berlin (juin 1948 et pont aérien allié). Réforme monétaire de juin 1948 : le Deutsche Mark remplace le Reichsmark dans la trizone — acte fondateur de la séparation économique. Création de la RFA (Loi fondamentale du 23 mai 1949) et, par réaction, de la RDA (7 octobre 1949).
À l'Est, fusion forcée KPD-SPD dans le SED (1946) ; pluralisme encadré.</t>
  </si>
  <si>
    <r>
      <rPr>
        <sz val="10"/>
        <color rgb="FF000000"/>
        <rFont val="Arial"/>
        <family val="2"/>
      </rPr>
      <t xml:space="preserve">Retour des intellectuels exilés : Adorno, Horkheimer (École de Francfort), Brecht. 
Le cinéma est en ruines. Création de la DEFA (Deutsche Film-Aktiengesellschaft) le 17 mai 1946, entreprise d'État monopolistique en zone soviétique, qui produira 740 longs-métrages en RDA jusqu'à sa dissolution en 1992 
Naissance du </t>
    </r>
    <r>
      <rPr>
        <i/>
        <sz val="10"/>
        <color rgb="FF000000"/>
        <rFont val="Arial"/>
        <family val="2"/>
      </rPr>
      <t>Trümmerfilm</t>
    </r>
    <r>
      <rPr>
        <sz val="10"/>
        <color rgb="FF000000"/>
        <rFont val="Arial"/>
        <family val="2"/>
      </rPr>
      <t xml:space="preserve"> (film des ruines) : premier genre cinématographique de l'après-guerre, tourné dans les villes détruites. L</t>
    </r>
    <r>
      <rPr>
        <i/>
        <sz val="10"/>
        <color rgb="FF000000"/>
        <rFont val="Arial"/>
        <family val="2"/>
      </rPr>
      <t>es Meurtriers sont parmi nous</t>
    </r>
    <r>
      <rPr>
        <sz val="10"/>
        <color rgb="FF000000"/>
        <rFont val="Arial"/>
        <family val="2"/>
      </rPr>
      <t xml:space="preserve"> (Wolfgang Staudte, 1946) — premier film allemand d'après-guerre, produit par la DEFA naissante, avec Hildegard Knef dans son premier rôle. La censure soviétique impose une fin modifiée : que des Allemands se vengent eux-mêmes de criminels nazis est jugé inacceptable . 
Les Alliés occidentaux pratiquent également le cinéma comme outil de rééducation. La reconstruction culturelle est pensée comme une rééducation. Presse, édition, radio et cinéma renaissent sous le contrôle des puissances occupantes ; œuvres interdites et artistes exilés retrouvent une place publique. 
Des cinéastes étrangers s'intéressent aussi à l'Allemagne et posent un regard sur les ruines : </t>
    </r>
    <r>
      <rPr>
        <i/>
        <sz val="10"/>
        <color rgb="FF000000"/>
        <rFont val="Arial"/>
        <family val="2"/>
      </rPr>
      <t xml:space="preserve">A foreign affair </t>
    </r>
    <r>
      <rPr>
        <sz val="10"/>
        <color rgb="FF000000"/>
        <rFont val="Arial"/>
        <family val="2"/>
      </rPr>
      <t xml:space="preserve">(Billy Wilder, 1946) offre un regard satirique sur le Berlin occupé, </t>
    </r>
    <r>
      <rPr>
        <i/>
        <sz val="10"/>
        <color rgb="FF000000"/>
        <rFont val="Arial"/>
        <family val="2"/>
      </rPr>
      <t>Allemagne année zéro</t>
    </r>
    <r>
      <rPr>
        <sz val="10"/>
        <color rgb="FF000000"/>
        <rFont val="Arial"/>
        <family val="2"/>
      </rPr>
      <t xml:space="preserve"> de Rossellini (1948) rend compte, dans la mouvance néoréaliste, de la ruine morale et matérielle que traverse la population allemande. 
 </t>
    </r>
  </si>
  <si>
    <t>Rainer Werner Fassbinder naît le 31 mai 1945 à Bad Wörishofen. Sa première année se passe chez un oncle paternel ; en 1946, il rejoint ses parents à Munich, dans un foyer élargi où vit notamment sa grand-mère. Cette enfance immédiatement après-guerre forme l'arrière-plan biographique d'une œuvre qui reviendra sans cesse sur les continuités entre le IIIe Reich et la RFA.</t>
  </si>
  <si>
    <r>
      <t xml:space="preserve">L'œuvre de Fassbinder proposera plus tard une radiographie critique de ce "point zéro" de la nouvelle Allemagne, notamment dans </t>
    </r>
    <r>
      <rPr>
        <i/>
        <sz val="10"/>
        <color rgb="FF000000"/>
        <rFont val="Arial"/>
        <family val="2"/>
      </rPr>
      <t>Le Mariage de Maria Braun</t>
    </r>
  </si>
  <si>
    <t>Dans Berlin en ruines la vie reprend (INA) | https://www.ina.fr/ina-eclaire-actu/video/afe86003214/dans-berlin-en-ruines-la-vie-reprend</t>
  </si>
  <si>
    <t>"Nous devons nous débarrasser du passé pour construire l'avenir". Konrad Adenauer</t>
  </si>
  <si>
    <t>Allemagne_zones.jpeg</t>
  </si>
  <si>
    <t>Le découpage de l'Allemagne et de Berlin en 4 zones d'occupation alliée</t>
  </si>
  <si>
    <t>1949-1960</t>
  </si>
  <si>
    <t>Deux États allemands : miracle économique à l'Ouest, socialisme d'État à l'Est</t>
  </si>
  <si>
    <t>L'Allemagne des années 50, la période de référence pour l'œuvre de RWF ?</t>
  </si>
  <si>
    <t>Entrée dans l'ère Adenauer (CDU), chancelier. La stabilisation de la RFA repose sur la Loi fondamentale, l’ancrage occidental, l’économie sociale de marché et une croissance rapide, soutenue par l’immigration de travail. Ce succès coexiste avec la division durable du pays, la répression du soulèvement est-allemand de 1953, un anticommunisme puissant et d’importantes continuités administratives avec le nazisme.
La RFA réintègre progressivement les nations occidentales. Accords de Paris (1954) qui mettent fin à l'occupation de l'Allemagne et confèrent à la RFA et la RDA leur  pleine souveraineté. Entrée de la RFA dans l'OTAN (1955) et début du réarmement de la RFA. Traité de Rome (1957) : la RFA est membre fondatrice de la CEE.
La RDA intègre le pacte de Varsovie. Insurrection ouvrière du 17 juin 1953 à Berlin-Est, réprimée par les chars soviétiques. La RDA soutient politiquement la répression soviétique de l'insurrection hongroise (1956).
La Guerre Froide devient structurelle : le KPD est interdit en RFA (1956). Ultimatum de Khrouchtchev sur Berlin (1958) en raison de la fuite massive des citoyens est-allemands vers l'Ouest, principalement par Berlin. 2,7 millions de personnes passeront à l'Ouest jusqu'en 1961.
Miracle économique ( Wirtschaftswunder ) :  Ludwig Erhard, ministre de l'Économie théorise l'« économie sociale de marché » d'essence néo-libérale. Entre 1950 et 1965 l'économie ouest-allemande croît de 8,2% en moyenne (contre 5% en France pendant les 30 glorieuses).Le plein emploi est atteint en 1960. Le système des Gastarbeiter (travailleurs invités) est lancé par traité avec l'Italie (1955), puis Grèce et Espagne (1960).L'absence d'industrie d'armement profite aux secteurs de consommation. La coccinelle de Volkswagen devient l'emblème du "miracle économique". Le taux d'équipement des ménages (télévision) est en avance de 10 ans sur la France. Les entreprises de taille moyenne constituent la colonne vertébrale de la puissance économique allemande en fournissant les outils spécialisés nécessaires à l'industrie. Parallèlement, l'État  développe une politique sociale conservatrice. L'Anticommunisme domine. La société  subit un mouvement de « remasculinisation » : l'égalité des sexes inscrite dans la Loi fondamentale ne s'applique réellement qu'à partir de 1953 (droit de la famille) et le maintien de la femme au foyer est encouragé.RDA : économie planifiée et collectivisée sur le modèle soviétique ; fuite des cerveaux et de la main-d'œuvre vers l'Ouest.
RFA et Israël : entrée en pourparlers pour les réparations (1951), livraisons d'armes à partir de 1952. en RFA, Création de la Centrale judiciaire de Ludwigsburg (1958) pour poursuivre les criminels nazis.Cependant,  la continuité avec le nazisme est réelle : on retrouve  jusqu'à 40 % d'anciens membres du NSDAP dans les institutions à la fin des années 1950.</t>
  </si>
  <si>
    <r>
      <rPr>
        <sz val="10"/>
        <color rgb="FF000000"/>
        <rFont val="Arial"/>
        <family val="2"/>
      </rPr>
      <t xml:space="preserve">Sous l’apparente dépolitisation du </t>
    </r>
    <r>
      <rPr>
        <i/>
        <sz val="10"/>
        <color rgb="FF000000"/>
        <rFont val="Arial"/>
        <family val="2"/>
      </rPr>
      <t xml:space="preserve">Schlager </t>
    </r>
    <r>
      <rPr>
        <sz val="10"/>
        <color rgb="FF000000"/>
        <rFont val="Arial"/>
        <family val="2"/>
      </rPr>
      <t>(chanson de variété), du</t>
    </r>
    <r>
      <rPr>
        <i/>
        <sz val="10"/>
        <color rgb="FF000000"/>
        <rFont val="Arial"/>
        <family val="2"/>
      </rPr>
      <t xml:space="preserve"> Heimatfilm </t>
    </r>
    <r>
      <rPr>
        <sz val="10"/>
        <color rgb="FF000000"/>
        <rFont val="Arial"/>
        <family val="2"/>
      </rPr>
      <t>et de la télévision familiale, les écrivains du Groupe 47, la littérature des ruines, Brecht, Andersch, Böll, Adorno et Horkheimer interrogent la guerre, l’exil et les responsabilités collectives. Les modèles culturels américains et le rock transforment progressivement les pratiques de la jeunesse.
Freddy Quinn, Rocco Granata ou Catharina Valente sont les stars de la culture populaire allemande (</t>
    </r>
    <r>
      <rPr>
        <i/>
        <sz val="10"/>
        <color rgb="FF000000"/>
        <rFont val="Arial"/>
        <family val="2"/>
      </rPr>
      <t>Schlager)</t>
    </r>
    <r>
      <rPr>
        <sz val="10"/>
        <color rgb="FF000000"/>
        <rFont val="Arial"/>
        <family val="2"/>
      </rPr>
      <t xml:space="preserve">. Le rock est encore associé à une forme de  délinquance de la jeunesse. 
Le cinéma ouest-allemand se conforme au modèle conservateur et conformiste de la société de consommation : domination du "cinéma de papa" ( Papas Kino ) : films de terroir ( Heimatfilm ), comédies légères dépolitisées, films en costumes , comédies musicales obtiennent toujours les faveurs du public. Ces genres nés dans les années 10 et 20 ont été très exploités par les nazis. C'est l'âge d'or du Heimatfilm : la RFA devient la cinquième productrice mondiale de films, mais la majorité de la production est constituée de ces « films de la patrie » de qualité médiocre, tournés dans des paysages alpins idéalisés. </t>
    </r>
    <r>
      <rPr>
        <i/>
        <sz val="10"/>
        <color rgb="FF000000"/>
        <rFont val="Arial"/>
        <family val="2"/>
      </rPr>
      <t>Grün ist die Heide</t>
    </r>
    <r>
      <rPr>
        <sz val="10"/>
        <color rgb="FF000000"/>
        <rFont val="Arial"/>
        <family val="2"/>
      </rPr>
      <t xml:space="preserve"> (Hans Deppe, 1951) exemplifie la fonction de ce genre : traiter indirectement la question des expulsés des territoires orientaux en projetant leurs pertes dans un paysage fantasmé et harmonieux. Le </t>
    </r>
    <r>
      <rPr>
        <i/>
        <sz val="10"/>
        <color rgb="FF000000"/>
        <rFont val="Arial"/>
        <family val="2"/>
      </rPr>
      <t xml:space="preserve">Heimatfilm </t>
    </r>
    <r>
      <rPr>
        <sz val="10"/>
        <color rgb="FF000000"/>
        <rFont val="Arial"/>
        <family val="2"/>
      </rPr>
      <t xml:space="preserve">est un cinéma  sentimental de fuite de la réalité.
Il n'existe presque aucun film allemand des années 50 et 60 qui traite des camps de concentration nazis. Le cinéma allemand de la période s'intéresse peu à l'histoire.
</t>
    </r>
  </si>
  <si>
    <t>Les maladies et les longues hospitalisations de sa mère, Lilo Pempeit, puis le divorce de ses parents (1951) et la mort de sa grand-mère rendent l'enfance instable : RWF est confié à divers proches, passe par plusieurs écoles et pensionnats et grandit largement livré à lui-même. Le cinéma devient un refuge et une pratique assidue ; dès 1954, il écrit des pièces. Il absorbe sans hiérarchie films hollywoodiens, films populaires allemands et productions de série B.
À la fin des années 1950, il fréquente prostituées, travailleurs immigrés et milieux marginaux, assume ouvertement son homosexualité et lit Berlin Alexanderplatz vers quatorze ans : se dessinent déjà les mondes sociaux, affectifs et cinématographiques qui nourriront son œuvre.</t>
  </si>
  <si>
    <r>
      <rPr>
        <sz val="10"/>
        <color rgb="FF000000"/>
        <rFont val="Arial"/>
        <family val="2"/>
      </rPr>
      <t xml:space="preserve">Jochen et ses collègues, dans </t>
    </r>
    <r>
      <rPr>
        <i/>
        <sz val="10"/>
        <color rgb="FF000000"/>
        <rFont val="Arial"/>
        <family val="2"/>
      </rPr>
      <t xml:space="preserve">Huit heures ne font pas un jour, </t>
    </r>
    <r>
      <rPr>
        <sz val="10"/>
        <color rgb="FF000000"/>
        <rFont val="Arial"/>
        <family val="2"/>
      </rPr>
      <t xml:space="preserve">incarnent les ouvriers hautement qualifiés qui font la réussite économique de la RFA.
L'œuvre de Fassbinder analyse rétrospectivement cette période en mettant à distance le consensus social de la prospérité des années 50 et 60 et en révélant les mensonges du miracle économique. Mais il met aussi en exergue l'optimisme et la vitalité anarchique de cette période où tout est possible (la garderie dans </t>
    </r>
    <r>
      <rPr>
        <i/>
        <sz val="10"/>
        <color rgb="FF000000"/>
        <rFont val="Arial"/>
        <family val="2"/>
      </rPr>
      <t>Huit heures ne font pas un jour</t>
    </r>
    <r>
      <rPr>
        <sz val="10"/>
        <color rgb="FF000000"/>
        <rFont val="Arial"/>
        <family val="2"/>
      </rPr>
      <t xml:space="preserve">, l'ascension de </t>
    </r>
    <r>
      <rPr>
        <i/>
        <sz val="10"/>
        <color rgb="FF000000"/>
        <rFont val="Arial"/>
        <family val="2"/>
      </rPr>
      <t>Maria Braun)</t>
    </r>
  </si>
  <si>
    <t>De l’année zéro au miracle économique|https://youtu.be/BC4BffkWyY8?si=e80MWCLF0K9Fgiub; Jalousie de Catharina Valente|https://youtu.be/-ugDTj7UFtU?si=vzGNySrsaYGKZW0k</t>
  </si>
  <si>
    <t>l-industrie-de-l-industrie-automobile-l-usine-volkswagen-vue-de-l-interieur-usine-wolfsburg-vers-1950.jpg</t>
  </si>
  <si>
    <t>Le miracle économique : une croissance fondée sur l'essor des chaines de production industrielle</t>
  </si>
  <si>
    <t>1961-1965</t>
  </si>
  <si>
    <t xml:space="preserve">Le Mur, stabilisation froide des deux Etats </t>
  </si>
  <si>
    <t xml:space="preserve">Que serait un cinéma nouveau prenant à bras le corps l'histoire de l'Allemagne et du cinéma, tout en s'en détachant ? </t>
  </si>
  <si>
    <t>Construction du Mur de Berlin (1961) :  traumatisme national, division consommée. Willy Brandt, alors maire de Berlin-Ouest, réunit 300 000 personnes pour en appeler à la solidarité internationale. Visite de Kennedy à Berlin-Ouest (1963) : « Ich bin ein Berliner ». Le Mur matérialise la division allemande qui se fige institutionnellement.Le rapprochement franco-allemand (de Gaulle/Adenauer)  est initié par le Traité de l'Élysée (1963)  ; création de l'Office franco-allemand de la jeunesse.
Fin de l'ère Adenauer. 1963 : Ludwig Ehrard, père du "miracle économique", devient Chancelier (CDU) de la RFA  
La croissance économique est toujours forte mais commence à montrer des signes d'essoufflement. Traité de recrutement de "travailleurs invités" avec la Turquie (1961), le Maroc (1963), le Portugal et la Tunisie (1965). Le millionième Gastarbeiter est célébré à son arrivée en 1964.
Procès d'Auschwitz à Francfort (1963-1965). 
Les procès Eichmann et d’Auschwitz replacent les crimes nazis au centre du débat public. La fin de l’ère Adenauer et la Grande Coalition accompagnent l’émergence d’une nouvelle génération nombreuse, plus critique envers les institutions et l’autorité.</t>
  </si>
  <si>
    <r>
      <rPr>
        <sz val="10"/>
        <color rgb="FF000000"/>
        <rFont val="Arial"/>
        <family val="2"/>
      </rPr>
      <t xml:space="preserve">La jeunesse affirme sa présence. Le Manifeste d’Oberhausen, l’essor de nouvelles structures de production et l’influence du rock, des cultures étrangères et des sciences sociales rompent avec les modèles des années 1950. La crise du père et la confrontation au passé deviennent des motifs structurants du Nouveau Cinéma allemand.
La génération des 15-29 ans (22 % de la population) développe un regard critique sur les structures d'autorité (État, famille, religion, rapports de genre). La culture rock gagne en légitimité. Redécouverte des intellectuels de l'École de Francfort
Manifeste d'Oberhausen (1962), acte de naissance du Nouveau Cinéma Allemand. Un groupe de jeunes réalisateurs (Alexander Kluge, Edgar Reitz, — mais ni Fassbinder, ni Wenders, ni Herzog) déclare « Le vieux cinéma est mort. Nous croyons au nouveau » (« Der alte Film ist tot. Wir glauben an den neuen »). La presse popularise le slogan « Papas Kino ist tot ! » (« Le cinéma de papa est mort »). Le mouvement revendique un nouveau cinéma allemand, rompant avec l'héritage du </t>
    </r>
    <r>
      <rPr>
        <i/>
        <sz val="10"/>
        <color rgb="FF000000"/>
        <rFont val="Arial"/>
        <family val="2"/>
      </rPr>
      <t xml:space="preserve">Heimatfilm </t>
    </r>
    <r>
      <rPr>
        <sz val="10"/>
        <color rgb="FF000000"/>
        <rFont val="Arial"/>
        <family val="2"/>
      </rPr>
      <t xml:space="preserve">et du cinéma de divertissement. Une nouvelle génération de cinéastes s'affirme et conquiert son indépendance notamment par la création de structures de production indépendantes. Alexander Kluge : </t>
    </r>
    <r>
      <rPr>
        <i/>
        <sz val="10"/>
        <color rgb="FF000000"/>
        <rFont val="Arial"/>
        <family val="2"/>
      </rPr>
      <t xml:space="preserve">Abschied von gestern </t>
    </r>
    <r>
      <rPr>
        <sz val="10"/>
        <color rgb="FF000000"/>
        <rFont val="Arial"/>
        <family val="2"/>
      </rPr>
      <t xml:space="preserve">(1966) — Lion d'argent à Venise. Considéré comme le penseur du cinéma d'auteur allemand, il fonde l'Institut de formation cinématographique à l'École d'Ulm. Volker Schlöndorff : </t>
    </r>
    <r>
      <rPr>
        <i/>
        <sz val="10"/>
        <color rgb="FF000000"/>
        <rFont val="Arial"/>
        <family val="2"/>
      </rPr>
      <t xml:space="preserve">Der junge Törless </t>
    </r>
    <r>
      <rPr>
        <sz val="10"/>
        <color rgb="FF000000"/>
        <rFont val="Arial"/>
        <family val="2"/>
      </rPr>
      <t xml:space="preserve">(1966) — adaptation de Robert Musil, exploration des structures autoritaires et de la « préhistoire du fascisme » dans une académie militaire prussienne. Werner Herzog : Signs of Life (1967), son premier long-métrage, introduit le thème de la descente dans la folie qui traversera toute son œuvre 
Fondation de l'école de cinéma DFFB à Berlin (1966).
</t>
    </r>
  </si>
  <si>
    <t>En 1961, il quitte l'école avant le baccalauréat et rejoint son père à Cologne, pour qui il collecte des loyers dans des immeubles habités en grande partie par des Gastarbeiter. Revenu à Munich en 1963, il écrit pièces, romans et scénarios, travaille brièvement au service de documentation de la Süddeutsche Zeitung et prend des cours de théâtre.
À l'école Fridl Leonhard, il rencontre en 1965 Hanna Schygulla et Irm Hermann ; avec Christoph Roser se forme son premier cercle personnel et artistique. Refusé au conservatoire, il hésite encore entre l'écriture et le métier de comédien : le collectif de création n'existe pas encore, mais ses futurs noyaux sont en place.</t>
  </si>
  <si>
    <t>« Toute une génération exorcisa son enfance déjà presque oubliée en soulignant sans répit combien étaient encombrantes et dévastatrices les ombres que le passé des parents avaient jetées sur le présent de leurs enfants ». Thomas Elsaesser, RWF un cinéaste d'Allemagne (2005) p.201</t>
  </si>
  <si>
    <t>1966-1973</t>
  </si>
  <si>
    <t xml:space="preserve"> De la Grande Coalition à l'Ostpolitik : contestation, réforme e Ostpoltik (1966-1973)</t>
  </si>
  <si>
    <t xml:space="preserve">Qu'est-ce qu'un cinéaste engagé ? </t>
  </si>
  <si>
    <t>De la mort de Benno Ohnesorg à l’adoption des lois d’exception, la contestation étudiante dénonce la guerre du Vietnam, les continuités autoritaires et le refoulement du nazisme. En 1969, l’arrivée de Willy Brandt (SPD), l’Ostpolitik et la réforme du paragraphe 175 ouvrent une phase de réformes, tandis qu’une minorité choisit la clandestinité armée (émergence de la bande à Baader)
La Grande coalition (1966-1969) CDU/SPD sous Kurt Georg Kiesinger : pour la première fois, le SPD entre au gouvernement fédéral en coalition avec la CDU. Le FDP devient la seule force d'opposition parlementaire. Ce vide d'opposition engendre l'APO (Außerparlamentarische Opposition, opposition extra-parlementaire) porté par la jeunesse. Mort de Benno Ohnesorg (2 juin 1967) : étudiant tué par la police lors d'une manifestation contre le Shah d'Iran . Loi sur l'État d'urgence (mai 1968) limitant les droits fondamentaux : manifestations massives à Bonn. Le mouvement contestataire d'ampleur, se singularise des autres mouvements européens par sa dénonciation du fascisme « de l'intérieur ». Les étudiants dénoncent les dérives autoritaires de la RFA et la société de consommation aliénante. Tentative d'assassinat contre Rudi Dutschke, leader de la contestation. Des mouvements de contestation émergent des groupes féministes et écologistes. Une frange d'extrême gauche choisit la radicalité : Baader et Ensslin sont arrêtés après des attentats à Francfort (1968). 
Beate Klarsfeld gifle le chancelier Kiesinger (novembre 1968).
Première récession de la RFA (1966-1967) : fin de l'évidence du Miracle économique. Loi de stabilité de 1967, gestion keynésienne sous Karl Schiller. Serpent monétaire européen (1972) qui stabilise les taux de change entre les monnaies européennes.
Charnière de 1969 : élection de Willy Brandt (SPD) au poste de chancelier. Il incarne l'« autre Allemagne » (il a été opposant à Hitler et s'est exilé en Norvège en 1933). Brandt initie l'Ostpolitik,  politique de rapprochement entre les deux États allemands, dans un contexte de détente internationale. Il rompt un tabou en parlant de « deux États en Allemagne ». Cela aboutit à la reconnaissance mutuelle des deux Allemagne. 
Genoux de Varsovie (décembre 1970) : Brandt s'agenouille devant le monument du ghetto de Varsovie, acte de reconnaissance de la culpabilité de l'Etat allemand à l'égard de la population juive sous le régime nazi. Traité de reconnaissance de la ligne Oder-Neisse avec la Pologne.  
Willy Brandt est prix Nobel de la paix  (1971).
Entrée des deux états allemands à l'ONU (1973)
La réforme du paragraphe 175 accompagne l’assouplissement de la répression de l’homosexualité qui dépénalisée.
Les Gastarbeiter subissent discriminations systématiques : salaires inférieurs, emplois plus pénibles et dangereux, logement en foyers aux règles strictes. 2 millions d'étrangers en RFA (1969).</t>
  </si>
  <si>
    <t xml:space="preserve">Redécouverte de l’École de Francfort. La circulation de modèles venus de la Nouvelle Vague, du théâtre d’avant-garde et de la culture rock font de la critique des institutions, de la famille et des représentations un enjeu esthétique autant que politique.
Maturation du Nouveau cinéma allemand : le manifeste d'Oberhausen (1962) porte ses premiers fruits institutionnels. Le Kuratorium junger deutscher Film (1965) et la Filmförderungsgesetz (FFG, 1967) structurent un cinéma d'auteur subventionné, rompant avec la logique commerciale des années 1950. Fondation du Filmverlag der Autoren (1971). Accords Film-Télévision (1974) favorisant les coproductions (WDR). A partir de 1968 l'industrie du cinéma commercial allemand agonise.
Plusieurs cinéastes allemands ( Schlöndorff, Herzog notamment) réalisent des charges politiques violentes contre la politique et la société allemande. Pourtant, dans un premier temps, l'amnésie historique se poursuit dans le cinéma allemand de fiction. Seuls des documentaires s'emparent de l'histoire du nazisme
Alexander Kluge : Artisten in der Zirkuskuppel: ratlos (1968) — Lion d'or à Venise. Considéré comme l'un des chefs-d'œuvre du cinéma moderne
Werner Herzog : Aguirre, la colère de Dieu (1972) — descente vers la folie de conquistadors en Amazonie, métaphore du délire totalitaire
Wim Wenders : Alice dans les villes (1974) — road movie mélancolique, réflexion sur l'aliénation et la perte de repères dans l'Allemagne des années 1970
</t>
  </si>
  <si>
    <t>En 1966, un nouvel échec à l'entrée de la DFFB l'éloigne de la voie scolaire : ses premiers courts métrages sont financés hors institution par Christoph Roser. L'Action-Theater (1967) lui apporte un cadre collectif et les rencontres de Peer Raben et Kurt Raab ; après l'incendie du théâtre, il fonde l'antiteater (1968) avec une dizaine de membres. Théâtre, vie commune et cinéma reposent alors sur le même noyau — Schygulla, Hermann, Raab, Raben, Lommel, Baer — et sur une circulation constante des fonctions.
À partir de 1969, le cinéma prend progressivement le dessus. Les premiers longs métrages sont tournés très vite avec la troupe : 24 jours pour L'Amour est plus froid que la mort, 9 pour Le Bouc. En 1970, cette « stock company » devient un mini-studio capable d'enchaîner films, téléfilms, radio et théâtre. La crise de Prenez garde à la sainte putain précipite toutefois la dissolution de l'antiteater et d'antiteater-film en 1971.
RWF fonde Tango Film et participe au Filmverlag der Autoren : la production se professionnalise sans rompre avec les collaborateurs fidèles. La rencontre de Michael Ballhaus et la découverte de Sirk déplacent sa pratique vers le mélodrame et vers un public plus large. La télévision permet des formats et des tournages plus amples — 105 jours pour Huit heures ne font pas un jour — tandis que le théâtre, toujours actif, n'est plus le centre unique de sa création.
Le cercle de travail reste aussi un cercle intime. RWF entame en 1969 une relation avec Günther Kaufmann, rencontré sur le tournage de Baal, tout en épousant Ingrid Caven en 1970. À partir de 1971, El Hedi ben Salem devient son compagnon et rejoint ses films ; leur séparation en 1973 accompagne le tournage de Tous les autres s'appellent Ali. Ces relations nourrissent et déplacent continuellement le noyau de sa « famille » artistique.</t>
  </si>
  <si>
    <t>This night (1966, court-métrage)
Le Clochard (1966, court-métrage)
Petit chaos (1967, court-métrage)
L’Amour est plus froid que la mort (1969, long métrage)
Le Bouc (1969, long métrage)
Les Dieux de la peste (1970, long métrage)
Pourquoi M. R. est-il atteint de folie meurtrière ? (1970, long métrage)
Le Soldat américain (1970, long métrage)
Le Voyage à Niklashausen (1970, téléfilm)
Le Café (1970, téléfilm)
Rio das mortes (1970, film)
Whity (1971, long métrage)
Prenez garde à la sainte putain (1971, long métrage)
Pionniers à Ingolstadt (1971, téléfilm)
Le Marchand des quatre saisons (1972, long métrage)
Les Larmes amères de Petra von Kant (1972, long métrage)
Liberté à Brême (1972, téléfilm)
Huit heures ne font pas un jour (1972, série télévisée)
Gibier de passage (1973, téléfilm)
Le Monde sur un fil (1973, téléfilm en deux parties)</t>
  </si>
  <si>
    <t>film-1966-le-clochard; film-1967-petit-chaos; film-1969-l-amour-est-plus-froid-que-la-mort; film-1969-le-bouc; film-1970-les-dieux-de-la-peste; film-1970-pourquoi-m-r-est-il-atteint-de-folie-meurtriere; film-1970-le-soldat-americain; film-1970-le-voyage-a-niklashausen; film-1970-rio-das-mortes; film-1971-whity; film-1971-prenez-garde-a-la-sainte-putain; film-1971-pionniers-a-ingolstadt; film-1972-le-marchand-des-quatre-saisons; film-1972-les-larmes-ameres-de-petra-von-kant; film-1972-liberte-a-breme; film-1972-huit-heures-ne-font-pas-un-jour; film-1973-gibier-de-passage; film-1973-le-monde-sur-un-fil</t>
  </si>
  <si>
    <r>
      <rPr>
        <i/>
        <sz val="10"/>
        <color rgb="FF000000"/>
        <rFont val="Arial"/>
        <family val="2"/>
      </rPr>
      <t>Le bouc</t>
    </r>
    <r>
      <rPr>
        <sz val="10"/>
        <color rgb="FF000000"/>
        <rFont val="Arial"/>
        <family val="2"/>
      </rPr>
      <t xml:space="preserve"> est un tournant  tant en termes de reconnaissance que du point de vue économique. Le film aborde des problématiques contemporaines (sort des travailleurs immigrés) et des thématiques chères à RWF (l'univers étriqué de la bourgeoisie, en particulier bavaroise). </t>
    </r>
  </si>
  <si>
    <t>La bande à Baader présentée par la télébision suisse en 1972|https://www.rts.ch/archives/1972/video/la-bande-baader-meinhof-26956164.html</t>
  </si>
  <si>
    <t>1974-1979</t>
  </si>
  <si>
    <t xml:space="preserve">Après le miracle : crise économlique, années de plomb et désenchantement 
</t>
  </si>
  <si>
    <t xml:space="preserve">Comment le rapport dominant/dominé structure-t-il toute relation, affective ou sociale ? </t>
  </si>
  <si>
    <t xml:space="preserve">La période est marquée par les attentats et l’arrestation de la première génération de la RAF, le choc pétrolier, la fin du recrutement des Gastarbeiter et la démission de Willy Brandt. La crise économique et le terrorisme infléchissent le climat réformateur.
Démission de Willy Brandt (1974) suite à l'affaire Guillaume, un collaborateur accusé d'espionnage pour le compte de la RDA. L'Ostpolitik se poursuit sous Helmut Schmidt (SPD). Conférence d'Helsinki (1975) : la RFA reconnaît le statu quo territorial européen.
Premier choc pétrolier (1973) et crise économique qui en découle mettent fin au système des Gastarbeiter. 4 millions d'étrangers en RFA (1974) : la politique de regroupement familial a accru les arrivées. Fin du plein emploi : montée structurelle du chômage. Tensions sociales et crises du logement (Westend). Débats sur la visibilité des minorités. 
Procès, enlèvements, prises d’otages et morts en détention installent la RAF au centre du débat public. Terrorisme de la RAF (arrestations en 1972). Attentat des JO de Munich (1972). L'« Automne allemand » (1977) désigne l'apogée du terrorisme en RFA. Assassinat du procureur fédéral Buback (avril 1977), de Jürgen Ponto, président de la Dresdner Bank (juillet 1977). Enlèvement et assassinat de Hanns Martin Schleyer, président du patronat allemand (septembre-octobre 1977). Détournement du vol Lufthansa à Mogadiscio ; intervention des forces spéciales allemandes. Nuit de la mort de Stammheim : Baader, Ensslin et Raspe se suicident en prison (octobre 1977) 
Les réformes sociétales se poursuivent : Loi sur l'avortement (1976) et réforme du droit de la famille (1977) qui confère plus d'autonomie aux femmes.
</t>
  </si>
  <si>
    <r>
      <rPr>
        <sz val="10"/>
        <color rgb="FF000000"/>
        <rFont val="Arial"/>
        <family val="2"/>
      </rPr>
      <t xml:space="preserve">La représentation de l’histoire récente et du nazisme devient un enjeu central. </t>
    </r>
    <r>
      <rPr>
        <i/>
        <sz val="10"/>
        <color rgb="FF000000"/>
        <rFont val="Arial"/>
        <family val="2"/>
      </rPr>
      <t>L’Allemagne en automne,</t>
    </r>
    <r>
      <rPr>
        <sz val="10"/>
        <color rgb="FF000000"/>
        <rFont val="Arial"/>
        <family val="2"/>
      </rPr>
      <t xml:space="preserve"> </t>
    </r>
    <r>
      <rPr>
        <i/>
        <sz val="10"/>
        <color rgb="FF000000"/>
        <rFont val="Arial"/>
        <family val="2"/>
      </rPr>
      <t>Hitler, un film d’Allemagne</t>
    </r>
    <r>
      <rPr>
        <sz val="10"/>
        <color rgb="FF000000"/>
        <rFont val="Arial"/>
        <family val="2"/>
      </rPr>
      <t xml:space="preserve"> puis la diffusion de </t>
    </r>
    <r>
      <rPr>
        <i/>
        <sz val="10"/>
        <color rgb="FF000000"/>
        <rFont val="Arial"/>
        <family val="2"/>
      </rPr>
      <t>Holocaust</t>
    </r>
    <r>
      <rPr>
        <sz val="10"/>
        <color rgb="FF000000"/>
        <rFont val="Arial"/>
        <family val="2"/>
      </rPr>
      <t xml:space="preserve"> confrontent cinéma et télévision aux limites du témoignage, au sentimentalisme, à la mémoire collective et à la capacité des images populaires à rouvrir le passé. Le cinéma allemand s'empare de son histoire passée et récente et réfléchit aux problèmes de représentation qu'elle pose. 
Développement du "film amphibie" (cinéma/TV). Le cinéma devient un outil de critique sociale directe.
Film collectif </t>
    </r>
    <r>
      <rPr>
        <i/>
        <sz val="10"/>
        <color rgb="FF000000"/>
        <rFont val="Arial"/>
        <family val="2"/>
      </rPr>
      <t>L'Allemagne en automne</t>
    </r>
    <r>
      <rPr>
        <sz val="10"/>
        <color rgb="FF000000"/>
        <rFont val="Arial"/>
        <family val="2"/>
      </rPr>
      <t xml:space="preserve"> (1978). 
La diffusion de la série </t>
    </r>
    <r>
      <rPr>
        <i/>
        <sz val="10"/>
        <color rgb="FF000000"/>
        <rFont val="Arial"/>
        <family val="2"/>
      </rPr>
      <t>Holocaust</t>
    </r>
    <r>
      <rPr>
        <sz val="10"/>
        <color rgb="FF000000"/>
        <rFont val="Arial"/>
        <family val="2"/>
      </rPr>
      <t xml:space="preserve"> de Marvin J. Chomsky (1979) à la télévision allemande suscite des débats importants, auxquels participent des cinéastes comme Syberberg ou Edgard Reitz. 
La mémoire du nazisme est désormais un enjeu cinématographique : les films de la RFA explorent les continuités entre le Troisième Reich et l'Allemagne contemporaine
Le mouvement du Nouveau Cinéma allemand atteint son apogée thématique et politique.
</t>
    </r>
  </si>
  <si>
    <t>Entre 1974 et 1975, la direction du Theater am Turm de Francfort constitue une dernière tentative de faire du théâtre une institution durable ; les conflits avec la troupe et sa démission referment cette phase. Le cinéma et la télévision dominent désormais, portés par le succès international de Tous les autres s'appellent Ali, Effi Briest et Le Droit du plus fort. Le noyau ancien ne disparaît pas, mais les productions associent davantage chaînes publiques, coproducteurs, techniciens spécialisés et interprètes extérieurs. En 1974, RWF rencontre Armin Meier et s'installe avec lui : son compagnon rejoint à son tour le cercle intime qui entoure le travail.
Les structures se recomposent : Tango Film demeure ; RWF renfloue le Filmverlag der Autoren en 1976, puis le quitte en 1977. Sur le tournage de Roulette chinoise, en 1976, il commence à consommer de la cocaïne et de l'héroïne. Despair ouvre ensuite l'ère des coproductions internationales et des tournages plus lourds (41 jours). Juliane Lorenz devient sa monteuse et sa collaboratrice la plus proche. Les revers liés aux Ordures, la ville et la mort et aux projets refusés accentuent son éloignement du théâtre et de certaines institutions allemandes.
En 1978, Le Mariage de Maria Braun (35 jours) dépasse son budget : rupture avec Michael Ballhaus, conflit avec Michael Fengler, licenciement d'une partie de l'équipe et achèvement indépendant à Berlin. La logique de la troupe cède à des équipes recomposées projet par projet. Après que RWF a quitté Armin Meier, le suicide de celui-ci, probablement le 31 mai 1978, provoque une crise intime majeure. L'Année des treize lunes marque alors une reprise de contrôle très personnelle : RWF intervient jusque dans le cadre et le montage. Le triomphe de Maria Braun le fait passer du statut d'« enfant terrible » à celui d'auteur international, tandis qu'il entreprend Berlin Alexanderplatz, tournage de 154 jours commencé en 1979.</t>
  </si>
  <si>
    <t>Tous les autres s’appellent Ali (1974, long métrage)
Effi Briest (1974, long métrage)
Nora Helmer (1974, téléfilm)
Martha (1974, téléfilm)
Le Droit du plus fort (1975, long métrage)
Maman Küsters s’en va au ciel (1975, long métrage)
Comme un oiseau sur le fil (1975, téléfilm)
Peur de la peur (1975, téléfilm)
Le Rôti de Satan (1976, long métrage)
Roulette chinoise (1976, long métrage)
Je veux seulement que vous m’aimiez (1976, téléfilm)
Femmes à New York (1977, téléfilm)
La Femme du chef de gare (1977, téléfilm)
L’Allemagne en automne (1978, film collectif ; segment réalisé par RWF)
Despair (1978, long métrage)
L’Année des treize lunes (1978, long métrage)
Le Mariage de Maria Braun (1978, long métrage)
La Troisième génération (1979, long métrage)</t>
  </si>
  <si>
    <t>film-1974-tous-les-autres-s-appellent-ali; film-1974-effi-briest; film-1974-nora-helmer; film-1974-martha; film-1975-le-droit-du-plus-fort; film-1975-maman-kusters-s-en-va-au-ciel; film-1975-comme-un-oiseau-sur-le-fil; film-1975-peur-de-la-peur; film-1976-le-roti-de-satan; film-1976-roulette-chinoise; film-1976-je-veux-seulement-que-vous-m-aimiez; film-1977-femmes-a-new-york; film-1977-la-femme-du-chef-de-gare; film-1978-l-allemagne-en-automne; film-1978-despair; film-1978-l-annee-des-treize-lunes; film-1978-le-mariage-de-maria-braun; film-1979-la-troisieme-generation</t>
  </si>
  <si>
    <t>Dans les mélodrames de RWF , les personnages tentent en vain de s'affranchir des positions aliénantes produites par la famille, le couple, au sein du système capitaliste et de la classe bourgeoise. Une analogie s'établit alors entre famille et Allemagne. Le mélodrame fassbindérien met en scène des crises identitaires du sujet, comme crises de la perception (du regard), qui se traduisent par une mise en crise de l'image (image de soi et image du film). Les films font dialoguer subjectivité et affects avec mécanismes sociaux, évitant ainsi toute lecture simpliste et figée de type psychologique ou idéologique. Le mélodrame, en interpénétrant le privé et le public, l'individuel et le collectif, joue d'un trouble qui participe à son caractère critique et progressiste : il est potentiellement facteur de changement pour un spectateur constamment soumis à la réflexion.</t>
  </si>
  <si>
    <t>Assassinat d'Hanns Meyer Schleyer|https://youtu.be/Swkle9X11SQ?si=ndqGi8UZz0DZAULQ&amp;t=41; Inhumanation des suicidés de Stammheim|https://www.ina.fr/ina-eclaire-actu/video/cab7701618601/enterrement-bande-a-baader</t>
  </si>
  <si>
    <t>le cinéaste Edgar Reitz affirme la nécessité " de films, de livres, d'images qui nous fassent reprendre connaissance et rétablissent nos réflexes", Medium, 5/1979, p.21</t>
  </si>
  <si>
    <t>1980-1982</t>
  </si>
  <si>
    <t>La fin d'une ère : fin de la détente et tournant conservateur</t>
  </si>
  <si>
    <t xml:space="preserve">Jusqu'à quel point les femmes de la trilogie RFA sont-elles une allégorie de la nation allemande ? </t>
  </si>
  <si>
    <t>La fin de la détente amorcée en 1979 relance la course à l'armement. 
Les mouvements écologistes, féministes et pacifistes se structurent avec la fondation des Verts (1980) et les grandes mobilisations contre la course aux armements. Ils reconfigurent un système politique jusque-là dominé par trois partis.
Fin de l'ère sociale-libérale : arrivée au pouvoir du chancelier Helmut Kohl (CDU) en 1982 :  Kohl se donne comme mission de réconcilier le peuple ouest-allemand avec son passé. Il ne remet pas en cause l'Ostpolitik mais soutient un projet de réunification. Il cultive l'entente avec la France de François Mitterrand
La crise structurelle s'installe. Le chômage s'élève à 8 % en 1983 :  le modèle de l'économie sociale de marché est contesté de l'intérieur par les écologistes et les pacifistes.
Rapport d'une commission d'enquête (« Femme et société », 1980) qui défend encore le modèle de la femme au foyer. La part des femmes élues n'atteint pas 10 %.
La mémoire du nazisme reste un enjeu vif : la figure de Schleyer, ancien SS, a révélé les continuités entre élites économiques et régime nazi.</t>
  </si>
  <si>
    <r>
      <rPr>
        <sz val="10"/>
        <color theme="1"/>
        <rFont val="Arial"/>
        <family val="2"/>
      </rPr>
      <t>Le cinéma allemand poursuit son travail sur la mémoire familiale et nationale, notamment avec Allemagne mère blafarde et le projet Heimat. La télévision devient un lieu majeur pour les récits historiques de longue durée.
Herzog —</t>
    </r>
    <r>
      <rPr>
        <i/>
        <sz val="10"/>
        <color theme="1"/>
        <rFont val="Arial"/>
        <family val="2"/>
      </rPr>
      <t xml:space="preserve"> Fitzcarraldo </t>
    </r>
    <r>
      <rPr>
        <sz val="10"/>
        <color theme="1"/>
        <rFont val="Arial"/>
        <family val="2"/>
      </rPr>
      <t>(1982) : tournage légendaire en Amazonie, métaphore de la folie des grandeurs. La documentation du tournage par Les Blank (Burden of Dreams, 1982) devient elle-même un mythe du cinéma.
Fin d'une époque artistique et politique radicale</t>
    </r>
  </si>
  <si>
    <t>Berlin Alexanderplatz, achevé en avril 1980 après 154 jours de tournage, porte à son maximum l'allongement des formats et l'articulation cinéma-télévision. La « famille » de l'antiteater a laissé place à des équipes et producteurs adaptés à chaque projet : producteur commercial pour Lili Marleen, collaborations maintenues avec Peer Raben et Juliane Lorenz, retours ou ruptures ponctuels avec d'anciens interprètes comme Hanna Schygulla.
RWF conserve pourtant un rythme frénétique : Lili Marleen (47 jours), Lola (30), Le Secret de Veronika Voss (24), Théâtre en transe, puis Querelle. Cette succession conjugue projets de prestige, télévision, documentaire et cinéma international. L'alcool, la cocaïne et l'épuisement s'aggravent. Après l'Ours d'or du Secret de Veronika Voss et le tournage de Querelle, dédié à El Hedi ben Salem, Fassbinder meurt à Munich le 10 juin 1982, à 37 ans, laissant plus de quarante films et une œuvre pensée comme l'histoire affective et politique de la RFA.</t>
  </si>
  <si>
    <t>Berlin Alexanderplatz (1980, série télévisée)
Lili Marleen (1981, long métrage)
Théâtre en transe (1981, documentaire)
Lola, une femme allemande (1981, long métrage)
Le Secret de Veronika Voss (1981, long métrage)
Querelle (1982, long métrage)</t>
  </si>
  <si>
    <t>film-1980-berlin-alexanderplatz; film-1981-lili-marleen; film-1981-theatre-en-transe; film-1981-lola-une-femme-allemande; film-1981-le-secret-de-veronika-voss; film-1982-querelle</t>
  </si>
  <si>
    <r>
      <rPr>
        <sz val="10"/>
        <color theme="1"/>
        <rFont val="Arial"/>
        <family val="2"/>
      </rPr>
      <t xml:space="preserve">"je ferai des films jusqu'à ce que j'ai conduit mon histoire de la RFA jusqu'à ici et aujourd'hui. Les histoires de </t>
    </r>
    <r>
      <rPr>
        <i/>
        <sz val="10"/>
        <color theme="1"/>
        <rFont val="Arial"/>
        <family val="2"/>
      </rPr>
      <t xml:space="preserve">Lola </t>
    </r>
    <r>
      <rPr>
        <sz val="10"/>
        <color theme="1"/>
        <rFont val="Arial"/>
        <family val="2"/>
      </rPr>
      <t xml:space="preserve">et </t>
    </r>
    <r>
      <rPr>
        <i/>
        <sz val="10"/>
        <color theme="1"/>
        <rFont val="Arial"/>
        <family val="2"/>
      </rPr>
      <t>Maria Braun</t>
    </r>
    <r>
      <rPr>
        <sz val="10"/>
        <color theme="1"/>
        <rFont val="Arial"/>
        <family val="2"/>
      </rPr>
      <t xml:space="preserve"> ne sont possibles que dans l'époque où elles se déroulent. Et elles s'intègrent, je l'espère, dans un portrait d'ensemble de la République fédérale, elles aident à comprendre cette étrange entité, avec ses dangers et ses menaces. En ce sens, ce sont des films très politiques". in </t>
    </r>
    <r>
      <rPr>
        <i/>
        <sz val="10"/>
        <color theme="1"/>
        <rFont val="Arial"/>
        <family val="2"/>
      </rPr>
      <t xml:space="preserve">Rainer Werner Fassbinder, Dichter, Schauspieler, Filmemacher, </t>
    </r>
    <r>
      <rPr>
        <sz val="10"/>
        <color theme="1"/>
        <rFont val="Arial"/>
        <family val="2"/>
      </rPr>
      <t>Argon, 1992, p.77</t>
    </r>
  </si>
  <si>
    <t>Portrait d'Helmut Kohl|https://www.ina.fr/ina-eclaire-actu/video/cab8201713301/helmut-kohl; Les génériques des films de RWF|https://www.youtube.com/watch?v=kp-fpPFhwyU</t>
  </si>
  <si>
    <r>
      <t xml:space="preserve">"Fassbinder est devenu une figure encore plus monstrueuse et encore plus chargée de fantasmes qu'il ne l'était de son vivant", Thomas Elsaesser, </t>
    </r>
    <r>
      <rPr>
        <i/>
        <sz val="10"/>
        <rFont val="Arial"/>
        <family val="2"/>
      </rPr>
      <t>Rainer Werner Fassbinder, un cinéaste d'Allemagne, 2005, p.389</t>
    </r>
  </si>
  <si>
    <t>Année</t>
  </si>
  <si>
    <t>Analyse et Réception critique</t>
  </si>
  <si>
    <t>Extraits</t>
  </si>
  <si>
    <t>Description de l'extrait</t>
  </si>
  <si>
    <t>Consigne d'analyse</t>
  </si>
  <si>
    <t>Image 1</t>
  </si>
  <si>
    <t>Légende 1</t>
  </si>
  <si>
    <t>Image 2</t>
  </si>
  <si>
    <t>Légende 2</t>
  </si>
  <si>
    <t>Image 3</t>
  </si>
  <si>
    <t>Légende 3</t>
  </si>
  <si>
    <t>Source</t>
  </si>
  <si>
    <t>IDs films — Œuvres</t>
  </si>
  <si>
    <t>Les alliés aident à la relance de médias d'information et promeuvent une nouvelle politique éducative. 
Les alliés organisent un vaste programme de démocratisation, décartellisation, démilitarisation et dénazification
La capitulation ouvre une période d’effondrement matériel et démographique : villes et réseau ferroviaire détruits, millions de morts, de prisonniers et de sans-logis, malnutrition et déplacements massifs. La figure de la Trümmerfrau (« femme des ruines ») s’impose dans les représentations de la reconstruction.
Les conférences de Yalta et de Potsdam organisent la division du pays en quatre zones d’occupation, l’amputation des territoires situés à l’est de la ligne Oder-Neisse, ainsi que la démilitarisation et la dénazification. Le procès international de Nuremberg s’ouvre en novembre.</t>
  </si>
  <si>
    <r>
      <rPr>
        <sz val="10"/>
        <color rgb="FF000000"/>
        <rFont val="Arial"/>
        <family val="2"/>
      </rPr>
      <t xml:space="preserve">Le cinéma est en ruines. Premières projections des </t>
    </r>
    <r>
      <rPr>
        <i/>
        <sz val="10"/>
        <color rgb="FF000000"/>
        <rFont val="Arial"/>
        <family val="2"/>
      </rPr>
      <t>Moulins de la mort</t>
    </r>
    <r>
      <rPr>
        <sz val="10"/>
        <color rgb="FF000000"/>
        <rFont val="Arial"/>
        <family val="2"/>
      </rPr>
      <t xml:space="preserve"> (Todesmühen), un documentaire sur les camps de concentration.
Les Alliés font de la reconstruction culturelle un instrument de « rééducation » démocratique : réouverture de lieux culturels, retour d’artistes interdits sous le nazisme, création de nouveaux organes de presse sous contrôle militaire. Les « maisons de l’Amérique » diffusent livres, traductions et productions américaines.
Une esthétique des ruines traverse la littérature et le cinéma ; Berlin redevient rapidement un centre intellectuel important.</t>
    </r>
  </si>
  <si>
    <t>Naissance de Rainer Werner Fassbinder le 31 mai à Bad Wörishofen, Bavière. Père médecin généraliste, mère traductrice. Première année passée chez son oncle paternel</t>
  </si>
  <si>
    <t>Les génériques de Fassbinder</t>
  </si>
  <si>
    <t>Premières élections municipales dans la zone américaine. 
La « loi d'élimination du national-socialisme et du militarisme » du 5 mars 1946 définit dans son article 4 les niveaux de responsabilité : Hauptschuldige (principaux coupables), Belastete (charges importantes), Minderbelastete (charges mineures), Mitläufer (suivistes), Entlastete (libérés, les procès en dénazification pouvant déclarer les prévenus nicht betroffen, « non concernés » par cette loi). Procès de Nuremberg : 12 des 24 accusés sont condamnés à mort pour crimes de guerre.
À Nuremberg, douze accusés sont condamnés à mort, huit à des peines de prison et trois sont acquittés. Les puissances occupantes organisent aussi des procès dans leurs zones, mais de nombreux responsables nazis échappent aux poursuites, fuient ou sont recrutés par les services occidentaux.
Les zones américaine et britannique fusionnent en décembre pour former la bizone. À Berlin, les premières élections municipales donnent la majorité au SPD.</t>
  </si>
  <si>
    <t>Fondation de la DEFA (Deutsche Film AG) à Berlin Est. Premières productions de films allemands de fiction depuis la fin de la guerre. 
Vogue de l'évocation mélancolique de la patrie dans la chanson de variété allemande avec "Möwe, di fliegst in die Heimat" de Magda Hein.
La reprise de la production cinématographique allemande accompagne la reconstruction de la vie culturelle, tandis que l’épuration du secteur culturel demeure inégale selon les zones d’occupation.</t>
  </si>
  <si>
    <t xml:space="preserve">Le couple Fassbinder prend l'enfant avec eux à Munich. Une partie de la famille vit dans le même appartement, notamment la grand-mère de Rainer. </t>
  </si>
  <si>
    <t>Le procès de Nuremberg</t>
  </si>
  <si>
    <t>Période de disette la plus terrible depuis la fin de la guerre. Les Trümmerfrauen (les femmes des ruines) constituent un des piliers de la reconstruction.
Dans les zones occidentales, l’assouplissement de la censure accompagne le recul progressif de la dénazification, désormais subordonnée à la confrontation entre les blocs. Berlin concentre ces tensions.</t>
  </si>
  <si>
    <t>À l'initiative de Hans Werner Richter, fondation du Groupe 47 qui réunit l'avant-garde littéraire allemande dont Gunter Grass et Heinrich Böll.  Le Groupe cherche à constituer une élite exemplairement démocratique dans le domaine des lettres et à développer de nouvelles formes d'écriture pour permettre aux lettres allemandes d'exprimer au mieux des enjeux esthétiques et politiques en adéquation avec la société d'après-guerre.
Berlin devient le foyer d’une activité intellectuelle intense, partagée entre volonté de rupture avec le nazisme et continuités institutionnelles ou personnelles.</t>
  </si>
  <si>
    <t>Elsaesser, Wikipedia</t>
  </si>
  <si>
    <t>Réforme monétaire de l'Allemagne de l'Ouest, acte fondateur du "miracle économique" comme de la séparation entre blocs est et ouest. Ludwig Erhard, professeur d'économie, développe l'économie sociale de marché. Le Plan Marshall participe à la relance de l'économie ouest-allemande. 
Blocus de Berlin par les soviétiques, l'une des premières crises de la Guerre Froide. Un pont aérien est mis en place à l'initiative des Etats-Unis et de la Grande-Bretagne.
Dans les zones occidentales, la dénazification est déclarée achevée : de nombreux individus compromis avec le régime sont requalifiés comme simples « suivistes » et des procédures d’appel permettent des réintégrations administratives. La zone française rejoint la bizone pour former la trizone.
À Berlin, le départ soviétique du Conseil de contrôle, la réforme monétaire puis le blocus des secteurs occidentaux accélèrent la division. Une municipalité séparée, dominée par le SED, s’installe à Berlin-Est.</t>
  </si>
  <si>
    <r>
      <t>Le film de Rossellini</t>
    </r>
    <r>
      <rPr>
        <i/>
        <sz val="10"/>
        <color rgb="FF000000"/>
        <rFont val="Arial"/>
        <family val="2"/>
      </rPr>
      <t xml:space="preserve"> Allemagne année zéro</t>
    </r>
    <r>
      <rPr>
        <sz val="10"/>
        <color rgb="FF000000"/>
        <rFont val="Arial"/>
        <family val="2"/>
      </rPr>
      <t xml:space="preserve"> offre une vision réaliste et critique de l'Allemagne en ruine
Revenu d’exil, Bertolt Brecht se voit refuser par les Alliés occidentaux l’autorisation de s’installer en RFA ; cette trajectoire annonce la polarisation culturelle entre les deux Allemagne.</t>
    </r>
  </si>
  <si>
    <t>Le blocus de Berlin en 3 minutes</t>
  </si>
  <si>
    <t>Allemagne_annee_0_Reichstag.mp4</t>
  </si>
  <si>
    <r>
      <t xml:space="preserve">Allemagne année zéro </t>
    </r>
    <r>
      <rPr>
        <sz val="10"/>
        <color rgb="FF000000"/>
        <rFont val="Arial"/>
        <family val="2"/>
      </rPr>
      <t>de Rossellini (1948) Le protagoniste Edmund tente de vendre un enregistrement d'un discours d'Hitler sur disque à des soldats alliés. La voix du Führer se met à résonner dans les ruines du Reichstag, siège du parlement incendié en 1933</t>
    </r>
  </si>
  <si>
    <t>Comment Rossellini traduit-il une relation complexe avec l'Histoire, entre fascination, terreur, et hantise ?</t>
  </si>
  <si>
    <t>Création de l'OTAN. Création de la RFA. Konrad Adenauer est élu chancelier fédéral avec une courte majorité. La division de l'Allemangne en deux États indépendants est reconnue par la communauté internationale.
La Loi fondamentale de la RFA garantit les droits fondamentaux, restaure le fédéralisme et organise le Bundestag, le Bundesrat et la chancellerie. Elle inscrit la réunification dans ses principes, mais facilite aussi le retour dans les services publics d’anciens membres du NSDAP non classés parmi les responsables les plus compromis.
À l’Est, la création de la RDA et sa constitution formellement fédérale masquent le monopole politique du SED.</t>
  </si>
  <si>
    <r>
      <t xml:space="preserve">Avec sa femme Helene Weigel, Brecht fonde le Berliner Ensemble à Berlin-Est, où il crée </t>
    </r>
    <r>
      <rPr>
        <i/>
        <sz val="10"/>
        <color rgb="FF000000"/>
        <rFont val="Arial"/>
        <family val="2"/>
      </rPr>
      <t>Mère courage et ses enfants</t>
    </r>
    <r>
      <rPr>
        <sz val="10"/>
        <color rgb="FF000000"/>
        <rFont val="Arial"/>
        <family val="2"/>
      </rPr>
      <t xml:space="preserve">. Thomas Mann donne des conférences  en Allemagne de l'ouest et en République démocratique (voir le film de Pavel Pawlikowski </t>
    </r>
    <r>
      <rPr>
        <i/>
        <sz val="10"/>
        <color rgb="FF000000"/>
        <rFont val="Arial"/>
        <family val="2"/>
      </rPr>
      <t xml:space="preserve">Fatherland </t>
    </r>
    <r>
      <rPr>
        <sz val="10"/>
        <color rgb="FF000000"/>
        <rFont val="Arial"/>
        <family val="2"/>
      </rPr>
      <t>(2026))
Le retour d’exil d’Adorno et de Horkheimer contribue à la refondation intellectuelle de la RFA et prépare l’influence ultérieure de l’École de Francfort. Brecht choisit au contraire de s’installer en RDA.</t>
    </r>
  </si>
  <si>
    <t>Bande Annonce de Fatherland de Pavel Pawlikoski</t>
  </si>
  <si>
    <t>Adenauer.jpeg</t>
  </si>
  <si>
    <t>Le chancelier Adenauer (CDU)</t>
  </si>
  <si>
    <t>En RDA, le pluralisme est strictement encadré. Jusqu’à la construction du Mur, environ 2,7 millions d’Allemands de l’Est gagnent la RFA.
À l’Ouest, la guerre de Corée stimule la demande industrielle et accélère l’essor d’une économie de biens de consommation.</t>
  </si>
  <si>
    <t>Le rock est encore associé à la délinquance et aux débordements de la jeunesse ; la chanson de variété allemande, le Schlager, domine la culture populaire jusqu’au milieu des années 1960.</t>
  </si>
  <si>
    <t xml:space="preserve">La mère de Fassbinder Liselotte Eder, née Pempeit, dite aussi Lilo Pempeit, est hospitalisée pour cause de tuberculose. </t>
  </si>
  <si>
    <t>,,,,,,,,,,,,,,,,,,,,,,,,,,,,,,,,,,,,,,,,,,,,,,,,,,,,,,,,,,,,,,,,,,,,,,,,,,,,,,,,,,,,,,,,,,,,,,,,,,,,,,,,,,,,,,,,,,,,,,,,,,,,,,,,,,,,,,,,,,,,,,,,,,,,,,,,,,,,,,,,,,,,,,,,,,,,,,,,,,,,,,,,,,,,,,,,,,,,,,,,,,,,,,,,,,,,,,,,,,,,,</t>
  </si>
  <si>
    <t>Création du Traité de "la communauté du charbon et de l'acier", début de la construction européenne autour de 6 pays.
La société ouest-allemande compte encore environ deux millions d’orphelins et un million de veuves de guerre. Le « miracle économique » repose sur les transferts technologiques, une main-d’œuvre qualifiée et la modération salariale. L’anticommunisme domine la vie politique, tandis que l’engagement public demeure limité.</t>
  </si>
  <si>
    <r>
      <rPr>
        <sz val="10"/>
        <color rgb="FF000000"/>
        <rFont val="Arial"/>
        <family val="2"/>
      </rPr>
      <t xml:space="preserve">Jean Vilar présente à Berlin-Ouest </t>
    </r>
    <r>
      <rPr>
        <i/>
        <sz val="10"/>
        <color rgb="FF000000"/>
        <rFont val="Arial"/>
        <family val="2"/>
      </rPr>
      <t xml:space="preserve">Le Prince de Hombourg </t>
    </r>
    <r>
      <rPr>
        <sz val="10"/>
        <color rgb="FF000000"/>
        <rFont val="Arial"/>
        <family val="2"/>
      </rPr>
      <t xml:space="preserve">de Kleist, créé à Avignon, avec un immense succès. Le TNP accueille également </t>
    </r>
    <r>
      <rPr>
        <i/>
        <sz val="10"/>
        <color rgb="FF000000"/>
        <rFont val="Arial"/>
        <family val="2"/>
      </rPr>
      <t>Mère Courage</t>
    </r>
    <r>
      <rPr>
        <sz val="10"/>
        <color rgb="FF000000"/>
        <rFont val="Arial"/>
        <family val="2"/>
      </rPr>
      <t xml:space="preserve"> de Brecht : les échanges théâtraux participent au retour de l’Allemagne dans la vie culturelle européenne.</t>
    </r>
  </si>
  <si>
    <t xml:space="preserve">Divorce des parents. Le père de RWF, Helmut Fassbinder, s'installe à Cologne.La grand-mère de RWF meurt. L'enfant s'installe à Munich avec sa mère  dans un appartement situé dans le quartier des prostituées. Les amants de Liselotte fréquentent le domicile. La mère de RWF l'inscrit dans une école Rudolf Steiner. </t>
  </si>
  <si>
    <t>Traité de réparation avec Israël signé par Adenauer.
L’accord sur la Communauté européenne de défense admet le principe d’une armée allemande sous commandement européen, même si le projet échoue en 1954. La RFA s’engage parallèlement à verser des réparations à Israël sous forme de livraisons de produits et d’armes.</t>
  </si>
  <si>
    <r>
      <rPr>
        <sz val="10"/>
        <color rgb="FF000000"/>
        <rFont val="Arial"/>
        <family val="2"/>
      </rPr>
      <t xml:space="preserve">Première émission de télévision dans le nord et l'ouest de la RFA
Dans </t>
    </r>
    <r>
      <rPr>
        <i/>
        <sz val="10"/>
        <color rgb="FF000000"/>
        <rFont val="Arial"/>
        <family val="2"/>
      </rPr>
      <t>Les Cerises de la liberté</t>
    </r>
    <r>
      <rPr>
        <sz val="10"/>
        <color rgb="FF000000"/>
        <rFont val="Arial"/>
        <family val="2"/>
      </rPr>
      <t>, Alfred Andersch raconte sa désertion de la Wehrmacht en 1944. Cette œuvre de la « littérature des ruines », mal reçue en RFA, témoigne des difficultés à élaborer publiquement l’expérience de la guerre.</t>
    </r>
  </si>
  <si>
    <t>Nombreux séjours de la mère à l'hôpital ou en sanatorium. RWF est confié à des voisins ou parents. Il commence à fréquenter assidûment les salles de cinéma.</t>
  </si>
  <si>
    <r>
      <t xml:space="preserve">Vous étes quand méme une star ?
Je ne dirais pas cela de cette façon. A neuf ans, je me sentais déjà ainsi. Depuis que j’ai commencé à réfléchir sur moi-même, je me suis considéré comme une vedette. Dès l’âge de sept ans, j’étais celui que je suis. » RWF, entretien dans </t>
    </r>
    <r>
      <rPr>
        <i/>
        <sz val="12"/>
        <rFont val="Aptos"/>
      </rPr>
      <t>Les Cahiers du cinéma, n</t>
    </r>
    <r>
      <rPr>
        <sz val="12"/>
        <rFont val="Aptos"/>
      </rPr>
      <t>°322, avril 1981, p.15</t>
    </r>
  </si>
  <si>
    <t>Fassbinder_enfant.jpeg</t>
  </si>
  <si>
    <t>Fassbinder enfant</t>
  </si>
  <si>
    <t>Révolte des ouvriers berlinois est-allemands écrasée par les chars soviétiques. 
Adenauer est réélu chancelier avec une coalition de centre droit
L’insurrection partie de Berlin-Est contre l’augmentation des cadences de travail s’étend aux principales villes de RDA avant d’être violemment réprimée par les forces soviétiques.
En RFA, l’application tardive du principe constitutionnel d’égalité dans le droit de la famille ne met pas fin à la « remasculinisation » de la société d’après-guerre.</t>
  </si>
  <si>
    <t>Premiers concerts de rock'n'roll en RFA à Hambourg et Francfort.
Bertolt Brecht dénonce dans un poème le mépris des dirigeants est-allemands pour le peuple ; le texte ne sera publié qu’en 1959 à l’Ouest.</t>
  </si>
  <si>
    <t>La révolte des ouvriers est-allemands</t>
  </si>
  <si>
    <t>La RFA devient un état souverain, doté de sa propre armée. Elle est admise au sein de l'OTAN.
La RFA remporte la coupe du monde de football, confirmation de son retour dans le concert des nations. 
Les premiers travailleurs immigrés commencent à arriver de Grèce et d'Italie pour soutenir le "miracle économique".
Les accords de Paris préparent le rétablissement de la souveraineté ouest-allemande et l’intégration de la RFA au système de défense occidental. La division allemande se consolide par l’institutionnalisation de deux blocs politiques et militaires rivaux.</t>
  </si>
  <si>
    <r>
      <t xml:space="preserve">Succès populaire du drame historique Sissi </t>
    </r>
    <r>
      <rPr>
        <sz val="10"/>
        <color rgb="FF000000"/>
        <rFont val="Arial"/>
        <family val="2"/>
      </rPr>
      <t xml:space="preserve">d'Ernst Marischka avec Romy Schneider et Karlheinz Böhm, qui deviendra un acteur récurrent du cinéma de Fassbinder.
La victoire de la RFA en coupe du monde de football symbolise le retour du pays dans les "grandes nations" et redonne estime de soi à la population allemande. RWF se réfère avec ironie à cette épisode à la fin du </t>
    </r>
    <r>
      <rPr>
        <i/>
        <sz val="10"/>
        <color rgb="FF000000"/>
        <rFont val="Arial"/>
        <family val="2"/>
      </rPr>
      <t xml:space="preserve">Mariage de Maria Braun : </t>
    </r>
    <r>
      <rPr>
        <sz val="10"/>
        <color rgb="FF000000"/>
        <rFont val="Arial"/>
        <family val="2"/>
      </rPr>
      <t xml:space="preserve">
</t>
    </r>
    <r>
      <rPr>
        <i/>
        <sz val="10"/>
        <color rgb="FF000000"/>
        <rFont val="Arial"/>
        <family val="2"/>
      </rPr>
      <t xml:space="preserve">le match est retransmis et commenté à la radio pendant toute la dernière séquence et la victoire apparaît bien dérisoire étant donné l'explosion mélodramatique qui clot le film. </t>
    </r>
  </si>
  <si>
    <t xml:space="preserve">RWF se met  à écrire des pièces de théâtre. Il voit tout des films hollywoodiens qui affluent sur les écrans d'Allemagne de l'Ouest.
</t>
  </si>
  <si>
    <t>Bande Annonce de Sissi (1955)</t>
  </si>
  <si>
    <t>Bohm.jpg</t>
  </si>
  <si>
    <t>Karlheinz Böhm</t>
  </si>
  <si>
    <t>Le premier accord de recrutement de travailleurs étrangers est signé avec l’Italie : il inaugure le système des Gastarbeiter, indispensable à la croissance industrielle ouest-allemande.</t>
  </si>
  <si>
    <r>
      <rPr>
        <sz val="10"/>
        <color rgb="FF000000"/>
        <rFont val="Arial"/>
        <family val="2"/>
      </rPr>
      <t xml:space="preserve">Dans </t>
    </r>
    <r>
      <rPr>
        <i/>
        <sz val="10"/>
        <color rgb="FF000000"/>
        <rFont val="Arial"/>
        <family val="2"/>
      </rPr>
      <t>Le Pain des jeunes années</t>
    </r>
    <r>
      <rPr>
        <sz val="10"/>
        <color rgb="FF000000"/>
        <rFont val="Arial"/>
        <family val="2"/>
      </rPr>
      <t>, Heinrich Böll décrit le bouleversement provoqué par le passage brutal des privations de l’après-guerre à l’abondance du boom économique.</t>
    </r>
  </si>
  <si>
    <t>RWF est inscrit au lycée : Theresiengymnasium, Munich</t>
  </si>
  <si>
    <t>Adenauer fête ses 80 ans. 
Le KPD, parti communiste ouest-allemand, est interdit et rend l’activité communiste illégale en RFA. En RDA, l’armée participe à la répression de l’insurrection hongroise.
Une loi d’indemnisation des victimes juives entre en vigueur, mais la RFA diffère encore l’établissement de relations diplomatiques avec Israël par crainte de voir les États arabes reconnaître la RDA.</t>
  </si>
  <si>
    <r>
      <t xml:space="preserve">Décès de Bertolt Brecht.
</t>
    </r>
    <r>
      <rPr>
        <i/>
        <sz val="10"/>
        <color rgb="FF000000"/>
        <rFont val="Arial"/>
        <family val="2"/>
      </rPr>
      <t xml:space="preserve">Nuit et brouillard </t>
    </r>
    <r>
      <rPr>
        <sz val="10"/>
        <color rgb="FF000000"/>
        <rFont val="Arial"/>
        <family val="2"/>
      </rPr>
      <t xml:space="preserve">d'Alain Resnais. </t>
    </r>
  </si>
  <si>
    <t>RWF est pensionnaire dauns un lycée de Augsbourg, sa mère étant hospitalisée pendant près de deux ans à la suite d'une opération. Il continue à fréquenter les salles obscures. Il voit toutes sortes de films sans distinction, des films noirs américains doublés en allemand, des films pornos sans budget qui se développent à partir de 1960. Le cinéma hollywoodien est alors plutôt dénigré par la bourgeoisie.</t>
  </si>
  <si>
    <t>découvrir Brecht avec l'INA</t>
  </si>
  <si>
    <t xml:space="preserve">La RFA signe le traité de Rome qui institue la Communauté Européenne (CEE). 
Un scandale secoue le monde politique et financier : une prostituée  qui comptait parmi ses clients de nombreux hommes politiques  ou industriels, est assassinée à Francfort.
Adenauer tente d'imposer le fait que la RFA se dote de l'arme nucléaire mais se heurte à un front de protestation, notamment du monde scientifique.
Les mouvements pacifistes dénoncent la remilitarisation et mènent campagne contre l’armement nucléaire.
Willy Brandt devient maire de Berlin-Ouest et associe étroitement la communauté juive à la vie de la ville. Une loi organise l’indemnisation des biens spoliés par les nazis.
</t>
  </si>
  <si>
    <r>
      <rPr>
        <i/>
        <sz val="10"/>
        <color rgb="FF000000"/>
        <rFont val="Arial"/>
        <family val="2"/>
      </rPr>
      <t>L'opéra de quat'sous</t>
    </r>
    <r>
      <rPr>
        <sz val="10"/>
        <color rgb="FF000000"/>
        <rFont val="Arial"/>
        <family val="2"/>
      </rPr>
      <t xml:space="preserve"> de Brecht (1928) est diffusé à la télévision est obtient un taux d'audience de 81,2%. 
L'appel à boycotter les pièces de Brecht est refusé par la plupart des théâtres ouest-allemands. </t>
    </r>
  </si>
  <si>
    <t>Le SPD (parti social-démocrate allemand), adopte le programme de Bad-Godesberg : pour la première fois, le SPD abandonne formellement les idées d'inspiration marxiste. Il reconnaît l'économie de marché et se dit lié au peuple entier, non aux seuls travailleurs.
La prospérité se traduit par un équipement rapide des ménages, notamment en téléviseurs. Dans le même temps, la continuité avec le personnel de la dictature nazie demeure forte : à la fin de la décennie, les anciens membres du NSDAP représentent en moyenne environ 40 % des effectifs de certaines administrations et institutions.</t>
  </si>
  <si>
    <r>
      <rPr>
        <sz val="10"/>
        <color rgb="FF000000"/>
        <rFont val="Arial"/>
        <family val="2"/>
      </rPr>
      <t xml:space="preserve">La vogue du </t>
    </r>
    <r>
      <rPr>
        <i/>
        <sz val="10"/>
        <color rgb="FF000000"/>
        <rFont val="Arial"/>
        <family val="2"/>
      </rPr>
      <t xml:space="preserve">hula-hoop </t>
    </r>
    <r>
      <rPr>
        <sz val="10"/>
        <color rgb="FF000000"/>
        <rFont val="Arial"/>
        <family val="2"/>
      </rPr>
      <t>déferle sur l'Allemagne</t>
    </r>
  </si>
  <si>
    <t>Remariage de Lilo avec un journaliste, Wolff Eder. Relations difficiles entre RWF et son beau-père. 
RWF revient à Munich mais vit dans un pensionnat. (Neues Realgymnasium, Munich)
RWF commence à assumer ouvertement son homosexualité, fait rare pour l'époque. Souvrent livré à lui-même, il fréquente des prostituées, des travailleurs immigrés et des marginaux.</t>
  </si>
  <si>
    <r>
      <rPr>
        <sz val="10"/>
        <color theme="1"/>
        <rFont val="Arial"/>
        <family val="2"/>
      </rPr>
      <t xml:space="preserve">Les œuvres de Fassbinder témoignent de l'influence du Rock'nRoll sur la culture populaire ouest-allemande, notamment dans </t>
    </r>
    <r>
      <rPr>
        <i/>
        <sz val="10"/>
        <color theme="1"/>
        <rFont val="Arial"/>
        <family val="2"/>
      </rPr>
      <t xml:space="preserve">Huit heures ne font pas un jour. </t>
    </r>
  </si>
  <si>
    <t>Le constructeur automobile Volkswagen est privatisé à hauteur de 60% de son capital. 78% des ménages ouest-allemands disposent d'un réfrigérateur contre 25% en France. 42% possèdent une voiture. La société de consommation de masse est une réalité en RFA.
Adolf Eichmann, criminel de guerre nazi, est extradé en Israël.
La RFA atteint le plein emploi et signe de nouveaux accords de recrutement avec la Grèce et l’Espagne. La croissance et l’immigration de travail deviennent deux dimensions indissociables du modèle ouest-allemand.</t>
  </si>
  <si>
    <r>
      <rPr>
        <sz val="10"/>
        <color rgb="FF000000"/>
        <rFont val="Arial"/>
        <family val="2"/>
      </rPr>
      <t xml:space="preserve">Fin de la série télévisée </t>
    </r>
    <r>
      <rPr>
        <i/>
        <sz val="10"/>
        <color rgb="FF000000"/>
        <rFont val="Arial"/>
        <family val="2"/>
      </rPr>
      <t xml:space="preserve">Die familie Schölermann </t>
    </r>
    <r>
      <rPr>
        <sz val="10"/>
        <color rgb="FF000000"/>
        <rFont val="Arial"/>
        <family val="2"/>
      </rPr>
      <t xml:space="preserve">(111 épisodes depuis 1954), extrêmement populaire (70% à 90% d'audience). Elle est remplacée par un nouveau feuilleton </t>
    </r>
    <r>
      <rPr>
        <i/>
        <sz val="10"/>
        <color rgb="FF000000"/>
        <rFont val="Arial"/>
        <family val="2"/>
      </rPr>
      <t>Die Firma Hesselbach</t>
    </r>
  </si>
  <si>
    <t>Construction du Mur de Berlin (1961). Adenauer est rééluchancelier fédéral.
Procès d'Eichmann en Israel.
En août, l’installation de barbelés puis l’édification du Mur ferment la principale voie de passage entre les deux Allemagne. La division de Berlin devient un traumatisme et une métonymie de la guerre froide. Willy Brandt rassemble 300 000 personnes à Berlin-Ouest pour appeler à la solidarité internationale.
La RFA signe un accord de recrutement avec la Turquie.</t>
  </si>
  <si>
    <t xml:space="preserve">RWF interrompt ses études avant le baccalauréat. Il rejoint son père à Cologne. Il collecte pour lui des loyers dans des immeubles principalement occupés par des Gastarbeiters (travailleurs "invités" c'est-à-dire immigrés). RWF prend des cours du soir, écrit, fréquente les bars homosexuels. </t>
  </si>
  <si>
    <t>Oberhausen_1962.jpeg</t>
  </si>
  <si>
    <t>Le manifeste d'Oberhausen, un texte court mais décisif.</t>
  </si>
  <si>
    <t>À l'occasion du festival du film documentaire d'Oberhausen, publication du Manifeste d'Oberhausen : naissance du Nouveau Cinéma Allemand ("Le vieux cinéma est mort").
Les Beatles entament leur carrière par un concert à Hambourg</t>
  </si>
  <si>
    <r>
      <rPr>
        <sz val="10"/>
        <color theme="1"/>
        <rFont val="Arial"/>
        <family val="2"/>
      </rPr>
      <t xml:space="preserve">"Représenter l'Allemagne, ce n'est pas seulement adopter une position critique, c'est inventer une nouvelle manière". </t>
    </r>
    <r>
      <rPr>
        <i/>
        <sz val="10"/>
        <color theme="1"/>
        <rFont val="Arial"/>
        <family val="2"/>
      </rPr>
      <t>R. W. Fassbinder, cinéaste d’Allemagne</t>
    </r>
    <r>
      <rPr>
        <sz val="10"/>
        <color theme="1"/>
        <rFont val="Arial"/>
        <family val="2"/>
      </rPr>
      <t>, de Thomas Elsaesser, Centre Pompidou, 2005, p.26</t>
    </r>
  </si>
  <si>
    <t>Visite de J.F Kennedy à Berlin-ouest : "ich bin ein Berliner". 
Procès d'Auschwitz à Francfort (1963-1965)
Démission d'Adenauer à 87 ans. Ludwig Ehrard, père du "miracle économique", devient Chancelier de la RFA.
La visite de John F. Kennedy consacre Berlin-Ouest comme symbole du camp occidental. L’ouverture du procès d’Auschwitz à Francfort marque une nouvelle étape dans la confrontation judiciaire avec les crimes nazis.
Le traité de l’Élysée consolide l’axe franco-allemand et l’Office franco-allemand pour la jeunesse multiplie les échanges. Un accord de recrutement est signé avec le Maroc.</t>
  </si>
  <si>
    <r>
      <t xml:space="preserve">Jean-Marie Straub sort son premier court-métrage, </t>
    </r>
    <r>
      <rPr>
        <i/>
        <sz val="10"/>
        <color rgb="FF000000"/>
        <rFont val="Arial"/>
        <family val="2"/>
      </rPr>
      <t>Machorka Muff,</t>
    </r>
    <r>
      <rPr>
        <sz val="10"/>
        <color rgb="FF000000"/>
        <rFont val="Arial"/>
        <family val="2"/>
      </rPr>
      <t xml:space="preserve"> d'après un roman d'Heinrich Böll.
Création de la deuxième chaîne de télévision ouest-allemande, la ZDF.
Hannah Arendt, qui a suivi le procès d'Eichmann pour la revue </t>
    </r>
    <r>
      <rPr>
        <i/>
        <sz val="10"/>
        <color rgb="FF000000"/>
        <rFont val="Arial"/>
        <family val="2"/>
      </rPr>
      <t>The New-Yorker</t>
    </r>
    <r>
      <rPr>
        <sz val="10"/>
        <color rgb="FF000000"/>
        <rFont val="Arial"/>
        <family val="2"/>
      </rPr>
      <t xml:space="preserve">,  publie </t>
    </r>
    <r>
      <rPr>
        <i/>
        <sz val="10"/>
        <color rgb="FF000000"/>
        <rFont val="Arial"/>
        <family val="2"/>
      </rPr>
      <t>Eichmann à Jérusalem : Rapport sur la banalité du mal</t>
    </r>
    <r>
      <rPr>
        <sz val="10"/>
        <color rgb="FF000000"/>
        <rFont val="Arial"/>
        <family val="2"/>
      </rPr>
      <t xml:space="preserve">
Alexander Mitscherlich publie</t>
    </r>
    <r>
      <rPr>
        <i/>
        <sz val="10"/>
        <color rgb="FF000000"/>
        <rFont val="Arial"/>
        <family val="2"/>
      </rPr>
      <t xml:space="preserve"> La société sans père </t>
    </r>
    <r>
      <rPr>
        <sz val="10"/>
        <color rgb="FF000000"/>
        <rFont val="Arial"/>
        <family val="2"/>
      </rPr>
      <t xml:space="preserve">qui décrit l'affaiblissement et la crise du système patriarcal dans les sociétés modernes d'après-guerre. La figure du père n'est plus un modèle absolu et le vide de son absence (d'abord concrète puisqu'il travaille mais aussi symbolique du fait du manque de figures crédibles ) entraîne l'expression, plus ou moins anarchique et violente, des forces pulsionnelles négatives. celles-ci sont le fait d'une autorité sociale dont les contraintes paraissent de plus en plus absurdes et répressives puisqu'elles ne sont plus intégrées par l'identification à une figure individuelle affective. </t>
    </r>
  </si>
  <si>
    <t>RWF retourne à Munich et continue d'écrire, pièces, romans, scénarios. Il travaille quelques temps au département documentation au journal Südedeutsche Zeitung . 
RWF prend des cours privés de théâtre.</t>
  </si>
  <si>
    <t>Portrait de Straub et carrière</t>
  </si>
  <si>
    <t>Machorka Muff de Jean-Marie Straub</t>
  </si>
  <si>
    <t xml:space="preserve">Court-métrage de Jean-Marie Straub. Straub exercera une influence certaine sur le début de carrière de RWF. Le court-métrage s'inscrit dans une réflexion sur le passé nazi de l'Allemagne et dénonce la remilitarisation de l'Allemagne. </t>
  </si>
  <si>
    <t>Jean-Marie Straub.jpg</t>
  </si>
  <si>
    <t>Jean-Marie Straub</t>
  </si>
  <si>
    <t>Erhard.jpg</t>
  </si>
  <si>
    <t>Le chancelier Ehrard (CDU)</t>
  </si>
  <si>
    <t>Procès d'Eichmann à Jerusalem
L’arrivée du millionième travailleur immigré en RFA donne lieu à une célébration médiatique : les Gastarbeiter sont publiquement présentés comme les acteurs du miracle économique, alors même que leur installation reste pensée comme provisoire.</t>
  </si>
  <si>
    <t xml:space="preserve">RWF s'inscrit à l'école d'art dramatique Fridl Leonhard.
</t>
  </si>
  <si>
    <t>Fassbinder_jeunesse.jpeg</t>
  </si>
  <si>
    <t>RWF jeune</t>
  </si>
  <si>
    <t>RWF rencontre Irm Hermann, une secrétaire, et Hanna Schygulla qui prend des cours de théâtre dans la même école que lui
Il vit avec Christoph Roser un acteur au chômage.
 RWF est refusé au concours d'entrée du conservatoire d'art dramatique. 
Il poursuit son intense activité d'écriture (pièces, théâtres, films). 
Entretient une liaison avec Christoph Roser et Irm Hermann. Premier des divers triangles amoureux de la vie de RWF.</t>
  </si>
  <si>
    <t xml:space="preserve">Une grande coalition chrétienne-démocrate voit le jour sous l'autorité du nouveau chancelier Kurt Georg Kiesinger. Willy Brandt est ministre des affaires étrangères et vice-chancelier.
La Grande Coalition CDU-SPD réduit l’opposition parlementaire et favorise l’essor d’une opposition extraparlementaire, particulièrement active dans les milieux étudiants. Les 15-29 ans représentent près de 22 % de la population.
</t>
  </si>
  <si>
    <r>
      <rPr>
        <sz val="10"/>
        <color rgb="FF000000"/>
        <rFont val="Arial"/>
        <family val="2"/>
      </rPr>
      <t xml:space="preserve">La pièce </t>
    </r>
    <r>
      <rPr>
        <i/>
        <sz val="10"/>
        <color rgb="FF000000"/>
        <rFont val="Arial"/>
        <family val="2"/>
      </rPr>
      <t>Outrage au public</t>
    </r>
    <r>
      <rPr>
        <sz val="10"/>
        <color rgb="FF000000"/>
        <rFont val="Arial"/>
        <family val="2"/>
      </rPr>
      <t xml:space="preserve"> du dramaturge allemand Peter Handke témoigne du goût de l'avant-garde  artistique subventionnée pour une forme de provocation à l'égard du public, manière paradoxale de s'affranchir de la tutelle culturelle dont ils bénéficient.
La publication du </t>
    </r>
    <r>
      <rPr>
        <i/>
        <sz val="10"/>
        <color rgb="FF000000"/>
        <rFont val="Arial"/>
        <family val="2"/>
      </rPr>
      <t>Journal de Spandau</t>
    </r>
    <r>
      <rPr>
        <sz val="10"/>
        <color rgb="FF000000"/>
        <rFont val="Arial"/>
        <family val="2"/>
      </rPr>
      <t xml:space="preserve"> d’Albert Speer participe à la mise en récit du passé nazi.
Le rock et les cultures venues des États-Unis, de Grande-Bretagne et de France gagnent en légitimité. Chansons et culture populaire diffusent des idées critiques envers l’État, la famille, la religion, les rapports de genre et les formes traditionnelles d’autorité.</t>
    </r>
  </si>
  <si>
    <r>
      <rPr>
        <sz val="10"/>
        <color rgb="FF000000"/>
        <rFont val="Arial"/>
        <family val="2"/>
      </rPr>
      <t xml:space="preserve">RWF est refusé au concours d'entrée de l'Ecole supérieure de cinéma et de télévision de Berlin. 
Il rencontre Daniel Schmid, et décide d'arrêter sa formation de comédien le jour de ses 21 ans. 
Durant l'été, RWF  travaille sur le tournage d'un documentaire de télévision de Joris, </t>
    </r>
    <r>
      <rPr>
        <i/>
        <sz val="10"/>
        <color rgb="FF000000"/>
        <rFont val="Arial"/>
        <family val="2"/>
      </rPr>
      <t>Hoffnungsgruppe</t>
    </r>
    <r>
      <rPr>
        <sz val="10"/>
        <color rgb="FF000000"/>
        <rFont val="Arial"/>
        <family val="2"/>
      </rPr>
      <t xml:space="preserve"> à Vérone.  Il tourne son premier film, un court-métrage de 8mm, aujourd'hui perdu. Christoph Roser le finance avec ses économies. 
A l'automne RWF enchaine avec le tournage d'un second court-métrage </t>
    </r>
    <r>
      <rPr>
        <i/>
        <sz val="10"/>
        <color rgb="FF000000"/>
        <rFont val="Arial"/>
        <family val="2"/>
      </rPr>
      <t xml:space="preserve">Le clochard </t>
    </r>
    <r>
      <rPr>
        <sz val="10"/>
        <color rgb="FF000000"/>
        <rFont val="Arial"/>
        <family val="2"/>
      </rPr>
      <t>(avec Christoph Roser  Irm Hermann, Michael Fengler et RWF), toujours financé par Roser.
Il remporte un prix pour l'écriture d'une pièce de théâtre,</t>
    </r>
    <r>
      <rPr>
        <i/>
        <sz val="10"/>
        <color rgb="FF000000"/>
        <rFont val="Arial"/>
        <family val="2"/>
      </rPr>
      <t xml:space="preserve">Juste un morceau de pain dans un concours munichois.
</t>
    </r>
  </si>
  <si>
    <r>
      <rPr>
        <sz val="10"/>
        <color rgb="FF000000"/>
        <rFont val="Arial"/>
        <family val="2"/>
      </rPr>
      <t xml:space="preserve">Réalise ses premiers courts métrages : </t>
    </r>
    <r>
      <rPr>
        <i/>
        <sz val="10"/>
        <color rgb="FF000000"/>
        <rFont val="Arial"/>
        <family val="2"/>
      </rPr>
      <t>This Night</t>
    </r>
    <r>
      <rPr>
        <sz val="10"/>
        <color rgb="FF000000"/>
        <rFont val="Arial"/>
        <family val="2"/>
      </rPr>
      <t xml:space="preserve"> (1966) et </t>
    </r>
    <r>
      <rPr>
        <i/>
        <sz val="10"/>
        <color rgb="FF000000"/>
        <rFont val="Arial"/>
        <family val="2"/>
      </rPr>
      <t xml:space="preserve">Le Clochard </t>
    </r>
    <r>
      <rPr>
        <sz val="10"/>
        <color rgb="FF000000"/>
        <rFont val="Arial"/>
        <family val="2"/>
      </rPr>
      <t>(1966). Confrontation de la mémoire de la Shoah.</t>
    </r>
  </si>
  <si>
    <t>Kiesinger.jpg</t>
  </si>
  <si>
    <t>Le chancelier Kiesinger (Grande Coalition CDU-SPD)</t>
  </si>
  <si>
    <t>2 Juin : l’étudiant Benno Ohnesorg est tué par un policier lors d’une manifestation contre le Shah d’Iran. Les mouvements protestataires font le parallèle avec le IIIème Reich : se développe alors un discours critique à l’égard de la génération précédente et de son rôle, favorable ou passif, face au nazisme. La radicalisation des mouvements d'extrême-gauche est en cours.</t>
  </si>
  <si>
    <r>
      <t xml:space="preserve">La parution du </t>
    </r>
    <r>
      <rPr>
        <i/>
        <sz val="10"/>
        <color rgb="FF000000"/>
        <rFont val="Arial"/>
        <family val="2"/>
      </rPr>
      <t>Deuil impossible</t>
    </r>
    <r>
      <rPr>
        <sz val="10"/>
        <color rgb="FF000000"/>
        <rFont val="Arial"/>
        <family val="2"/>
      </rPr>
      <t xml:space="preserve"> de Alexander et Margarete Mitscherlich fait scandale. À travers l'exposé des troubles psychosomatiques de certains patients, les psychanalystes Alexander et Margarete Mitscherlich y analysent  le refoulement collectif des souvenirs du IIIe Reich en Allemagne. Il doit exister, selon les auteurs, un lien de cause à effet entre une forme de conservatisme teinté et de provincialisme, qui règne en RFA et le refoulement du passé. L'ouvrage exerce une influence sur les artistes allemands de l'époque. 
</t>
    </r>
  </si>
  <si>
    <r>
      <rPr>
        <sz val="10"/>
        <color rgb="FF000000"/>
        <rFont val="Arial"/>
        <family val="2"/>
      </rPr>
      <t xml:space="preserve">Février : RWF tourne son troisième court-métrage en 35 mm. Il fait la rencontre d'Ulli Lommer, un jeune acteur prometteur. 
Premiers contacts avec l'Action-Theater à Munich. Il y rencontre  ses futurs piliers : Peer Raben et Kurt Raab
RWF échoue à nouveau au cocnours d'entrée à l'école supérieure de cinéma de Berlin. 
RWF s'intègre à la troupe de l'Action-theater : il commence par jouer, puis il dirige ou co-dirige des productions. Octobre: mise en scène,
avec Kurt Raab et Peer Raben, de </t>
    </r>
    <r>
      <rPr>
        <i/>
        <sz val="10"/>
        <color rgb="FF000000"/>
        <rFont val="Arial"/>
        <family val="2"/>
      </rPr>
      <t>Léonce et Léna</t>
    </r>
    <r>
      <rPr>
        <sz val="10"/>
        <color rgb="FF000000"/>
        <rFont val="Arial"/>
        <family val="2"/>
      </rPr>
      <t xml:space="preserve"> de Georg Büchner. Décembre: misescène des </t>
    </r>
    <r>
      <rPr>
        <i/>
        <sz val="10"/>
        <color rgb="FF000000"/>
        <rFont val="Arial"/>
        <family val="2"/>
      </rPr>
      <t>Criminels</t>
    </r>
    <r>
      <rPr>
        <sz val="10"/>
        <color rgb="FF000000"/>
        <rFont val="Arial"/>
        <family val="2"/>
      </rPr>
      <t xml:space="preserve"> de Ferdinand Bruckner.
La troupe se fait un nom. </t>
    </r>
  </si>
  <si>
    <t>Petit chaos, court-métrage</t>
  </si>
  <si>
    <t xml:space="preserve">Mouvements étudiants de 1968. Tentative d'assassinat contre Rudi Dutschke, marxiste et  figure de l’opposition étudiante. 
La contestation étudiante dénonce à la fois la guerre du Vietnam, les continuités autoritaires de la RFA et l’aliénation produite par la société de consommation. La tentative d’assassinat de Rudi Dutschke, les incendies de grands magasins et l’adoption des lois d’exception installent un climat de violence.  Beate Klarsfeld, une militante de la mémoire qui vient d’être licenciée en France de l’office Franco-allemand de la jeunesse pour son activisme, gifle le chancelier Kiesinger
À l’Est, l’écrasement du Printemps de Prague dissipe les espoirs d’un « socialisme à visage humain ». </t>
  </si>
  <si>
    <t>Émergence de l'Anti-teater à Munich. Influence de la Nouvelle Vague française. Le cinéma devient politique et théorique.
La redécouverte de l’École de Francfort nourrit la critique du capitalisme, de la consommation et des structures d’autorité. La revue Konkret, dont Ulrike Meinhof est rédactrice en chef, devient l’un des relais intellectuels de la gauche radicale.</t>
  </si>
  <si>
    <r>
      <rPr>
        <sz val="10"/>
        <color rgb="FF000000"/>
        <rFont val="Arial"/>
        <family val="2"/>
      </rPr>
      <t xml:space="preserve">Février : </t>
    </r>
    <r>
      <rPr>
        <i/>
        <sz val="10"/>
        <color rgb="FF000000"/>
        <rFont val="Arial"/>
        <family val="2"/>
      </rPr>
      <t>Par exemple, Ingolstadt</t>
    </r>
    <r>
      <rPr>
        <sz val="10"/>
        <color rgb="FF000000"/>
        <rFont val="Arial"/>
        <family val="2"/>
      </rPr>
      <t xml:space="preserve"> de Marieluise Fleisser, adaptation de Fassbinder, mise en scène de Fassbinder et Peer Raben. 
RWF écrit sa première pièce, </t>
    </r>
    <r>
      <rPr>
        <i/>
        <sz val="10"/>
        <color rgb="FF000000"/>
        <rFont val="Arial"/>
        <family val="2"/>
      </rPr>
      <t xml:space="preserve">Le bouc, </t>
    </r>
    <r>
      <rPr>
        <sz val="10"/>
        <color rgb="FF000000"/>
        <rFont val="Arial"/>
        <family val="2"/>
      </rPr>
      <t xml:space="preserve">créée en avril par l'Action-theater.
Mise en scène collective de </t>
    </r>
    <r>
      <rPr>
        <i/>
        <sz val="10"/>
        <color rgb="FF000000"/>
        <rFont val="Arial"/>
        <family val="2"/>
      </rPr>
      <t>Axel Caesar Haarmann</t>
    </r>
    <r>
      <rPr>
        <sz val="10"/>
        <color rgb="FF000000"/>
        <rFont val="Arial"/>
        <family val="2"/>
      </rPr>
      <t>.
Mai: l'incendie volontaire de l'Action-Theater par Horst Söhnlein (membre de la troupe mais aussi futur membre de la bande à Baader) marque la fin de cette structure
RWF fonde avec avec 10 anciens membres de l'Action-theater, l'Antiteater, un collectif fonctionnant sur un mode de vie communautaire et une création permanente. Collaboration intense avec sa "troupe" (Schygulla, Hermann, Raab, Baer, Lommel). La troupe joue dans divers lieux puis s'installe dans l'arrière-salle d'un café, le
Witwe Bolte, dans le quartier munichois bohème de Schwabing. La troupe joue pour Jean-Marie Straub dans</t>
    </r>
    <r>
      <rPr>
        <i/>
        <sz val="10"/>
        <color rgb="FF000000"/>
        <rFont val="Arial"/>
        <family val="2"/>
      </rPr>
      <t xml:space="preserve"> Le Fiancé, la comédienne et le maquereau</t>
    </r>
    <r>
      <rPr>
        <sz val="10"/>
        <color rgb="FF000000"/>
        <rFont val="Arial"/>
        <family val="2"/>
      </rPr>
      <t xml:space="preserve">.RWF adapte, écrit et met en scène 8 pièces dont </t>
    </r>
    <r>
      <rPr>
        <i/>
        <sz val="10"/>
        <color rgb="FF000000"/>
        <rFont val="Arial"/>
        <family val="2"/>
      </rPr>
      <t xml:space="preserve">Ajax </t>
    </r>
    <r>
      <rPr>
        <sz val="10"/>
        <color rgb="FF000000"/>
        <rFont val="Arial"/>
        <family val="2"/>
      </rPr>
      <t xml:space="preserve">de Sophocle, adaptation de Fassbinder, et  </t>
    </r>
    <r>
      <rPr>
        <i/>
        <sz val="10"/>
        <color rgb="FF000000"/>
        <rFont val="Arial"/>
        <family val="2"/>
      </rPr>
      <t xml:space="preserve">Le soldat américain, </t>
    </r>
    <r>
      <rPr>
        <sz val="10"/>
        <color rgb="FF000000"/>
        <rFont val="Arial"/>
        <family val="2"/>
      </rPr>
      <t>un texte de Fassbinde</t>
    </r>
    <r>
      <rPr>
        <i/>
        <sz val="10"/>
        <color rgb="FF000000"/>
        <rFont val="Arial"/>
        <family val="2"/>
      </rPr>
      <t>r.</t>
    </r>
  </si>
  <si>
    <t xml:space="preserve">Premier film accuelli froidement à Berlin. Le second, une critique de la xénophobie et de l'apathie bourgeoise,  remporte 5 distinctions cinématographiques en Allemagne. Le coût de production de 80000 marks est largement couvert : avec 650000 marks de prix et 200000 marks de subventions a posteriori, le film assure à RWF de quoi poursuivre son travail pour quelques années. </t>
  </si>
  <si>
    <t>Rudi DUTSCHKE, figure de proue de la contestation estudiantine en RFA|https://www.ina.fr/ina-eclaire-actu/video/caf86014980/l-allemagne-de-rudi-le-rouge</t>
  </si>
  <si>
    <t>Une majorité sociale-libérale place Willy Brandt (SPD) au pouvoir.
Willy Brandt engage une politique de rapprochement avec la RDA et le bloc de l’Est. Environ deux millions d’étrangers vivent en RFA ; les Gastarbeiter occupent souvent les emplois les plus pénibles et les moins bien payés et subissent des discriminations.
La réforme du paragraphe 175 accompagne l’assouplissement de la répression de l’homosexualité. Après leur condamnation en appel, Baader, Ensslin et leurs camarades passent dans la clandestinité.</t>
  </si>
  <si>
    <r>
      <rPr>
        <i/>
        <sz val="10"/>
        <color rgb="FF000000"/>
        <rFont val="Arial"/>
        <family val="2"/>
      </rPr>
      <t>Les damnés</t>
    </r>
    <r>
      <rPr>
        <sz val="10"/>
        <color rgb="FF000000"/>
        <rFont val="Arial"/>
        <family val="2"/>
      </rPr>
      <t>, mélodrame de Visconti, travaille à interroger le régime nazi et la manière dont l'imagerie nazie, qui érotise de façon spectaculaire le pouvoir, contamine moralement les esprits. L'éloignement du néoréalisme est maximal.</t>
    </r>
  </si>
  <si>
    <r>
      <rPr>
        <sz val="10"/>
        <color rgb="FF000000"/>
        <rFont val="Arial"/>
        <family val="2"/>
      </rPr>
      <t xml:space="preserve">Février : Succès de L’Opéra des gueux de John Gay à l'Antiteater, Adaption et mise en scène de RWF.
Mars: création de </t>
    </r>
    <r>
      <rPr>
        <i/>
        <sz val="10"/>
        <color rgb="FF000000"/>
        <rFont val="Arial"/>
        <family val="2"/>
      </rPr>
      <t xml:space="preserve">Preparadise sorry now </t>
    </r>
    <r>
      <rPr>
        <sz val="10"/>
        <color rgb="FF000000"/>
        <rFont val="Arial"/>
        <family val="2"/>
      </rPr>
      <t xml:space="preserve">de Fassbinder, mise en scène de Peer Raben.
Avril : Tournage en 24 jours de son premier long métrage, </t>
    </r>
    <r>
      <rPr>
        <i/>
        <sz val="10"/>
        <color rgb="FF000000"/>
        <rFont val="Arial"/>
        <family val="2"/>
      </rPr>
      <t xml:space="preserve">L'amour est plus froid que la mort </t>
    </r>
    <r>
      <rPr>
        <sz val="10"/>
        <color rgb="FF000000"/>
        <rFont val="Arial"/>
        <family val="2"/>
      </rPr>
      <t xml:space="preserve">avec la troupe de l'Anti-theater. Le film est en partie financée par le succès de la pièce </t>
    </r>
    <r>
      <rPr>
        <i/>
        <sz val="10"/>
        <color rgb="FF000000"/>
        <rFont val="Arial"/>
        <family val="2"/>
      </rPr>
      <t>L'opéra des gueux</t>
    </r>
    <r>
      <rPr>
        <sz val="10"/>
        <color rgb="FF000000"/>
        <rFont val="Arial"/>
        <family val="2"/>
      </rPr>
      <t xml:space="preserve">. Il met en scène la première occurrence de Franz dans la carrière de RWF. Ils seront neuf au total.On retouve aussi le nom de Franz Walsh au générique, en face de la section montage.
Juin : Présentation de </t>
    </r>
    <r>
      <rPr>
        <i/>
        <sz val="10"/>
        <color rgb="FF000000"/>
        <rFont val="Arial"/>
        <family val="2"/>
      </rPr>
      <t xml:space="preserve">L'amour est plus froid que la mort au festival de Berlin.
Août : Tournage du </t>
    </r>
    <r>
      <rPr>
        <sz val="10"/>
        <color rgb="FF000000"/>
        <rFont val="Arial"/>
        <family val="2"/>
      </rPr>
      <t xml:space="preserve">Bouc (9 jours)
Septembre, à Brême, </t>
    </r>
    <r>
      <rPr>
        <i/>
        <sz val="10"/>
        <color rgb="FF000000"/>
        <rFont val="Arial"/>
        <family val="2"/>
      </rPr>
      <t>Le Café</t>
    </r>
    <r>
      <rPr>
        <sz val="10"/>
        <color rgb="FF000000"/>
        <rFont val="Arial"/>
        <family val="2"/>
      </rPr>
      <t xml:space="preserve"> de Goldoni, adaptation de Fassbinder, mise en scène de Fassbinder et Peer Raben.
Octobre : première du </t>
    </r>
    <r>
      <rPr>
        <i/>
        <sz val="10"/>
        <color rgb="FF000000"/>
        <rFont val="Arial"/>
        <family val="2"/>
      </rPr>
      <t xml:space="preserve">Bouc </t>
    </r>
    <r>
      <rPr>
        <sz val="10"/>
        <color rgb="FF000000"/>
        <rFont val="Arial"/>
        <family val="2"/>
      </rPr>
      <t xml:space="preserve"> au festival de Mannheim. Le film obtient 7 prix et  une première reconnaissance critique.
Novembre : tournage des </t>
    </r>
    <r>
      <rPr>
        <i/>
        <sz val="10"/>
        <color rgb="FF000000"/>
        <rFont val="Arial"/>
        <family val="2"/>
      </rPr>
      <t>Dieux de la peste</t>
    </r>
    <r>
      <rPr>
        <sz val="10"/>
        <color rgb="FF000000"/>
        <rFont val="Arial"/>
        <family val="2"/>
      </rPr>
      <t xml:space="preserve"> à Munich.
Décembre: à Berlin, Werwolf de Harry Baer et Fassbinder, mise en scène de Fassbinder. Tournage de </t>
    </r>
    <r>
      <rPr>
        <i/>
        <sz val="10"/>
        <color rgb="FF000000"/>
        <rFont val="Arial"/>
        <family val="2"/>
      </rPr>
      <t xml:space="preserve">Pourquoi M. R. est-il atteint de folie meurtrière ? </t>
    </r>
    <r>
      <rPr>
        <sz val="10"/>
        <color rgb="FF000000"/>
        <rFont val="Arial"/>
        <family val="2"/>
      </rPr>
      <t xml:space="preserve">à Munich (13 jours)
RWF fait la connaissance de Harry Baer, qu'il prénommera Franz à l'écran. Il met en scène </t>
    </r>
    <r>
      <rPr>
        <i/>
        <sz val="10"/>
        <color rgb="FF000000"/>
        <rFont val="Arial"/>
        <family val="2"/>
      </rPr>
      <t xml:space="preserve">Les dieux de la peste </t>
    </r>
    <r>
      <rPr>
        <sz val="10"/>
        <color rgb="FF000000"/>
        <rFont val="Arial"/>
        <family val="2"/>
      </rPr>
      <t>et</t>
    </r>
    <r>
      <rPr>
        <i/>
        <sz val="10"/>
        <color rgb="FF000000"/>
        <rFont val="Arial"/>
        <family val="2"/>
      </rPr>
      <t xml:space="preserve"> Pourquoi M. R. est-il atteint de folie meurtrière </t>
    </r>
    <r>
      <rPr>
        <sz val="10"/>
        <color rgb="FF000000"/>
        <rFont val="Arial"/>
        <family val="2"/>
      </rPr>
      <t xml:space="preserve">? La salle où joue la troupe est fermée sur décision municipale.
A Brême Kurt Hübner organiser un "festival Fassbinder". 
RWF rencontre Margarethe von Trotta du Nouvau cinéma allemand. il joue dans plusieurs films, notamment dans </t>
    </r>
    <r>
      <rPr>
        <i/>
        <sz val="10"/>
        <color rgb="FF000000"/>
        <rFont val="Arial"/>
        <family val="2"/>
      </rPr>
      <t>Baal</t>
    </r>
    <r>
      <rPr>
        <sz val="10"/>
        <color rgb="FF000000"/>
        <rFont val="Arial"/>
        <family val="2"/>
      </rPr>
      <t xml:space="preserve"> de Schlöndorff.
Liaison amoureuse avec Günther Kaufmann, un marin marié et père de famille, fils d'un GI américain reparti vivre aux Etats-Unis. Ils se sont rencontrés sur le tournage de </t>
    </r>
    <r>
      <rPr>
        <i/>
        <sz val="10"/>
        <color rgb="FF000000"/>
        <rFont val="Arial"/>
        <family val="2"/>
      </rPr>
      <t>Baal</t>
    </r>
    <r>
      <rPr>
        <sz val="10"/>
        <color rgb="FF000000"/>
        <rFont val="Arial"/>
        <family val="2"/>
      </rPr>
      <t xml:space="preserve">.
</t>
    </r>
  </si>
  <si>
    <t xml:space="preserve">L'amour est plus froid que la mort
Le Bouc </t>
  </si>
  <si>
    <t>Brandt.jpg</t>
  </si>
  <si>
    <t>Le chancelier Willy Brandt (SPD)</t>
  </si>
  <si>
    <t>Le chancelier Willy Brandt se rend en Pologne et s'agenouille devant le mémorial du ghetto de Varsovie. Le geste de Willy Brandt s'accompagne de la reconnaissance de la frontière Oder-Neisse avec la Pologne.
L’abaissement de la majorité électorale à 18 ans reconnaît  et intègre la politisation de la jeunesse. 
La libération armée d’Andreas Baader, à laquelle participe Ulrike Meinhof, puis le manifeste « Bâtir l’Armée rouge » marquent la naissance de la RAF. Le groupe se finance par des braquages.
En RDA, les effectifs de la Stasi et de ses informateurs augmentent fortement. À l’Ouest, mouvements féministes et écologistes se structurent ; la transformation des normes sexuelles se poursuit, sans faire disparaître les inégalités entre femmes et hommes.</t>
  </si>
  <si>
    <r>
      <rPr>
        <sz val="10"/>
        <color rgb="FF000000"/>
        <rFont val="Arial"/>
        <family val="2"/>
      </rPr>
      <t xml:space="preserve">RWF, animé d'une "fureur de créer" (Katz), réalise 6 longs métrages entre la fin 1969 et la fin 1970 (certains ne sortent qu'en 1971). Il tourne également 2 téléfilms et met en ondes deux pièces radiophoniques.
Ce rythme de tournage effrené est rendu possible par l'esprit de troupe qui concerne tant la production, les acteurrs que les techniciens. RWF reconstitue une sorte de "mini studio" calqué sur la rationalisation du travail pratiquée dans le système hollywoodien classique. C'est ce que Thomas Elsaesser nomme la "stock company". 
Le groupe loue une vaste et somptueuse demeure à Feldkirchen, près de Munich.
</t>
    </r>
    <r>
      <rPr>
        <i/>
        <sz val="10"/>
        <color rgb="FF000000"/>
        <rFont val="Arial"/>
        <family val="2"/>
      </rPr>
      <t>J</t>
    </r>
    <r>
      <rPr>
        <sz val="10"/>
        <color rgb="FF000000"/>
        <rFont val="Arial"/>
        <family val="2"/>
      </rPr>
      <t xml:space="preserve">anvier : tournage de </t>
    </r>
    <r>
      <rPr>
        <i/>
        <sz val="10"/>
        <color rgb="FF000000"/>
        <rFont val="Arial"/>
        <family val="2"/>
      </rPr>
      <t xml:space="preserve">Rio das Mortes </t>
    </r>
    <r>
      <rPr>
        <sz val="10"/>
        <color rgb="FF000000"/>
        <rFont val="Arial"/>
        <family val="2"/>
      </rPr>
      <t>à Munich (20 jours)</t>
    </r>
    <r>
      <rPr>
        <i/>
        <sz val="10"/>
        <color rgb="FF000000"/>
        <rFont val="Arial"/>
        <family val="2"/>
      </rPr>
      <t xml:space="preserve">
</t>
    </r>
    <r>
      <rPr>
        <sz val="10"/>
        <color rgb="FF000000"/>
        <rFont val="Arial"/>
        <family val="2"/>
      </rPr>
      <t xml:space="preserve">Février : tournage du </t>
    </r>
    <r>
      <rPr>
        <i/>
        <sz val="10"/>
        <color rgb="FF000000"/>
        <rFont val="Arial"/>
        <family val="2"/>
      </rPr>
      <t xml:space="preserve">Café </t>
    </r>
    <r>
      <rPr>
        <sz val="10"/>
        <color rgb="FF000000"/>
        <rFont val="Arial"/>
        <family val="2"/>
      </rPr>
      <t xml:space="preserve">à Cologne (10 jours)
Avril : première des </t>
    </r>
    <r>
      <rPr>
        <i/>
        <sz val="10"/>
        <color rgb="FF000000"/>
        <rFont val="Arial"/>
        <family val="2"/>
      </rPr>
      <t>Dieux de la peste</t>
    </r>
    <r>
      <rPr>
        <sz val="10"/>
        <color rgb="FF000000"/>
        <rFont val="Arial"/>
        <family val="2"/>
      </rPr>
      <t xml:space="preserve"> à Vienne
Mai : Tournage du  </t>
    </r>
    <r>
      <rPr>
        <i/>
        <sz val="10"/>
        <color rgb="FF000000"/>
        <rFont val="Arial"/>
        <family val="2"/>
      </rPr>
      <t xml:space="preserve">Voyage à Niklashausen, à Munich, Starnberg et Feldkirchen (20 jours)
</t>
    </r>
    <r>
      <rPr>
        <sz val="10"/>
        <color rgb="FF000000"/>
        <rFont val="Arial"/>
        <family val="2"/>
      </rPr>
      <t xml:space="preserve">Juin : Première de </t>
    </r>
    <r>
      <rPr>
        <i/>
        <sz val="10"/>
        <color rgb="FF000000"/>
        <rFont val="Arial"/>
        <family val="2"/>
      </rPr>
      <t xml:space="preserve">Pourquoi M. R. est-il atteint de folie meurtrière ? au festival de Berlin
</t>
    </r>
    <r>
      <rPr>
        <sz val="10"/>
        <color rgb="FF000000"/>
        <rFont val="Arial"/>
        <family val="2"/>
      </rPr>
      <t xml:space="preserve">Août : tournage du </t>
    </r>
    <r>
      <rPr>
        <i/>
        <sz val="10"/>
        <color rgb="FF000000"/>
        <rFont val="Arial"/>
        <family val="2"/>
      </rPr>
      <t>Soldat américain</t>
    </r>
    <r>
      <rPr>
        <sz val="10"/>
        <color rgb="FF000000"/>
        <rFont val="Arial"/>
        <family val="2"/>
      </rPr>
      <t xml:space="preserve"> à Munich (15 jours) - 
Septembre : tournage de </t>
    </r>
    <r>
      <rPr>
        <i/>
        <sz val="10"/>
        <color rgb="FF000000"/>
        <rFont val="Arial"/>
        <family val="2"/>
      </rPr>
      <t>Prenez garde à la sainte putain</t>
    </r>
    <r>
      <rPr>
        <sz val="10"/>
        <color rgb="FF000000"/>
        <rFont val="Arial"/>
        <family val="2"/>
      </rPr>
      <t xml:space="preserve"> à Sorrento (22 jours)
Octobre : première du </t>
    </r>
    <r>
      <rPr>
        <i/>
        <sz val="10"/>
        <color rgb="FF000000"/>
        <rFont val="Arial"/>
        <family val="2"/>
      </rPr>
      <t>Soldat américain</t>
    </r>
    <r>
      <rPr>
        <sz val="10"/>
        <color rgb="FF000000"/>
        <rFont val="Arial"/>
        <family val="2"/>
      </rPr>
      <t xml:space="preserve"> à Mannheim, diffusion du </t>
    </r>
    <r>
      <rPr>
        <i/>
        <sz val="10"/>
        <color rgb="FF000000"/>
        <rFont val="Arial"/>
        <family val="2"/>
      </rPr>
      <t>Voyage de Niklashausen</t>
    </r>
    <r>
      <rPr>
        <sz val="10"/>
        <color rgb="FF000000"/>
        <rFont val="Arial"/>
        <family val="2"/>
      </rPr>
      <t xml:space="preserve"> à la télévision.
Novembre : Tournage de </t>
    </r>
    <r>
      <rPr>
        <i/>
        <sz val="10"/>
        <color rgb="FF000000"/>
        <rFont val="Arial"/>
        <family val="2"/>
      </rPr>
      <t xml:space="preserve">Pionniers à Ingolstadt à Landsburg-Lech, Munich (25 days)
</t>
    </r>
    <r>
      <rPr>
        <sz val="10"/>
        <color rgb="FF000000"/>
        <rFont val="Arial"/>
        <family val="2"/>
      </rPr>
      <t xml:space="preserve">
Août : Mariage avec Ingrid Caven.</t>
    </r>
  </si>
  <si>
    <r>
      <rPr>
        <i/>
        <sz val="10"/>
        <color rgb="FF000000"/>
        <rFont val="Arial"/>
        <family val="2"/>
      </rPr>
      <t>Les dieux de la peste
Le Voyage à Niklashausen - Téléfilm
Le soldat américain</t>
    </r>
    <r>
      <rPr>
        <sz val="10"/>
        <color rgb="FF000000"/>
        <rFont val="Arial"/>
        <family val="2"/>
      </rPr>
      <t xml:space="preserve">
</t>
    </r>
    <r>
      <rPr>
        <i/>
        <sz val="10"/>
        <color rgb="FF000000"/>
        <rFont val="Arial"/>
        <family val="2"/>
      </rPr>
      <t>Pourquoi M. R. est-il atteint de folie meurtrière ? Co-réalisé avec Michael Fengler
Rio das mortes
Le café -</t>
    </r>
    <r>
      <rPr>
        <sz val="10"/>
        <color rgb="FF000000"/>
        <rFont val="Arial"/>
        <family val="2"/>
      </rPr>
      <t xml:space="preserve">Téléfilm tiré d'une création théâtrale de Peer Raben et RWF
Prenez garde à la sainte putain (tournage)
Pionniers à Ingolstadt - Téléfilm (tournage)
</t>
    </r>
  </si>
  <si>
    <r>
      <rPr>
        <sz val="10"/>
        <color rgb="FF000000"/>
        <rFont val="Arial"/>
        <family val="2"/>
      </rPr>
      <t xml:space="preserve">La critique accueille avec réserve </t>
    </r>
    <r>
      <rPr>
        <i/>
        <sz val="10"/>
        <color rgb="FF000000"/>
        <rFont val="Arial"/>
        <family val="2"/>
      </rPr>
      <t xml:space="preserve">le café </t>
    </r>
    <r>
      <rPr>
        <sz val="10"/>
        <color rgb="FF000000"/>
        <rFont val="Arial"/>
        <family val="2"/>
      </rPr>
      <t>et son nouveau style qualifié de théâtral.</t>
    </r>
  </si>
  <si>
    <t>"J'aurai tout le temps de dormir quand je serai mort". RWF cité par Katz</t>
  </si>
  <si>
    <r>
      <rPr>
        <sz val="10"/>
        <color rgb="FF000000"/>
        <rFont val="Arial"/>
        <family val="2"/>
      </rPr>
      <t xml:space="preserve">Terrorisme de la RAF (arrestations en 1972). Attentat des JO de Munich (1972). Démission de Willy Brandt (1974) suite à l'affaire Guillaume. Un virage conservateur s'opère.
Willy Brandt reçoit le prix Nobel de la paix pour sa politique de rapprochement avec le bloc de l’Est.
La RAF publie </t>
    </r>
    <r>
      <rPr>
        <i/>
        <sz val="10"/>
        <color rgb="FF000000"/>
        <rFont val="Arial"/>
        <family val="2"/>
      </rPr>
      <t>Le Concept de guérilla urbaine</t>
    </r>
    <r>
      <rPr>
        <sz val="10"/>
        <color rgb="FF000000"/>
        <rFont val="Arial"/>
        <family val="2"/>
      </rPr>
      <t>. Une vaste opération d'arrestation vise ses membres ; Petra Schelm est tuée par la police et deux policiers meurent à l’automne.</t>
    </r>
  </si>
  <si>
    <t xml:space="preserve">Fondation du Filmverlag der Autoren , une société indépendante, par quelques cinéastes dont RWF. La société est d'abord autogérée.
</t>
  </si>
  <si>
    <r>
      <rPr>
        <sz val="10"/>
        <color rgb="FF000000"/>
        <rFont val="Arial"/>
        <family val="2"/>
      </rPr>
      <t xml:space="preserve">RWF  dissout la troupe de l'Antiteater et la société de production antiteater-film. Le groupe quitte la demeure de Feldkirchen.
Il fonde la société de production Tango film-Rainer Werner Fassbinder (première production : Le marchand de quatre saisons)
RWF participe à la création de Filmverlag der Autoren (Editions cinématogographiques des auteurs) 
Janvier: création à Brême de </t>
    </r>
    <r>
      <rPr>
        <i/>
        <sz val="10"/>
        <color rgb="FF000000"/>
        <rFont val="Arial"/>
        <family val="2"/>
      </rPr>
      <t>Pionniers à Ingolstadt</t>
    </r>
    <r>
      <rPr>
        <sz val="10"/>
        <color rgb="FF000000"/>
        <rFont val="Arial"/>
        <family val="2"/>
      </rPr>
      <t xml:space="preserve"> de Marieluise Fleisser, adaptation et mise en scène de Fassbinder.
Février : diffusion de Rio das Mortes</t>
    </r>
    <r>
      <rPr>
        <i/>
        <sz val="10"/>
        <color rgb="FF000000"/>
        <rFont val="Arial"/>
        <family val="2"/>
      </rPr>
      <t xml:space="preserve"> </t>
    </r>
    <r>
      <rPr>
        <sz val="10"/>
        <color rgb="FF000000"/>
        <rFont val="Arial"/>
        <family val="2"/>
      </rPr>
      <t xml:space="preserve">à la télévision.
Mars: </t>
    </r>
    <r>
      <rPr>
        <i/>
        <sz val="10"/>
        <color rgb="FF000000"/>
        <rFont val="Arial"/>
        <family val="2"/>
      </rPr>
      <t>Du sang sur le cou du chat</t>
    </r>
    <r>
      <rPr>
        <sz val="10"/>
        <color rgb="FF000000"/>
        <rFont val="Arial"/>
        <family val="2"/>
      </rPr>
      <t xml:space="preserve">, texte de Fassbinder, mise en scène de Fassbinder et Peer Raben.
Mai: adaptation radiophonique de </t>
    </r>
    <r>
      <rPr>
        <i/>
        <sz val="10"/>
        <color rgb="FF000000"/>
        <rFont val="Arial"/>
        <family val="2"/>
      </rPr>
      <t>Iphigénie en Tauride</t>
    </r>
    <r>
      <rPr>
        <sz val="10"/>
        <color rgb="FF000000"/>
        <rFont val="Arial"/>
        <family val="2"/>
      </rPr>
      <t xml:space="preserve"> de J.W. Goethe pour la Bayerischer Rundfunk.
Juin: mise en scène par Peer Raben à l'Experimenta de Francfort des Larmes amères de Petra von Kant, texte de Fassbinder. Le succès est considérable.
Juillet : première de </t>
    </r>
    <r>
      <rPr>
        <i/>
        <sz val="10"/>
        <color rgb="FF000000"/>
        <rFont val="Arial"/>
        <family val="2"/>
      </rPr>
      <t>Whity</t>
    </r>
    <r>
      <rPr>
        <sz val="10"/>
        <color rgb="FF000000"/>
        <rFont val="Arial"/>
        <family val="2"/>
      </rPr>
      <t xml:space="preserve"> à Berlin. Le film marque la première collaboration avec le chef-opérateur Michael Ballhaus
Août : Première de Prenez garde à la sainte putain à Venise. Tournage du Marchand de quatre saisons à Munich (11 jours)
Décembre: à Brême, Liberté à Brême, texte et mise en scène de Fassbinder.
</t>
    </r>
    <r>
      <rPr>
        <i/>
        <sz val="10"/>
        <color rgb="FF000000"/>
        <rFont val="Arial"/>
        <family val="2"/>
      </rPr>
      <t xml:space="preserve">
Au théâtre, RWF</t>
    </r>
    <r>
      <rPr>
        <sz val="10"/>
        <color rgb="FF000000"/>
        <rFont val="Arial"/>
        <family val="2"/>
      </rPr>
      <t xml:space="preserve"> collabore avec Margit Carstensen, qui deviendra une des figures de son cinéma.
Peer Raben lui fait découvrir les films de Douglas Sirk. 
A Paris, Début de sa relation avec El Hedi ben Salem, qui inspirera Tous les autres s'appellent Ali. Berbère du Maroc, Ben Salem a laissé femmes et enfants au pays.
A Rome, RWF renoue avec Peter Chatel qui devient un fidèle.
La mère de RWF perd son second mari. Elle reprend en main la direction et la gestion comptable des affaires de RWF ce qui lui évite dépôt de bilan et endettement permanent, aucun statut n'ayant jamais été déposé pour l'Antiteater.Elle s'occupera ensuite de Tango-Film. La disparation du beau-père, qui n'avait jamais accepté Rainer, permet un rapprochement entre mère et fils.</t>
    </r>
  </si>
  <si>
    <t>Whity
Prenez garde à la sainte putain
Pionniers à Ingolstadt - Téléfilm</t>
  </si>
  <si>
    <t>Les films tournés en 1970 ne renconrent que peu de succès et d'échos favorables. 
Le tournage du Marchand de quatre saisons inaugure le cycle des mélodrames sirkiens. Le budget est minimal. Si RWF ne renonce pas à l'expérimentation, l'attention qu'il porte désormais à la réception de ses films et donc au public est de plus en plus grande. L'intérêt pour le mélodrame, genre populaire américain, son travail pour la télévision et notamment la création de séries, plus tard le développement de productions internationales, traduisent sa volonté de toucher un public large et populaire. RWF intègre dans œuvre sentiment et distanciation réflexive, échappant à la seule création de cas sociaux.</t>
  </si>
  <si>
    <r>
      <rPr>
        <sz val="10"/>
        <color theme="1"/>
        <rFont val="Arial"/>
        <family val="2"/>
      </rPr>
      <t xml:space="preserve">"Il m'est impossible de comprendre qu'on puisse travailler avec un outil comme la caméra en ne se souciant pas du spectateur", interview avec Norbert Sparrow, in </t>
    </r>
    <r>
      <rPr>
        <i/>
        <sz val="10"/>
        <color theme="1"/>
        <rFont val="Arial"/>
        <family val="2"/>
      </rPr>
      <t>Cinéaste</t>
    </r>
    <r>
      <rPr>
        <sz val="10"/>
        <color theme="1"/>
        <rFont val="Arial"/>
        <family val="2"/>
      </rPr>
      <t>, WIII/2 automne 1977</t>
    </r>
  </si>
  <si>
    <t>Maria_braun.jpeg</t>
  </si>
  <si>
    <r>
      <t xml:space="preserve">Affiche du </t>
    </r>
    <r>
      <rPr>
        <i/>
        <sz val="10"/>
        <color rgb="FF000000"/>
        <rFont val="Arial"/>
        <family val="2"/>
      </rPr>
      <t>Mariage de Maria Braun</t>
    </r>
  </si>
  <si>
    <t>mélodrame</t>
  </si>
  <si>
    <t>Le traité fondamental organise la reconnaissance mutuelle de la RFA et de la RDA.
La RAF mène une série d’attentats contre l’armée américaine, la police, un juge et le groupe de presse Springer : quatre personnes sont tuées et des dizaines blessées. Baader, Ensslin, Meinhof, Raspe et plusieurs autres membres sont arrêtés en juin.
Le groupe terrotriste palestinien "Septembre noir" attaque l'équipe d'Israël aux Jeux Olympiques de Munich.</t>
  </si>
  <si>
    <r>
      <rPr>
        <i/>
        <sz val="10"/>
        <color rgb="FF000000"/>
        <rFont val="Arial"/>
        <family val="2"/>
      </rPr>
      <t xml:space="preserve">Aguirre, la colère de Dieu </t>
    </r>
    <r>
      <rPr>
        <sz val="10"/>
        <color rgb="FF000000"/>
        <rFont val="Arial"/>
        <family val="2"/>
      </rPr>
      <t xml:space="preserve">de Werner Herzog (1972)
</t>
    </r>
    <r>
      <rPr>
        <i/>
        <sz val="10"/>
        <color rgb="FF000000"/>
        <rFont val="Arial"/>
        <family val="2"/>
      </rPr>
      <t>Cabaret</t>
    </r>
    <r>
      <rPr>
        <sz val="10"/>
        <color rgb="FF000000"/>
        <rFont val="Arial"/>
        <family val="2"/>
      </rPr>
      <t xml:space="preserve"> de Bob Fosse met en scène la période de Weimar et l'ascension d'Hitler sous forme de comédie musicale. Sa mise en scène de l'homosexualité comme espace de résistance à l'oppression nazie fait advenir une représentation des persécutions dont la communauté LGBT a fait l'objet sous le nazisme, elle déconstruit aussi le cliché homophobe de l'officier nazi associé à une forme de perversion sexuelle souvent assimilée à une homosexualité refoulée. La mise en scène de la culture populaire (la chanson) et l'inscription dans un genre hollywoodien majeur constituent elles aussi des transgressions culturelles qui bouleversent l'histoire des représentations.</t>
    </r>
  </si>
  <si>
    <r>
      <rPr>
        <i/>
        <sz val="10"/>
        <color rgb="FF000000"/>
        <rFont val="Arial"/>
        <family val="2"/>
      </rPr>
      <t xml:space="preserve">Le Marchand des quatre saisons
Les larmes amères de Petra von Kant
Liberté à Brême </t>
    </r>
    <r>
      <rPr>
        <sz val="10"/>
        <color rgb="FF000000"/>
        <rFont val="Arial"/>
        <family val="2"/>
      </rPr>
      <t>- Téléfilm</t>
    </r>
    <r>
      <rPr>
        <i/>
        <sz val="10"/>
        <color rgb="FF000000"/>
        <rFont val="Arial"/>
        <family val="2"/>
      </rPr>
      <t xml:space="preserve">
Huit heures ne font pas un jour </t>
    </r>
    <r>
      <rPr>
        <sz val="10"/>
        <color rgb="FF000000"/>
        <rFont val="Arial"/>
        <family val="2"/>
      </rPr>
      <t xml:space="preserve"> - série</t>
    </r>
  </si>
  <si>
    <r>
      <rPr>
        <sz val="10"/>
        <color theme="1"/>
        <rFont val="Arial"/>
        <family val="2"/>
      </rPr>
      <t xml:space="preserve">Succès public et critique du </t>
    </r>
    <r>
      <rPr>
        <i/>
        <sz val="10"/>
        <color theme="1"/>
        <rFont val="Arial"/>
        <family val="2"/>
      </rPr>
      <t xml:space="preserve">Marchand de quatre saisons. </t>
    </r>
  </si>
  <si>
    <r>
      <rPr>
        <sz val="10"/>
        <color rgb="FF000000"/>
        <rFont val="Arial"/>
        <family val="2"/>
      </rPr>
      <t xml:space="preserve">"Mein Herr", numéro de </t>
    </r>
    <r>
      <rPr>
        <i/>
        <sz val="10"/>
        <color rgb="FF000000"/>
        <rFont val="Arial"/>
        <family val="2"/>
      </rPr>
      <t>Cabaret |</t>
    </r>
    <r>
      <rPr>
        <sz val="10"/>
        <color rgb="FF000000"/>
        <rFont val="Arial"/>
        <family val="2"/>
      </rPr>
      <t>https://www.youtube.com/watch?v=qBjiQ5oDHBc</t>
    </r>
  </si>
  <si>
    <t>Entrée des deux États allemands à l'ONU
Le premier choc pétrolier met fin à la haute croissance et entraîne l’arrêt du recrutement de Gastarbeiter. Cette décision favorise ensuite l’installation durable des travailleurs déjà présents et le regroupement familial.</t>
  </si>
  <si>
    <r>
      <rPr>
        <i/>
        <sz val="10"/>
        <color rgb="FF000000"/>
        <rFont val="Arial"/>
        <family val="2"/>
      </rPr>
      <t>Portier de nuit</t>
    </r>
    <r>
      <rPr>
        <sz val="10"/>
        <color rgb="FF000000"/>
        <rFont val="Arial"/>
        <family val="2"/>
      </rPr>
      <t xml:space="preserve"> de Liliana Cavani</t>
    </r>
  </si>
  <si>
    <r>
      <rPr>
        <i/>
        <sz val="10"/>
        <color rgb="FF000000"/>
        <rFont val="Arial"/>
        <family val="2"/>
      </rPr>
      <t xml:space="preserve">Gibier de passage </t>
    </r>
    <r>
      <rPr>
        <sz val="10"/>
        <color rgb="FF000000"/>
        <rFont val="Arial"/>
        <family val="2"/>
      </rPr>
      <t>-Téléfilm</t>
    </r>
    <r>
      <rPr>
        <i/>
        <sz val="10"/>
        <color rgb="FF000000"/>
        <rFont val="Arial"/>
        <family val="2"/>
      </rPr>
      <t xml:space="preserve">
Le monde sur un fil</t>
    </r>
    <r>
      <rPr>
        <sz val="10"/>
        <color rgb="FF000000"/>
        <rFont val="Arial"/>
        <family val="2"/>
      </rPr>
      <t xml:space="preserve"> - Téléfilm en parties</t>
    </r>
  </si>
  <si>
    <t>Willy Brandt démissionne : Guillaume, un de ses conseillers est démasqué comme espion de la RDA. cependant l'Ostpolitik qu'il a initiée se poursuit. Helmut Schmidt (SPD) lui succède.
Environ quatre millions d’étrangers vivent désormais en RFA.
Ulrike Meinhof est condamnée à huit ans de prison pour son implication dans l'évasion de Baader. Les détenus de la RAF dénoncent l’isolement carcéral et multiplient les grèves de la faim ; Holger Meins en meurt. Jean-Paul Sartre rencontre Andreas Baader à la prison de Stuttgart-Stammheim et critique publiquement ses conditions de détention.</t>
  </si>
  <si>
    <r>
      <rPr>
        <sz val="10"/>
        <color rgb="FF000000"/>
        <rFont val="Arial"/>
        <family val="2"/>
      </rPr>
      <t xml:space="preserve">Accords Film-Télévision (1974) favorisant les coproductions (WDR).
</t>
    </r>
    <r>
      <rPr>
        <i/>
        <sz val="10"/>
        <color rgb="FF000000"/>
        <rFont val="Arial"/>
        <family val="2"/>
      </rPr>
      <t>Alice dans les villes</t>
    </r>
    <r>
      <rPr>
        <sz val="10"/>
        <color rgb="FF000000"/>
        <rFont val="Arial"/>
        <family val="2"/>
      </rPr>
      <t xml:space="preserve"> de Wim Wenders.</t>
    </r>
  </si>
  <si>
    <r>
      <rPr>
        <sz val="10"/>
        <color rgb="FF000000"/>
        <rFont val="Arial"/>
        <family val="2"/>
      </rPr>
      <t xml:space="preserve">Février : diffusion de </t>
    </r>
    <r>
      <rPr>
        <i/>
        <sz val="10"/>
        <color rgb="FF000000"/>
        <rFont val="Arial"/>
        <family val="2"/>
      </rPr>
      <t>Nora Helmer</t>
    </r>
    <r>
      <rPr>
        <sz val="10"/>
        <color rgb="FF000000"/>
        <rFont val="Arial"/>
        <family val="2"/>
      </rPr>
      <t xml:space="preserve"> à la télévision
Mars : Première de </t>
    </r>
    <r>
      <rPr>
        <i/>
        <sz val="10"/>
        <color rgb="FF000000"/>
        <rFont val="Arial"/>
        <family val="2"/>
      </rPr>
      <t>Tous les autres s'appellent Ali</t>
    </r>
    <r>
      <rPr>
        <sz val="10"/>
        <color rgb="FF000000"/>
        <rFont val="Arial"/>
        <family val="2"/>
      </rPr>
      <t xml:space="preserve"> à Munich
Avril à Juillet : Tournage du </t>
    </r>
    <r>
      <rPr>
        <i/>
        <sz val="10"/>
        <color rgb="FF000000"/>
        <rFont val="Arial"/>
        <family val="2"/>
      </rPr>
      <t>Droit du plus fort à</t>
    </r>
    <r>
      <rPr>
        <sz val="10"/>
        <color rgb="FF000000"/>
        <rFont val="Arial"/>
        <family val="2"/>
      </rPr>
      <t xml:space="preserve"> Munich et Marrakech
Mai : Mise en scène par Fassbinder de</t>
    </r>
    <r>
      <rPr>
        <i/>
        <sz val="10"/>
        <color rgb="FF000000"/>
        <rFont val="Arial"/>
        <family val="2"/>
      </rPr>
      <t xml:space="preserve"> Les Gens déraisonnables sont en voie d'extinction </t>
    </r>
    <r>
      <rPr>
        <sz val="10"/>
        <color rgb="FF000000"/>
        <rFont val="Arial"/>
        <family val="2"/>
      </rPr>
      <t xml:space="preserve">de Peter Handke, au Schauspielhaus de Francfort. Diffusion de </t>
    </r>
    <r>
      <rPr>
        <i/>
        <sz val="10"/>
        <color rgb="FF000000"/>
        <rFont val="Arial"/>
        <family val="2"/>
      </rPr>
      <t xml:space="preserve">Martha </t>
    </r>
    <r>
      <rPr>
        <sz val="10"/>
        <color rgb="FF000000"/>
        <rFont val="Arial"/>
        <family val="2"/>
      </rPr>
      <t>à la télévision.
Juin : Première d'</t>
    </r>
    <r>
      <rPr>
        <i/>
        <sz val="10"/>
        <color rgb="FF000000"/>
        <rFont val="Arial"/>
        <family val="2"/>
      </rPr>
      <t xml:space="preserve">Effi Briest </t>
    </r>
    <r>
      <rPr>
        <sz val="10"/>
        <color rgb="FF000000"/>
        <rFont val="Arial"/>
        <family val="2"/>
      </rPr>
      <t xml:space="preserve">au festival de Berlin. 
Juillet : Tournage de </t>
    </r>
    <r>
      <rPr>
        <i/>
        <sz val="10"/>
        <color rgb="FF000000"/>
        <rFont val="Arial"/>
        <family val="2"/>
      </rPr>
      <t>Comme un oiseau sur le fil</t>
    </r>
    <r>
      <rPr>
        <sz val="10"/>
        <color rgb="FF000000"/>
        <rFont val="Arial"/>
        <family val="2"/>
      </rPr>
      <t xml:space="preserve"> à Cologne (6 jours)
Septembre : RWF est nommé directeur du TAT (Theater am Sturm) de Francfort pour 3 ans. Il ne tarde pas à entrer en conflit avec les membres de la troupe qui ne font pas partie de son cercle proche. 
Il met en scène </t>
    </r>
    <r>
      <rPr>
        <i/>
        <sz val="10"/>
        <color rgb="FF000000"/>
        <rFont val="Arial"/>
        <family val="2"/>
      </rPr>
      <t xml:space="preserve">Germinal </t>
    </r>
    <r>
      <rPr>
        <sz val="10"/>
        <color rgb="FF000000"/>
        <rFont val="Arial"/>
        <family val="2"/>
      </rPr>
      <t xml:space="preserve">de Zola, d'après une adaptation de Yaak Karsunke. 
Décembre: mise en scène par Fassbinder de </t>
    </r>
    <r>
      <rPr>
        <i/>
        <sz val="10"/>
        <color rgb="FF000000"/>
        <rFont val="Arial"/>
        <family val="2"/>
      </rPr>
      <t>Oncle Vania</t>
    </r>
    <r>
      <rPr>
        <sz val="10"/>
        <color rgb="FF000000"/>
        <rFont val="Arial"/>
        <family val="2"/>
      </rPr>
      <t xml:space="preserve"> de Tchekov.
Il réalise une émission de télévision en hommage à Brigitte Mira. 
RWF donne un petit rôle à El Hedi Ben Salem dans</t>
    </r>
    <r>
      <rPr>
        <i/>
        <sz val="10"/>
        <color rgb="FF000000"/>
        <rFont val="Arial"/>
        <family val="2"/>
      </rPr>
      <t xml:space="preserve"> Le droit du plus fort </t>
    </r>
    <r>
      <rPr>
        <sz val="10"/>
        <color rgb="FF000000"/>
        <rFont val="Arial"/>
        <family val="2"/>
      </rPr>
      <t>dans les scènes tournées au Maroc.</t>
    </r>
    <r>
      <rPr>
        <i/>
        <sz val="10"/>
        <color rgb="FF000000"/>
        <rFont val="Arial"/>
        <family val="2"/>
      </rPr>
      <t xml:space="preserve">
</t>
    </r>
    <r>
      <rPr>
        <sz val="10"/>
        <color rgb="FF000000"/>
        <rFont val="Arial"/>
        <family val="2"/>
      </rPr>
      <t>Rencontre et installation avec Armin Meier. Ce dernier, garçon boucher employé dans un abattoir, est un enfant du Lebensborn. Elevé par des religieuses, il n'avait pas appris à lire. A 14 ans il avait été placé chez un médecin qui avait abusé de lui.</t>
    </r>
  </si>
  <si>
    <r>
      <t xml:space="preserve">Effi Briest
Martha - Téléfilm
Tous les autres s'appellent Ali
Nora Helmer - </t>
    </r>
    <r>
      <rPr>
        <sz val="10"/>
        <color rgb="FF000000"/>
        <rFont val="Arial"/>
        <family val="2"/>
      </rPr>
      <t>Téléfilm</t>
    </r>
  </si>
  <si>
    <r>
      <rPr>
        <sz val="10"/>
        <color rgb="FF000000"/>
        <rFont val="Arial"/>
        <family val="2"/>
      </rPr>
      <t xml:space="preserve">Effi Briest permet à RWF d'obtenir une reconnaissance plus large en Allemagne, qui tempère sa réputation d'enfant terrible du cinéma
</t>
    </r>
    <r>
      <rPr>
        <i/>
        <sz val="10"/>
        <color rgb="FF000000"/>
        <rFont val="Arial"/>
        <family val="2"/>
      </rPr>
      <t xml:space="preserve">Tous les autres s'appellent Ali, </t>
    </r>
    <r>
      <rPr>
        <sz val="10"/>
        <color rgb="FF000000"/>
        <rFont val="Arial"/>
        <family val="2"/>
      </rPr>
      <t>Premier grand succès international
Première rétrospective Fassbinder à la cinémathèque française</t>
    </r>
  </si>
  <si>
    <t>Schmidt.jpg</t>
  </si>
  <si>
    <t>Le chancelier Helmut Schmidt (SPD)</t>
  </si>
  <si>
    <t>Tensions sociales et crises du logement (Westend). Débats sur la visibilité des minorités. Lois limitant les libertés civiles.
Confronté à l’enlèvement du candidat CDU Peter Lorenz par le Mouvement du 2-Juin ; le gouvernement ouest-allemand autorise  la libération de cinq militants de la RAF. La prise d’otages de l’ambassade de RFA à Stockholm par un commando de la RAF s’achève dans le sang.
Le procès des principaux dirigeants de la RAF s’ouvre à Stuttgart-Stammheim, tandis que se structurent en Allemagne et à l’étranger des comités de soutien.</t>
  </si>
  <si>
    <t>Le cinéma et la télévision s’emparent des violences politiques, des minorités et des rapports de domination. Le « film amphibie », conçu pour circuler entre petit et grand écran, élargit le public de cette critique sociale.</t>
  </si>
  <si>
    <r>
      <t xml:space="preserve">Février - mars : Tournage de </t>
    </r>
    <r>
      <rPr>
        <i/>
        <sz val="10"/>
        <color rgb="FF000000"/>
        <rFont val="Arial"/>
        <family val="2"/>
      </rPr>
      <t>Maman Küsters s'en va au ciel</t>
    </r>
    <r>
      <rPr>
        <sz val="10"/>
        <color rgb="FF000000"/>
        <rFont val="Arial"/>
        <family val="2"/>
      </rPr>
      <t xml:space="preserve"> à Francfort (20 jours)
Avril - mai : Tournage de </t>
    </r>
    <r>
      <rPr>
        <i/>
        <sz val="10"/>
        <color rgb="FF000000"/>
        <rFont val="Arial"/>
        <family val="2"/>
      </rPr>
      <t>Peur de la peur</t>
    </r>
    <r>
      <rPr>
        <sz val="10"/>
        <color rgb="FF000000"/>
        <rFont val="Arial"/>
        <family val="2"/>
      </rPr>
      <t xml:space="preserve"> à Bonn et Cologne (25 jours)
Mai : diffusion de </t>
    </r>
    <r>
      <rPr>
        <i/>
        <sz val="10"/>
        <color rgb="FF000000"/>
        <rFont val="Arial"/>
        <family val="2"/>
      </rPr>
      <t>Comme un oiseau sur le fil</t>
    </r>
    <r>
      <rPr>
        <sz val="10"/>
        <color rgb="FF000000"/>
        <rFont val="Arial"/>
        <family val="2"/>
      </rPr>
      <t xml:space="preserve"> à la télévision
Juin : RWF démissionne de la TAT avant l'expiration de son contrat de 3 ans.
Juillet : Diffusion de </t>
    </r>
    <r>
      <rPr>
        <i/>
        <sz val="10"/>
        <color rgb="FF000000"/>
        <rFont val="Arial"/>
        <family val="2"/>
      </rPr>
      <t xml:space="preserve">Peur de la peur à la télévision
Octobre - novembre : première partie du tournage </t>
    </r>
    <r>
      <rPr>
        <sz val="10"/>
        <color rgb="FF000000"/>
        <rFont val="Arial"/>
        <family val="2"/>
      </rPr>
      <t xml:space="preserve">du </t>
    </r>
    <r>
      <rPr>
        <i/>
        <sz val="10"/>
        <color rgb="FF000000"/>
        <rFont val="Arial"/>
        <family val="2"/>
      </rPr>
      <t>Rôti de satan à Munich (14 jours)
Novembre - décembre : Tournage de Je veux seulement que vous m'aimiez</t>
    </r>
    <r>
      <rPr>
        <sz val="10"/>
        <color rgb="FF000000"/>
        <rFont val="Arial"/>
        <family val="2"/>
      </rPr>
      <t xml:space="preserve"> à Munich et aux alentours</t>
    </r>
    <r>
      <rPr>
        <i/>
        <sz val="10"/>
        <color rgb="FF000000"/>
        <rFont val="Arial"/>
        <family val="2"/>
      </rPr>
      <t xml:space="preserve"> (25 jours)</t>
    </r>
    <r>
      <rPr>
        <sz val="10"/>
        <color rgb="FF000000"/>
        <rFont val="Arial"/>
        <family val="2"/>
      </rPr>
      <t xml:space="preserve">
 Il écrit </t>
    </r>
    <r>
      <rPr>
        <i/>
        <sz val="10"/>
        <color rgb="FF000000"/>
        <rFont val="Arial"/>
        <family val="2"/>
      </rPr>
      <t>la pièce Les ordures, la ville et la mort.</t>
    </r>
    <r>
      <rPr>
        <sz val="10"/>
        <color rgb="FF000000"/>
        <rFont val="Arial"/>
        <family val="2"/>
      </rPr>
      <t xml:space="preserve">
RWF pratique le jeu de la roulette chinoise qui consiste à devenir l'identité d'une personne à partir de questions et réponses qui sont données. Le jeu peut s'avérer très cruel avec l'entourage. </t>
    </r>
  </si>
  <si>
    <r>
      <rPr>
        <i/>
        <sz val="10"/>
        <color rgb="FF000000"/>
        <rFont val="Arial"/>
        <family val="2"/>
      </rPr>
      <t>Maman Küsters s'en va au ciel</t>
    </r>
    <r>
      <rPr>
        <sz val="10"/>
        <color rgb="FF000000"/>
        <rFont val="Arial"/>
        <family val="2"/>
      </rPr>
      <t xml:space="preserve"> 
</t>
    </r>
    <r>
      <rPr>
        <i/>
        <sz val="10"/>
        <color rgb="FF000000"/>
        <rFont val="Arial"/>
        <family val="2"/>
      </rPr>
      <t>Le Droit du plus fort</t>
    </r>
    <r>
      <rPr>
        <sz val="10"/>
        <color rgb="FF000000"/>
        <rFont val="Arial"/>
        <family val="2"/>
      </rPr>
      <t xml:space="preserve"> 
</t>
    </r>
    <r>
      <rPr>
        <i/>
        <sz val="10"/>
        <color rgb="FF000000"/>
        <rFont val="Arial"/>
        <family val="2"/>
      </rPr>
      <t>Comme un oiseau sur le fil</t>
    </r>
    <r>
      <rPr>
        <sz val="10"/>
        <color rgb="FF000000"/>
        <rFont val="Arial"/>
        <family val="2"/>
      </rPr>
      <t xml:space="preserve"> - Téléfilm
</t>
    </r>
    <r>
      <rPr>
        <i/>
        <sz val="10"/>
        <color rgb="FF000000"/>
        <rFont val="Arial"/>
        <family val="2"/>
      </rPr>
      <t>Peur de la peur</t>
    </r>
    <r>
      <rPr>
        <sz val="10"/>
        <color rgb="FF000000"/>
        <rFont val="Arial"/>
        <family val="2"/>
      </rPr>
      <t xml:space="preserve"> -Téléfilm
</t>
    </r>
  </si>
  <si>
    <r>
      <t xml:space="preserve">Le militantisme et l'action politique violente, marquée à l'extrême gauche après 1968 en Allemagne, sont le terreau de plusieurs films de Fassbinder : Voyage à Niklashausen, , Maman Kusters s'en va au ciel, ou encore La troisième génération. Il est remarquable qu'un comique outrancier associe l'action violente à une forme de bêtise radicale.
Fassbinder joue le rôle principal du </t>
    </r>
    <r>
      <rPr>
        <i/>
        <sz val="10"/>
        <color rgb="FF000000"/>
        <rFont val="Arial"/>
        <family val="2"/>
      </rPr>
      <t>Droit du plus fort</t>
    </r>
    <r>
      <rPr>
        <sz val="10"/>
        <color rgb="FF000000"/>
        <rFont val="Arial"/>
        <family val="2"/>
      </rPr>
      <t xml:space="preserve">, assumant une visibilité politique de son homosexualité.
Une rétrospective de l'œuvre de RWF à New York suscite l'enthousiasme de la presse américaine. 
</t>
    </r>
  </si>
  <si>
    <r>
      <rPr>
        <sz val="10"/>
        <color theme="1"/>
        <rFont val="Arial"/>
        <family val="2"/>
      </rPr>
      <t xml:space="preserve">Il faut bien qu'on ait la possibilité d'aborder un thème d'une manière dangereuse, peut-être contestable, et pas seulement en avançant à couvert; sinon ce qu'on fait est encore une fois aussi mort que tout le reste dans le paysage théâtral allemand. Plus rien de vivant ne s'y produit ; rien que des gens gentils, sympas et rien que des gens qui veulent plaire. A long terme ce n'est pas possible". RWF, "les philosémites sont des antisémites", avril 1976, repris dans </t>
    </r>
    <r>
      <rPr>
        <i/>
        <sz val="10"/>
        <color theme="1"/>
        <rFont val="Arial"/>
        <family val="2"/>
      </rPr>
      <t>L'anarchie de l'imagination P; 76</t>
    </r>
  </si>
  <si>
    <t>Fassbinder_fox.jpeg</t>
  </si>
  <si>
    <r>
      <rPr>
        <sz val="10"/>
        <color theme="1"/>
        <rFont val="Arial"/>
        <family val="2"/>
      </rPr>
      <t xml:space="preserve">RWF interprète Fox dans </t>
    </r>
    <r>
      <rPr>
        <i/>
        <sz val="10"/>
        <color theme="1"/>
        <rFont val="Arial"/>
        <family val="2"/>
      </rPr>
      <t>Le droit du plus fort</t>
    </r>
  </si>
  <si>
    <t>Après quatre années de débats, l’IVG est autorisée sur indication médico-sociale, tout en demeurant pénalisée hors de ce cadre.
Ulrike Meinhof est retrouvée pendue dans sa cellule ; l’enquête conclut au suicide, conclusion contestée par les membres de la RAF. L’arrestation d’un avocat de Baader révèle la préparation de nouveaux attentats.</t>
  </si>
  <si>
    <t>M. Klein de Joseph Losey</t>
  </si>
  <si>
    <r>
      <rPr>
        <sz val="10"/>
        <color rgb="FF000000"/>
        <rFont val="Arial"/>
        <family val="2"/>
      </rPr>
      <t xml:space="preserve">L'ombre des anges de Daniel Schmid,  d'après la pièce </t>
    </r>
    <r>
      <rPr>
        <i/>
        <sz val="10"/>
        <color rgb="FF000000"/>
        <rFont val="Arial"/>
        <family val="2"/>
      </rPr>
      <t>Les ordures, la ville et la mort</t>
    </r>
    <r>
      <rPr>
        <sz val="10"/>
        <color rgb="FF000000"/>
        <rFont val="Arial"/>
        <family val="2"/>
      </rPr>
      <t xml:space="preserve">
Le rôti de satan 
Je veux seulement que vous m'aimiez - Téléfilm
Roulette chinoise </t>
    </r>
  </si>
  <si>
    <t xml:space="preserve">Suite au scandale déclenché par Les ordures, la ville et la mort, RWF subira le soupçon d'antisémitisme dans tous ses autres projets associés à cette question. Pour apprécier la position de RWF, lire "les philosémites sont des antisémites" dans L'anarchie de l'imagination, et "prise de position à propos de L'ordure, la ville et la mort dans Les films libèrent la tête. La pièce Les ordures, la ville et la mort est toujours un texte polémique, rarement monté. En 1985, le projet de le mettre sur scène à Francfort déclencha de vifs débats, le projet, d'abord retiré, fut monté à huis-clos devant un public restreint de journalistes dans un autre théâtre de Francfort dans un contexte politique d'affirmation de l'unité refondée du peuple allemand mais de sensibilités mémorielles toujours vives. </t>
  </si>
  <si>
    <t xml:space="preserve">Automne Allemand (1977) : enlèvement de Schleyer, détournement du Landshut, morts à Stammheim.
La réforme du droit de la famille supprime l’obligation faite à l’épouse de se consacrer prioritairement au foyer et lui permet de travailler sans l’autorisation de son mari.
Avril : Le procureur fédéral Siegfried Bubak est assassiné avec son chauffeur et son garde du corps. L’offensive 77, qui se développe dans le contexte du procès des leaders de la RAF, est lancée. Après 192 jours de procès à Stammheim, les accusés du groupe Baader sont condamnés pour assassinat à une peine d'emprisonnement à perpétuité. Juillet 1977 :  Jürgen Ponto, président de la Dresdner Bank est assassiné par un commando dont fait partie sa filleule. L’automne allemand de 1977 désigne un climat de terreur et d’oppression qui règne en RFA, apogée de ce qui est nommé « les années de plomb ». Septembre 1977 : pour obtenir la libération de ses membres détenus à la prison de Stuttgart-Stammheim, la RAF enlève le président du patronat allemand Hanns Martin Schleyer. Il est dénoncé comme ancien membre du parti nazi et des SS. Onze prisonniers sont réclamés en échange de sa vie. La famille Schleyer n'a pas le droit de payer la rançon. Octobre 1977 : un avion de la Lufthansa est détourné sur Mogadiscio en Somalie par le commando palestinien « Martyr Halimeh », prenant en otages 86 passagers et cinq membres d'équipage. Le commando assassine le commandant de bord. La prise d'otages prend fin avec l'intervention des forces spéciales allemandes durant laquelle trois des quatre membres du commando palestinien sont tués. Le même jour, les autorités allemandes annoncent la mort d'Andreas Baader, Gudrun Ensslin, la compagne de Baader, et Jan-Carl Raspe, par suicide lors de ce qu'il est convenu d'appeler « la nuit de la mort de Stammheim ». En représailles, la RAF annonce la mort de Hanns Martin Schleyer. Son corps est retrouvé dans le coffre d'une automobile à Mulhouse, en France. Brigitte Mohnhaupt, leader de la seconde génération, impliquée dans ce meurtre, est alors considérée comme la femme la plus dangereuse d'Allemagne. Novembre 1977 : Ingrid Schubert est retrouvée pendue dans sa cellule de la prison de Munich. </t>
  </si>
  <si>
    <r>
      <t xml:space="preserve">L’expression « Automne allemand » désigne bientôt autant la séquence terroriste que le climat de peur, de contrôle et de crise démocratique qu’elle produit. Cinéastes, écrivains et artistes s’interrogent sur la violence politique, la mémoire du nazisme et les réponses de l’État.
Le mouvement du Nouveau cinéma allemand atteint son apogée thématique et politique.
</t>
    </r>
    <r>
      <rPr>
        <i/>
        <sz val="10"/>
        <color rgb="FF000000"/>
        <rFont val="Arial"/>
        <family val="2"/>
      </rPr>
      <t>Hitler, un film d'Allemagne</t>
    </r>
    <r>
      <rPr>
        <sz val="10"/>
        <color rgb="FF000000"/>
        <rFont val="Arial"/>
        <family val="2"/>
      </rPr>
      <t xml:space="preserve"> de Syberberg interroge le nazisme à travers son usage des médias (radio et cinéma) et sa mise en spectacle du politique.  Le film révèle comment le show business moderne présente une dimension fasciste.
</t>
    </r>
    <r>
      <rPr>
        <i/>
        <sz val="10"/>
        <color rgb="FF000000"/>
        <rFont val="Arial"/>
        <family val="2"/>
      </rPr>
      <t>L'ami américain</t>
    </r>
    <r>
      <rPr>
        <sz val="10"/>
        <color rgb="FF000000"/>
        <rFont val="Arial"/>
        <family val="2"/>
      </rPr>
      <t xml:space="preserve"> de Wim Wenders
</t>
    </r>
  </si>
  <si>
    <t>Femmes à New York  -Téléfilm
La femme du chef de gare  - Téléfilm</t>
  </si>
  <si>
    <t xml:space="preserve">Dans "devoir de l'avoir - avoir du devoir" un article repris dans Les films libèrent la tête, RWF revient sur le roman de Freytag  et son projet empêché .  Son propos marque la conscience précoce du cinéaste de l'antisémitisme  conscient ou inconscient qui règne encore et du positionnement ambigu de la population allemande à l'égard de sa responsabilité historique dans le génocide juif, de son absence de regard critique sur l'histoire du pays. Il revient sur le "péché originel" qu'a été la constitution d'une identité de la bourgeoisie allemande fondamentalement antisémite et défend le choix d'une oeuvre antisémite selon deux arguments : 1. le roman est bien construit et narrativement divertissant, ce qui en fait un bon support pour une adaptation cinématographique. 2. L'oeuvre permettrait de mettre à jour avec justesse, c'est-à-dire historiquement, le point de vue "faux" de la bourgeoisie allemande du XIXè, ce que justement cette classe sociale considérait comme "juste". C'est donc, comme toujours chez RWF, un travail des points de vue et de leur agencement qui intéresse le cinéaste en ce qu'il permettrait de déconstruire le point de vue du spectateur contemporain, de l'amener à interroger son propre regard. </t>
  </si>
  <si>
    <t>Les années 55-75, celles pendant lesquelles RWF est sorti de l'enfance et s'est développé comme adolescent puis adulte, seront celles qui nourriront son inspiration cinématographique et sa réflexion politique. Même les films dont l'action se situe avant 1945 sont à envisager comme "une archéologie de la société allemande d'après-guerre" (Elsaesser, p. 34)</t>
  </si>
  <si>
    <r>
      <rPr>
        <sz val="10"/>
        <color theme="1"/>
        <rFont val="Arial"/>
        <family val="2"/>
      </rPr>
      <t xml:space="preserve">"je trouve que l'Allemagne en particulier est dans une situation où beaucoup de choses régressent. Je dirais qu'en 1945, lorsque la guerre a pris fin, lorsque le troisième Reich a pris fin, on n'a pas perçu quelles chances s'offraient à l'Allemagne, mais je pense qu'au contraire, comme je l'ai écrit dans </t>
    </r>
    <r>
      <rPr>
        <i/>
        <sz val="10"/>
        <color theme="1"/>
        <rFont val="Arial"/>
        <family val="2"/>
      </rPr>
      <t xml:space="preserve">Die Zeit, </t>
    </r>
    <r>
      <rPr>
        <sz val="10"/>
        <color theme="1"/>
        <rFont val="Arial"/>
        <family val="2"/>
      </rPr>
      <t xml:space="preserve">les valeurs et les structures sur lesquelles repose cet Etat, aujourd'hui devenu démocratique, sont restées, fondamentalement les mêmes qu'autrefois. Cet état de fait, si on ajoute cette tendance régressive, va conduire à quelque chose, une forme d'Etat dans lequel je n'aimerais pas tellement vivre". Entretien donné à Peter W. Jansen en 1978 et repris dans l'ouvrage </t>
    </r>
    <r>
      <rPr>
        <i/>
        <sz val="10"/>
        <color theme="1"/>
        <rFont val="Arial"/>
        <family val="2"/>
      </rPr>
      <t>Fassbinder par lui-même</t>
    </r>
    <r>
      <rPr>
        <sz val="10"/>
        <color theme="1"/>
        <rFont val="Arial"/>
        <family val="2"/>
      </rPr>
      <t>, p.342-343, G3J éditeur, 2010</t>
    </r>
  </si>
  <si>
    <r>
      <rPr>
        <sz val="10"/>
        <color theme="1"/>
        <rFont val="Arial"/>
        <family val="2"/>
      </rPr>
      <t>"</t>
    </r>
    <r>
      <rPr>
        <i/>
        <sz val="10"/>
        <color theme="1"/>
        <rFont val="Arial"/>
        <family val="2"/>
      </rPr>
      <t xml:space="preserve">Despair </t>
    </r>
    <r>
      <rPr>
        <sz val="10"/>
        <color theme="1"/>
        <rFont val="Arial"/>
        <family val="2"/>
      </rPr>
      <t xml:space="preserve">est le film le plus rempli d'espoir que j'ai jamais fait " RWF, </t>
    </r>
    <r>
      <rPr>
        <i/>
        <sz val="10"/>
        <color theme="1"/>
        <rFont val="Arial"/>
        <family val="2"/>
      </rPr>
      <t>L'anarchie de l'imaginaire</t>
    </r>
    <r>
      <rPr>
        <sz val="10"/>
        <color theme="1"/>
        <rFont val="Arial"/>
        <family val="2"/>
      </rPr>
      <t xml:space="preserve">, </t>
    </r>
    <r>
      <rPr>
        <i/>
        <sz val="10"/>
        <color theme="1"/>
        <rFont val="Arial"/>
        <family val="2"/>
      </rPr>
      <t>p.80-81</t>
    </r>
    <r>
      <rPr>
        <sz val="10"/>
        <color theme="1"/>
        <rFont val="Arial"/>
        <family val="2"/>
      </rPr>
      <t xml:space="preserve">. Le film constitue un nouveau tournant dans la carrière de RWF en l'intégrant au club fermé des auteurs importants du cinéma européen même si son écho critique reste mitigé. Mais RWF présente aussi à Cannes, en projection non officielle </t>
    </r>
    <r>
      <rPr>
        <i/>
        <sz val="10"/>
        <color theme="1"/>
        <rFont val="Arial"/>
        <family val="2"/>
      </rPr>
      <t xml:space="preserve">Le mariage de Maria Braun. </t>
    </r>
    <r>
      <rPr>
        <sz val="10"/>
        <color theme="1"/>
        <rFont val="Arial"/>
        <family val="2"/>
      </rPr>
      <t xml:space="preserve">ce film éclipse </t>
    </r>
    <r>
      <rPr>
        <i/>
        <sz val="10"/>
        <color theme="1"/>
        <rFont val="Arial"/>
        <family val="2"/>
      </rPr>
      <t xml:space="preserve">Despair.
L'année des treize lunes est un projet très personnel pour RWF. Outre son sujet, qui se nourrit du deuil et de la culpabilité liés à la mort d'Armin Meier, RWF y participe à toutes les étapes, y compris le cadrage et le montage. La critique est divisée, entre enthousiasme et rejet, entre lecture sentimentale et lecture politique. 
L'allemagne en automne n'est vu que par un public limité. </t>
    </r>
  </si>
  <si>
    <r>
      <rPr>
        <sz val="10"/>
        <color theme="1"/>
        <rFont val="Arial"/>
        <family val="2"/>
      </rPr>
      <t xml:space="preserve">La première génération était celle de 1968. Des idéalistes qui voulaient changer le monde et qui s'imaginaient pouvoir le faire avec des mots et des manifestes. La deuxième, celle du groupe Baader-Meinhof, passa de la légalité à la lutte armée et à l'illégalité totale. la troisième génération est celle d'aujourd'hui, qui se contente d'agir sans réfléchir, qui n'a ni idéologie ni politique, et qui se fait manipuler à son insu comme une troupe de marionnettes" </t>
    </r>
    <r>
      <rPr>
        <i/>
        <sz val="10"/>
        <color theme="1"/>
        <rFont val="Arial"/>
        <family val="2"/>
      </rPr>
      <t>Fassbinder</t>
    </r>
    <r>
      <rPr>
        <sz val="10"/>
        <color theme="1"/>
        <rFont val="Arial"/>
        <family val="2"/>
      </rPr>
      <t>, Jansen/Schütte, Collection Rivages-cinéma, 1986, p.106</t>
    </r>
  </si>
  <si>
    <t>La détente internationale s’essouffle : reprise de la course aux armements et redéploiement des armes conventionnelles et nucléaires. Les mouvements pacifistes retrouvent une forte capacité de mobilisation.</t>
  </si>
  <si>
    <r>
      <t xml:space="preserve">Février : Première du </t>
    </r>
    <r>
      <rPr>
        <i/>
        <sz val="10"/>
        <color rgb="FF000000"/>
        <rFont val="Arial"/>
        <family val="2"/>
      </rPr>
      <t>Mariage de Maria Braun</t>
    </r>
    <r>
      <rPr>
        <sz val="10"/>
        <color rgb="FF000000"/>
        <rFont val="Arial"/>
        <family val="2"/>
      </rPr>
      <t xml:space="preserve"> à Berlin. Le film remporte l'Ours d'argent.
Mai : Première de </t>
    </r>
    <r>
      <rPr>
        <i/>
        <sz val="10"/>
        <color rgb="FF000000"/>
        <rFont val="Arial"/>
        <family val="2"/>
      </rPr>
      <t>La troisième génération</t>
    </r>
    <r>
      <rPr>
        <sz val="10"/>
        <color rgb="FF000000"/>
        <rFont val="Arial"/>
        <family val="2"/>
      </rPr>
      <t xml:space="preserve"> à Cannes
Juin - Avril 1980  : Tournage de </t>
    </r>
    <r>
      <rPr>
        <i/>
        <sz val="10"/>
        <color rgb="FF000000"/>
        <rFont val="Arial"/>
        <family val="2"/>
      </rPr>
      <t>Berlin Alexanderplatz</t>
    </r>
    <r>
      <rPr>
        <sz val="10"/>
        <color rgb="FF000000"/>
        <rFont val="Arial"/>
        <family val="2"/>
      </rPr>
      <t xml:space="preserve"> à Berlin et Munich (154 jours) -  c'est un projet que RWF porte en lui depuis toujours. Il a découvert le roman de Dölbin à 14 ans.
Octobre : RWF reçoit le prix Visconti, accordé par la critique italienne.
Mariage avec Juliane Lorenz à Las Vegas, le soir du réveillon.</t>
    </r>
  </si>
  <si>
    <r>
      <rPr>
        <i/>
        <sz val="10"/>
        <color theme="1"/>
        <rFont val="Arial"/>
        <family val="2"/>
      </rPr>
      <t xml:space="preserve">Le mariage de Maria Braun </t>
    </r>
    <r>
      <rPr>
        <sz val="10"/>
        <color theme="1"/>
        <rFont val="Arial"/>
        <family val="2"/>
      </rPr>
      <t xml:space="preserve">remporte un succès majeur en Allemagne et dans le monde, ouvrant les portes des studios américains à RWF. Aux Etats-Unis le film est distribué par United Artists. Le film fait de RWF et de son actrice Hanna Schygulla des stars et Fassbinder, l'enfant terrible du cinéma allemand, le metteur en scène des marges, devient paradoxalement l'incarnation même de la RFA. Le rêve de RWF de réaliser un "film hollywoodien allemand" semble accompli. Le film ouvre aussi la trilogie RFA. 
</t>
    </r>
  </si>
  <si>
    <t>Fondation des Verts (1980). Manifestations écologistes. Fin de l'ère sociale-libérale.
La création des Verts rassemble des courants écologistes, féministes et pacifistes issus des mobilisations de la décennie précédente. La représentation politique des femmes reste pourtant inférieure à 10 %, et les modèles sociaux demeurent largement centrés sur la femme au foyer.</t>
  </si>
  <si>
    <r>
      <t xml:space="preserve">Allemagne mère blafarde </t>
    </r>
    <r>
      <rPr>
        <sz val="10"/>
        <color rgb="FF000000"/>
        <rFont val="Arial"/>
        <family val="2"/>
      </rPr>
      <t>de Helma Sanders-Brahms. 
Début du tournage d'</t>
    </r>
    <r>
      <rPr>
        <i/>
        <sz val="10"/>
        <color rgb="FF000000"/>
        <rFont val="Arial"/>
        <family val="2"/>
      </rPr>
      <t>Heima</t>
    </r>
    <r>
      <rPr>
        <sz val="10"/>
        <color rgb="FF000000"/>
        <rFont val="Arial"/>
        <family val="2"/>
      </rPr>
      <t>t</t>
    </r>
    <r>
      <rPr>
        <i/>
        <sz val="10"/>
        <color rgb="FF000000"/>
        <rFont val="Arial"/>
        <family val="2"/>
      </rPr>
      <t xml:space="preserve"> de Edgar Reitz qui sera diffusé en 1984
</t>
    </r>
    <r>
      <rPr>
        <sz val="10"/>
        <color rgb="FF000000"/>
        <rFont val="Arial"/>
        <family val="2"/>
      </rPr>
      <t>Le tambour</t>
    </r>
    <r>
      <rPr>
        <i/>
        <sz val="10"/>
        <color rgb="FF000000"/>
        <rFont val="Arial"/>
        <family val="2"/>
      </rPr>
      <t xml:space="preserve"> de Schlöndorff obtient l'oscar du meilleur film étranger.</t>
    </r>
  </si>
  <si>
    <r>
      <rPr>
        <sz val="10"/>
        <color rgb="FF000000"/>
        <rFont val="Arial"/>
        <family val="2"/>
      </rPr>
      <t xml:space="preserve">Avril : RWf achève le tournage de </t>
    </r>
    <r>
      <rPr>
        <i/>
        <sz val="10"/>
        <color rgb="FF000000"/>
        <rFont val="Arial"/>
        <family val="2"/>
      </rPr>
      <t>Berlin Alexanderplatz.</t>
    </r>
    <r>
      <rPr>
        <sz val="10"/>
        <color rgb="FF000000"/>
        <rFont val="Arial"/>
        <family val="2"/>
      </rPr>
      <t xml:space="preserve">Il a renoué avec la drogue et l'alcool pendant le tournage.
Juillet - septembre : Tournage de </t>
    </r>
    <r>
      <rPr>
        <i/>
        <sz val="10"/>
        <color rgb="FF000000"/>
        <rFont val="Arial"/>
        <family val="2"/>
      </rPr>
      <t>Lili Marleen</t>
    </r>
    <r>
      <rPr>
        <sz val="10"/>
        <color rgb="FF000000"/>
        <rFont val="Arial"/>
        <family val="2"/>
      </rPr>
      <t xml:space="preserve"> à Munich (47 jours). Le film est produit par Luggi Waldleitner, un producteur plutôt liés aux films commerciaux.
Septembre - octobre : avant-première de </t>
    </r>
    <r>
      <rPr>
        <i/>
        <sz val="10"/>
        <color rgb="FF000000"/>
        <rFont val="Arial"/>
        <family val="2"/>
      </rPr>
      <t>Berlin Alexanderplatz</t>
    </r>
    <r>
      <rPr>
        <sz val="10"/>
        <color rgb="FF000000"/>
        <rFont val="Arial"/>
        <family val="2"/>
      </rPr>
      <t xml:space="preserve"> à la Biennale de Venise
Octobre - décembre : diffusion de</t>
    </r>
    <r>
      <rPr>
        <i/>
        <sz val="10"/>
        <color rgb="FF000000"/>
        <rFont val="Arial"/>
        <family val="2"/>
      </rPr>
      <t xml:space="preserve"> Berlin Alexanderplatz à la télévision. </t>
    </r>
  </si>
  <si>
    <r>
      <t xml:space="preserve">Monumental </t>
    </r>
    <r>
      <rPr>
        <i/>
        <sz val="10"/>
        <color rgb="FF000000"/>
        <rFont val="Arial"/>
        <family val="2"/>
      </rPr>
      <t>Berlin Alexanderplatz</t>
    </r>
    <r>
      <rPr>
        <sz val="10"/>
        <color rgb="FF000000"/>
        <rFont val="Arial"/>
        <family val="2"/>
      </rPr>
      <t xml:space="preserve">  - série en 14 épisodes et un épilogue </t>
    </r>
  </si>
  <si>
    <t>La première diffusion de Berlin Alexanderplatz à la télévision déclenche une violente campagne de haine contre le réalisateur. Le journaliste Klaus Eder qualifie l'oeuvre de "masturbations malpropres" 
Adaptant librement, près d'un siècle après sa parution - et quarante ans après la série culte de Fassbinder - le chef-d'oeuvre polyphonique d'Alfred Döblin, le réalisateur germano-afghan Burhan Qurbani en modernise le propos de manière radicale, en imaginant un réfugié sans papiers dans la peau de Franz Biberkopf, antihéros en quête de rédemption. Il transpose également à l'image l'audace formelle du roman, saturant les sens dans un tourbillon de musique, de mouvements et de couleurs. 
Cependant, alors même que l'obscurité qui règne dans l'image de Berlin Alexanderplatz rend l'expérience télévisuelle inédite et peu confortable au premier abord et que la série est diffusée le lundi soir à un créneau peu faborable a réuni une part d'audience moyenne de 16% de spectateurs.</t>
  </si>
  <si>
    <r>
      <t xml:space="preserve">"J'ai donc rencontré une œuvre d'art (…) qui aide à élaborer du théorique sans être théorique, qui contraint à des attitudes morales sans être morale, qui aide à accepter le banal comme essentiel, comme sacré, sans être banale et encore moins sacrée " RWF, "Les villes de l'homme et son âme, Quelques pensées en désordre sur le roman d'Alfred Döblin </t>
    </r>
    <r>
      <rPr>
        <i/>
        <sz val="10"/>
        <color rgb="FF000000"/>
        <rFont val="Arial"/>
        <family val="2"/>
      </rPr>
      <t>Berlin Alexanderplatz</t>
    </r>
    <r>
      <rPr>
        <sz val="10"/>
        <color rgb="FF000000"/>
        <rFont val="Arial"/>
        <family val="2"/>
      </rPr>
      <t>"</t>
    </r>
    <r>
      <rPr>
        <i/>
        <sz val="10"/>
        <color rgb="FF000000"/>
        <rFont val="Arial"/>
        <family val="2"/>
      </rPr>
      <t>, Les Cahiers du cinéma</t>
    </r>
    <r>
      <rPr>
        <sz val="10"/>
        <color rgb="FF000000"/>
        <rFont val="Arial"/>
        <family val="2"/>
      </rPr>
      <t xml:space="preserve">, n° 321, mars 1981, p. 34-37. Texte repris dans l’édition Gallimard de </t>
    </r>
    <r>
      <rPr>
        <i/>
        <sz val="10"/>
        <color rgb="FF000000"/>
        <rFont val="Arial"/>
        <family val="2"/>
      </rPr>
      <t>Berlin Alexanderplatz</t>
    </r>
    <r>
      <rPr>
        <sz val="10"/>
        <color rgb="FF000000"/>
        <rFont val="Arial"/>
        <family val="2"/>
      </rPr>
      <t>, d’Alfred Döblin, traduit par Olivier Le Lay.</t>
    </r>
  </si>
  <si>
    <t>Une grande manifestation organisée à Bonn contre la course aux armements confirme l’importance du pacifisme dans la société ouest-allemande.</t>
  </si>
  <si>
    <r>
      <rPr>
        <sz val="10"/>
        <color rgb="FF000000"/>
        <rFont val="Arial"/>
        <family val="2"/>
      </rPr>
      <t xml:space="preserve">Janvier : Première de </t>
    </r>
    <r>
      <rPr>
        <i/>
        <sz val="10"/>
        <color rgb="FF000000"/>
        <rFont val="Arial"/>
        <family val="2"/>
      </rPr>
      <t>Lili Marleen</t>
    </r>
    <r>
      <rPr>
        <sz val="10"/>
        <color rgb="FF000000"/>
        <rFont val="Arial"/>
        <family val="2"/>
      </rPr>
      <t xml:space="preserve"> à Munich
Février : RWF joue le rôle titre dans </t>
    </r>
    <r>
      <rPr>
        <i/>
        <sz val="10"/>
        <color rgb="FF000000"/>
        <rFont val="Arial"/>
        <family val="2"/>
      </rPr>
      <t>Kamikaze</t>
    </r>
    <r>
      <rPr>
        <sz val="10"/>
        <color rgb="FF000000"/>
        <rFont val="Arial"/>
        <family val="2"/>
      </rPr>
      <t xml:space="preserve"> de Wolf Gremm.
Avril mai : tournage de </t>
    </r>
    <r>
      <rPr>
        <i/>
        <sz val="10"/>
        <color rgb="FF000000"/>
        <rFont val="Arial"/>
        <family val="2"/>
      </rPr>
      <t>Lola, une femme allemande</t>
    </r>
    <r>
      <rPr>
        <sz val="10"/>
        <color rgb="FF000000"/>
        <rFont val="Arial"/>
        <family val="2"/>
      </rPr>
      <t xml:space="preserve"> à Munich (30 jours)
Août  : Première de </t>
    </r>
    <r>
      <rPr>
        <i/>
        <sz val="10"/>
        <color rgb="FF000000"/>
        <rFont val="Arial"/>
        <family val="2"/>
      </rPr>
      <t xml:space="preserve">Lola, une femme allemande
Novembre - décembre : Tournage du </t>
    </r>
    <r>
      <rPr>
        <sz val="10"/>
        <color rgb="FF000000"/>
        <rFont val="Arial"/>
        <family val="2"/>
      </rPr>
      <t>Secret de Veronika Vöss</t>
    </r>
    <r>
      <rPr>
        <i/>
        <sz val="10"/>
        <color rgb="FF000000"/>
        <rFont val="Arial"/>
        <family val="2"/>
      </rPr>
      <t xml:space="preserve"> à Munich (24 jours)</t>
    </r>
    <r>
      <rPr>
        <sz val="10"/>
        <color rgb="FF000000"/>
        <rFont val="Arial"/>
        <family val="2"/>
      </rPr>
      <t xml:space="preserve">
Hanna Schygulla doit interpréter</t>
    </r>
    <r>
      <rPr>
        <i/>
        <sz val="10"/>
        <color rgb="FF000000"/>
        <rFont val="Arial"/>
        <family val="2"/>
      </rPr>
      <t xml:space="preserve"> Lola une femme allemande</t>
    </r>
    <r>
      <rPr>
        <sz val="10"/>
        <color rgb="FF000000"/>
        <rFont val="Arial"/>
        <family val="2"/>
      </rPr>
      <t xml:space="preserve">, mais Fassbinder lui retire le rôle furieux que l'actrice ait déclaré qu'elle s'était elle-même distribuée dans le film.
Il écrit une adapation du roman </t>
    </r>
    <r>
      <rPr>
        <i/>
        <sz val="10"/>
        <color rgb="FF000000"/>
        <rFont val="Arial"/>
        <family val="2"/>
      </rPr>
      <t xml:space="preserve">Cocaïne de Pitigrilli et </t>
    </r>
    <r>
      <rPr>
        <sz val="10"/>
        <color rgb="FF000000"/>
        <rFont val="Arial"/>
        <family val="2"/>
      </rPr>
      <t xml:space="preserve">réalise trois films, dont un documentaire sur le festival de théâtre de Cologne. Le démantèlement d'un réseau de drogue, auquel est mêlé le nom de RWF, suspend tout projet autour de </t>
    </r>
    <r>
      <rPr>
        <i/>
        <sz val="10"/>
        <color rgb="FF000000"/>
        <rFont val="Arial"/>
        <family val="2"/>
      </rPr>
      <t>Cocaïne.</t>
    </r>
  </si>
  <si>
    <r>
      <rPr>
        <i/>
        <sz val="10"/>
        <color rgb="FF000000"/>
        <rFont val="Arial"/>
        <family val="2"/>
      </rPr>
      <t>Lili Marleen</t>
    </r>
    <r>
      <rPr>
        <sz val="10"/>
        <color rgb="FF000000"/>
        <rFont val="Arial"/>
        <family val="2"/>
      </rPr>
      <t xml:space="preserve">
Suite de la Trilogie de la RFA :   </t>
    </r>
    <r>
      <rPr>
        <i/>
        <sz val="10"/>
        <color rgb="FF000000"/>
        <rFont val="Arial"/>
        <family val="2"/>
      </rPr>
      <t>Lola, une femme allemande</t>
    </r>
    <r>
      <rPr>
        <sz val="10"/>
        <color rgb="FF000000"/>
        <rFont val="Arial"/>
        <family val="2"/>
      </rPr>
      <t xml:space="preserve"> 
</t>
    </r>
    <r>
      <rPr>
        <i/>
        <sz val="10"/>
        <color rgb="FF000000"/>
        <rFont val="Arial"/>
        <family val="2"/>
      </rPr>
      <t>Théâtre en transe</t>
    </r>
    <r>
      <rPr>
        <sz val="10"/>
        <color rgb="FF000000"/>
        <rFont val="Arial"/>
        <family val="2"/>
      </rPr>
      <t>, documentaire</t>
    </r>
  </si>
  <si>
    <t>Lola, une femme allemande est d'abord conçu comme un remake de L'ange bleu de Josef von Sternberg (1930).
"je ferai des films jusqu'à ce que j'ai conduit mon histoire de la RFA jusqu'à ici et aujourd'hui. Les histoires de Lola et Maria Braun ne sont possibles que dans l'époque où elles se déroulent. Et elles s'intègrent, je l'espère, dans un portrait d'ensemble de la République fédérale, elles aident à comprendre cette étrange entité, avec ses dangers et ses menaces. En ce sens, ce sont des films très politiques". in Rainer Werner Fassbinder, Dichter, Schauspieler, Filmemacher, Argon, 1992, p.77
Lili Marleen (…) est ma première tentative de faire un film sur le IIIe Reich. Et je ferai certainement encore plusieurs films sur le IIIe Reich. (...) Il en résultera peut-être pour finir un tableau d'ensemble de la bourgeoisie depuis 1848" Rainer Werner Fassbinder. Dichter, Schauspieler, Filmemacher, 1992, p.178</t>
  </si>
  <si>
    <r>
      <rPr>
        <i/>
        <sz val="10"/>
        <rFont val="Arial"/>
        <family val="2"/>
      </rPr>
      <t>Lola</t>
    </r>
    <r>
      <rPr>
        <sz val="10"/>
        <rFont val="Arial"/>
        <family val="2"/>
      </rPr>
      <t xml:space="preserve"> est "un des films les plus intelligents, les plus pénétrants, mais aussi les plus grinçants sur la période d'après-guerre", Thomas Elsaesser, </t>
    </r>
    <r>
      <rPr>
        <i/>
        <sz val="10"/>
        <rFont val="Arial"/>
        <family val="2"/>
      </rPr>
      <t>RWF un cinéaste d'Allemagne</t>
    </r>
    <r>
      <rPr>
        <sz val="10"/>
        <rFont val="Arial"/>
        <family val="2"/>
      </rPr>
      <t xml:space="preserve">, p. 1965
</t>
    </r>
  </si>
  <si>
    <t>Victoire de la CDU en octobre : Helmut Kohl devient chancelier. Fin d'une époque artistique et politique radicale.
L’arrivée d’Helmut Kohl à la chancellerie ouvre une longue période de gouvernement chrétien-démocrate. Il maintient l’Ostpolitik tout en réaffirmant l’objectif de réunification inscrit dans la Loi fondamentale et en approfondissant la coopération franco-allemande.</t>
  </si>
  <si>
    <t>RWF parvient à évincer Werner Schroeter qui souhaitait réaliser une adaptation de Querelle de Jean Genet.  Mort de Fassbinder marquant symboliquement la fin du Nouveau Cinéma Allemand.</t>
  </si>
  <si>
    <r>
      <rPr>
        <i/>
        <sz val="10"/>
        <color rgb="FF000000"/>
        <rFont val="Arial"/>
        <family val="2"/>
      </rPr>
      <t>Février : Le secret de Veronika</t>
    </r>
    <r>
      <rPr>
        <sz val="10"/>
        <color rgb="FF000000"/>
        <rFont val="Arial"/>
        <family val="2"/>
      </rPr>
      <t xml:space="preserve"> Voss remporte l'Ours d'or à Berlin. 
Mars : RWF tourne </t>
    </r>
    <r>
      <rPr>
        <i/>
        <sz val="10"/>
        <color rgb="FF000000"/>
        <rFont val="Arial"/>
        <family val="2"/>
      </rPr>
      <t>Querelle</t>
    </r>
    <r>
      <rPr>
        <sz val="10"/>
        <color rgb="FF000000"/>
        <rFont val="Arial"/>
        <family val="2"/>
      </rPr>
      <t xml:space="preserve">. Apprenant la mort d'El Hedi Ben Salem, il réagit par le silence avant de dédicacer son ultime film, Querelle, à sa mémoire
Mai : RWF participe au festival de Cannes où il dépense pour 20000  Marks de cocaïne. Il apparaît dans </t>
    </r>
    <r>
      <rPr>
        <i/>
        <sz val="10"/>
        <color rgb="FF000000"/>
        <rFont val="Arial"/>
        <family val="2"/>
      </rPr>
      <t>666</t>
    </r>
    <r>
      <rPr>
        <sz val="10"/>
        <color rgb="FF000000"/>
        <rFont val="Arial"/>
        <family val="2"/>
      </rPr>
      <t xml:space="preserve"> de Wenders. 
10 juin : Décès de Fassbinder  à Munich, à l'âge de 37 ans (épuisement et overdose).</t>
    </r>
  </si>
  <si>
    <r>
      <rPr>
        <i/>
        <sz val="10"/>
        <color rgb="FF000000"/>
        <rFont val="Arial"/>
        <family val="2"/>
      </rPr>
      <t xml:space="preserve">Le secret de Veronika Voss, </t>
    </r>
    <r>
      <rPr>
        <sz val="10"/>
        <color rgb="FF000000"/>
        <rFont val="Arial"/>
        <family val="2"/>
      </rPr>
      <t>ours d'or à Berlin</t>
    </r>
    <r>
      <rPr>
        <i/>
        <sz val="10"/>
        <color rgb="FF000000"/>
        <rFont val="Arial"/>
        <family val="2"/>
      </rPr>
      <t xml:space="preserve">
Querelle
RWF laisse un héritage de plus de 40 films.</t>
    </r>
  </si>
  <si>
    <t>« Avec les femmes qu’est-ce qu’on pourrait bien faire d’autre que des films ? » Rainer Werner Fassbinder cité par Rosel Zech,interview et portrait, Libération, 1er juillet 1982, p.5</t>
  </si>
  <si>
    <t>Kohl.jpg</t>
  </si>
  <si>
    <t>Le Chancelier Helmut Kohl (CDU)</t>
  </si>
  <si>
    <t>Catégorie</t>
  </si>
  <si>
    <t>Référence bibliographique</t>
  </si>
  <si>
    <t>Usage dans la frise</t>
  </si>
  <si>
    <t>Lien</t>
  </si>
  <si>
    <t>Histoire allemande</t>
  </si>
  <si>
    <r>
      <rPr>
        <i/>
        <sz val="10"/>
        <color rgb="FF000000"/>
        <rFont val="Arial"/>
        <family val="2"/>
      </rPr>
      <t>R. W. Fassbinder, cinéaste d’Allemagne</t>
    </r>
    <r>
      <rPr>
        <sz val="10"/>
        <color rgb="FF000000"/>
        <rFont val="Arial"/>
        <family val="2"/>
      </rPr>
      <t>, de Thomas Elsaesser, Centre Pompidou, 2005</t>
    </r>
    <r>
      <rPr>
        <i/>
        <sz val="10"/>
        <color rgb="FF000000"/>
        <rFont val="Arial"/>
        <family val="2"/>
      </rPr>
      <t>, pp. 490-507</t>
    </r>
  </si>
  <si>
    <t>Repères historiques, chronologie politique</t>
  </si>
  <si>
    <t>Fassbinder</t>
  </si>
  <si>
    <r>
      <rPr>
        <i/>
        <sz val="10"/>
        <color rgb="FF000000"/>
        <rFont val="Arial"/>
        <family val="2"/>
      </rPr>
      <t>R. W. Fassbinder, cinéaste d’Allemagne</t>
    </r>
    <r>
      <rPr>
        <sz val="10"/>
        <color rgb="FF000000"/>
        <rFont val="Arial"/>
        <family val="2"/>
      </rPr>
      <t>, de Thomas Elsaesser, Centre Pompidou, 2005</t>
    </r>
  </si>
  <si>
    <t>Biographie et filmographie</t>
  </si>
  <si>
    <t>URL éventuelle</t>
  </si>
  <si>
    <t>Cinéma allemand</t>
  </si>
  <si>
    <t>Référence complète</t>
  </si>
  <si>
    <t>Contexte culturel et esthétique</t>
  </si>
  <si>
    <t>Archives et sites</t>
  </si>
  <si>
    <t>Nom du site ou de l’institution</t>
  </si>
  <si>
    <t>Documents et vérifications</t>
  </si>
  <si>
    <t>URL</t>
  </si>
  <si>
    <t>Titre canonique</t>
  </si>
  <si>
    <t>ID canonique</t>
  </si>
  <si>
    <t>L’Amour est plus froid que la mort</t>
  </si>
  <si>
    <t>film-1969-l-amour-est-plus-froid-que-la-mort</t>
  </si>
  <si>
    <t>Le Bouc</t>
  </si>
  <si>
    <t>film-1969-le-bouc</t>
  </si>
  <si>
    <t>Les Dieux de la peste</t>
  </si>
  <si>
    <t>film-1970-les-dieux-de-la-peste</t>
  </si>
  <si>
    <t>Pourquoi M. R. est-il atteint de folie meurtrière ?</t>
  </si>
  <si>
    <t>film-1970-pourquoi-m-r-est-il-atteint-de-folie-meurtriere</t>
  </si>
  <si>
    <t>Le Soldat américain</t>
  </si>
  <si>
    <t>film-1970-le-soldat-americain</t>
  </si>
  <si>
    <t>Le Voyage à Niklashausen</t>
  </si>
  <si>
    <t>film-1970-le-voyage-a-niklashausen</t>
  </si>
  <si>
    <t>Whity</t>
  </si>
  <si>
    <t>film-1971-whity</t>
  </si>
  <si>
    <t>Prenez garde à la sainte putain</t>
  </si>
  <si>
    <t>film-1971-prenez-garde-a-la-sainte-putain</t>
  </si>
  <si>
    <t>Pionniers à Ingolstadt</t>
  </si>
  <si>
    <t>film-1971-pionniers-a-ingolstadt</t>
  </si>
  <si>
    <t>Le Marchand des quatre saisons</t>
  </si>
  <si>
    <t>film-1972-le-marchand-des-quatre-saisons</t>
  </si>
  <si>
    <t>Les Larmes amères de Petra von Kant</t>
  </si>
  <si>
    <t>film-1972-les-larmes-ameres-de-petra-von-kant</t>
  </si>
  <si>
    <t>Liberté à Brême</t>
  </si>
  <si>
    <t>film-1972-liberte-a-breme</t>
  </si>
  <si>
    <t>Huit heures ne font pas un jour</t>
  </si>
  <si>
    <t>film-1972-huit-heures-ne-font-pas-un-jour</t>
  </si>
  <si>
    <t>Gibier de passage</t>
  </si>
  <si>
    <t>film-1973-gibier-de-passage</t>
  </si>
  <si>
    <t>Le Monde sur un fil</t>
  </si>
  <si>
    <t>film-1973-le-monde-sur-un-fil</t>
  </si>
  <si>
    <t>Tous les autres s’appellent Ali</t>
  </si>
  <si>
    <t>film-1974-tous-les-autres-s-appellent-ali</t>
  </si>
  <si>
    <t>Effi Briest</t>
  </si>
  <si>
    <t>film-1974-effi-briest</t>
  </si>
  <si>
    <t>Nora Helmer</t>
  </si>
  <si>
    <t>film-1974-nora-helmer</t>
  </si>
  <si>
    <t>Martha</t>
  </si>
  <si>
    <t>film-1974-martha</t>
  </si>
  <si>
    <t>Le Droit du plus fort</t>
  </si>
  <si>
    <t>film-1975-le-droit-du-plus-fort</t>
  </si>
  <si>
    <t>Maman Küsters s’en va au ciel</t>
  </si>
  <si>
    <t>film-1975-maman-kusters-s-en-va-au-ciel</t>
  </si>
  <si>
    <t>Comme un oiseau sur le fil</t>
  </si>
  <si>
    <t>film-1975-comme-un-oiseau-sur-le-fil</t>
  </si>
  <si>
    <t>Peur de la peur</t>
  </si>
  <si>
    <t>film-1975-peur-de-la-peur</t>
  </si>
  <si>
    <t>L’Ombre des anges</t>
  </si>
  <si>
    <t>film-1976-l-ombre-des-anges</t>
  </si>
  <si>
    <t>Le Rôti de Satan</t>
  </si>
  <si>
    <t>film-1976-le-roti-de-satan</t>
  </si>
  <si>
    <t>Roulette chinoise</t>
  </si>
  <si>
    <t>film-1976-roulette-chinoise</t>
  </si>
  <si>
    <t>Je veux seulement que vous m’aimiez</t>
  </si>
  <si>
    <t>film-1976-je-veux-seulement-que-vous-m-aimiez</t>
  </si>
  <si>
    <t>Femmes à New York</t>
  </si>
  <si>
    <t>film-1977-femmes-a-new-york</t>
  </si>
  <si>
    <t>La Femme du chef de gare</t>
  </si>
  <si>
    <t>film-1977-la-femme-du-chef-de-gare</t>
  </si>
  <si>
    <t>L’Allemagne en automne</t>
  </si>
  <si>
    <t>film-1978-l-allemagne-en-automne</t>
  </si>
  <si>
    <t>Despair</t>
  </si>
  <si>
    <t>film-1978-despair</t>
  </si>
  <si>
    <t>L’Année des treize lunes</t>
  </si>
  <si>
    <t>film-1978-l-annee-des-treize-lunes</t>
  </si>
  <si>
    <t>Le Mariage de Maria Braun</t>
  </si>
  <si>
    <t>film-1978-le-mariage-de-maria-braun</t>
  </si>
  <si>
    <t>La Troisième génération</t>
  </si>
  <si>
    <t>film-1979-la-troisieme-generation</t>
  </si>
  <si>
    <t>Berlin Alexanderplatz</t>
  </si>
  <si>
    <t>film-1980-berlin-alexanderplatz</t>
  </si>
  <si>
    <t>Lili Marleen</t>
  </si>
  <si>
    <t>film-1981-lili-marleen</t>
  </si>
  <si>
    <t>Théâtre en transe</t>
  </si>
  <si>
    <t>film-1981-theatre-en-transe</t>
  </si>
  <si>
    <t>Lola, une femme allemande</t>
  </si>
  <si>
    <t>film-1981-lola-une-femme-allemande</t>
  </si>
  <si>
    <t>Le Secret de Veronika Voss</t>
  </si>
  <si>
    <t>film-1981-le-secret-de-veronika-voss</t>
  </si>
  <si>
    <t>Querelle</t>
  </si>
  <si>
    <t>film-1982-querelle</t>
  </si>
  <si>
    <t>RWF_Frise — IDs automatiques</t>
  </si>
  <si>
    <t>Principe</t>
  </si>
  <si>
    <t>Les colonnes IDs films — Œuvres sont calculées à partir des titres canoniques présents dans Œuvres.</t>
  </si>
  <si>
    <t>Saisie</t>
  </si>
  <si>
    <t>Employer les titres français canoniques du référentiel. Plusieurs titres peuvent figurer dans la même cellule.</t>
  </si>
  <si>
    <t>Absence d’ID</t>
  </si>
  <si>
    <t>Une œuvre absente du référentiel Films reste sans ID : aucun identifiant n’est inventé.</t>
  </si>
  <si>
    <t>Mise à jour</t>
  </si>
  <si>
    <t>Lorsqu’une nouvelle fiche Film est créée, ajouter son titre et son ID dans Référentiel films.</t>
  </si>
  <si>
    <t xml:space="preserve">Henri Langlois aurait déclaré, lors de la présentation des premiers films de RWF à la Cinémathèque françase : "Avec Fassbinder le cinéma allemand de l'après guerre est né". </t>
  </si>
  <si>
    <r>
      <rPr>
        <sz val="10"/>
        <color rgb="FF000000"/>
        <rFont val="Arial"/>
        <family val="2"/>
      </rPr>
      <t xml:space="preserve">Janvier: à Bochum, mise en scène de Fassbinder de </t>
    </r>
    <r>
      <rPr>
        <i/>
        <sz val="10"/>
        <color rgb="FF000000"/>
        <rFont val="Arial"/>
        <family val="2"/>
      </rPr>
      <t>Bibi</t>
    </r>
    <r>
      <rPr>
        <sz val="10"/>
        <color rgb="FF000000"/>
        <rFont val="Arial"/>
        <family val="2"/>
      </rPr>
      <t xml:space="preserve"> de Heinrich Mann. Diffusion de </t>
    </r>
    <r>
      <rPr>
        <i/>
        <sz val="10"/>
        <color rgb="FF000000"/>
        <rFont val="Arial"/>
        <family val="2"/>
      </rPr>
      <t>Gibier de passage</t>
    </r>
    <r>
      <rPr>
        <sz val="10"/>
        <color rgb="FF000000"/>
        <rFont val="Arial"/>
        <family val="2"/>
      </rPr>
      <t xml:space="preserve"> à la télévision.
Janvier-mars : Tournage du </t>
    </r>
    <r>
      <rPr>
        <i/>
        <sz val="10"/>
        <color rgb="FF000000"/>
        <rFont val="Arial"/>
        <family val="2"/>
      </rPr>
      <t>Monde sur un fil</t>
    </r>
    <r>
      <rPr>
        <sz val="10"/>
        <color rgb="FF000000"/>
        <rFont val="Arial"/>
        <family val="2"/>
      </rPr>
      <t xml:space="preserve"> à Cologne, Munich, Paris (44 jours)
Mai-juillet : Tournage de </t>
    </r>
    <r>
      <rPr>
        <i/>
        <sz val="10"/>
        <color rgb="FF000000"/>
        <rFont val="Arial"/>
        <family val="2"/>
      </rPr>
      <t xml:space="preserve">Nora Helmer </t>
    </r>
    <r>
      <rPr>
        <sz val="10"/>
        <color rgb="FF000000"/>
        <rFont val="Arial"/>
        <family val="2"/>
      </rPr>
      <t xml:space="preserve">à Saarbrück (21 jours)
Juillet-septembre : tournage de </t>
    </r>
    <r>
      <rPr>
        <i/>
        <sz val="10"/>
        <color rgb="FF000000"/>
        <rFont val="Arial"/>
        <family val="2"/>
      </rPr>
      <t xml:space="preserve">Martha à Constance, Ottobeuren, Kreuzlingen, Rome (25 jours) - avec Margit Carstensen Martha.
</t>
    </r>
    <r>
      <rPr>
        <sz val="10"/>
        <color rgb="FF000000"/>
        <rFont val="Arial"/>
        <family val="2"/>
      </rPr>
      <t>Septembre : Tournage de</t>
    </r>
    <r>
      <rPr>
        <i/>
        <sz val="10"/>
        <color rgb="FF000000"/>
        <rFont val="Arial"/>
        <family val="2"/>
      </rPr>
      <t xml:space="preserve"> Tous les autres s'appellent Ali </t>
    </r>
    <r>
      <rPr>
        <sz val="10"/>
        <color rgb="FF000000"/>
        <rFont val="Arial"/>
        <family val="2"/>
      </rPr>
      <t xml:space="preserve">(15 jours - 18 jours selon RWF dans L'anarchie de l'imagination p.31)
Octobre : Diffusion du </t>
    </r>
    <r>
      <rPr>
        <i/>
        <sz val="10"/>
        <color rgb="FF000000"/>
        <rFont val="Arial"/>
        <family val="2"/>
      </rPr>
      <t>Monde sur un fil</t>
    </r>
    <r>
      <rPr>
        <sz val="10"/>
        <color rgb="FF000000"/>
        <rFont val="Arial"/>
        <family val="2"/>
      </rPr>
      <t xml:space="preserve"> à la télévision. 
Décembre: Fassbinder met en scène </t>
    </r>
    <r>
      <rPr>
        <i/>
        <sz val="10"/>
        <color rgb="FF000000"/>
        <rFont val="Arial"/>
        <family val="2"/>
      </rPr>
      <t>Hedda Gabler</t>
    </r>
    <r>
      <rPr>
        <sz val="10"/>
        <color rgb="FF000000"/>
        <rFont val="Arial"/>
        <family val="2"/>
      </rPr>
      <t xml:space="preserve"> de Henrik Ibsen au Freie Volksbühne, à Berlin.
Séparation d'El Hedi Ben Salem. Le tournage de </t>
    </r>
    <r>
      <rPr>
        <i/>
        <sz val="10"/>
        <color rgb="FF000000"/>
        <rFont val="Arial"/>
        <family val="2"/>
      </rPr>
      <t xml:space="preserve">Tous les autres s'appellent Ali </t>
    </r>
    <r>
      <rPr>
        <sz val="10"/>
        <color rgb="FF000000"/>
        <rFont val="Arial"/>
        <family val="2"/>
      </rPr>
      <t xml:space="preserve">aura été une sorte de cadeau d'adieu. Ben Salem, pris de rage meurtrière sous l'effet de l'alcool, poignarde grièvement rois inconnus dans la rue. Il fuit l'Allemagne.Rainer refuse de l'aider. 
</t>
    </r>
  </si>
  <si>
    <r>
      <t xml:space="preserve">RWF publie un essai sur Douglas Sirk  intitulé "Mirage de la vie, sur les films de Douglas Sirk", repris dans </t>
    </r>
    <r>
      <rPr>
        <i/>
        <sz val="10"/>
        <color theme="1"/>
        <rFont val="Arial"/>
        <family val="2"/>
      </rPr>
      <t>Les films libèrent la tête</t>
    </r>
    <r>
      <rPr>
        <sz val="10"/>
        <color theme="1"/>
        <rFont val="Arial"/>
        <family val="2"/>
      </rPr>
      <t xml:space="preserve">. 
Janvier : tounage des Larmes amères de Petra von Kant à Munich (10 jours)
Mars : diffusion du </t>
    </r>
    <r>
      <rPr>
        <i/>
        <sz val="10"/>
        <color theme="1"/>
        <rFont val="Arial"/>
        <family val="2"/>
      </rPr>
      <t>Marchand de quatre saisons</t>
    </r>
    <r>
      <rPr>
        <sz val="10"/>
        <color theme="1"/>
        <rFont val="Arial"/>
        <family val="2"/>
      </rPr>
      <t xml:space="preserve"> à la télévision. Tournage de </t>
    </r>
    <r>
      <rPr>
        <i/>
        <sz val="10"/>
        <color theme="1"/>
        <rFont val="Arial"/>
        <family val="2"/>
      </rPr>
      <t>Gibier de passage</t>
    </r>
    <r>
      <rPr>
        <sz val="10"/>
        <color theme="1"/>
        <rFont val="Arial"/>
        <family val="2"/>
      </rPr>
      <t xml:space="preserve"> autour de Straubing (14 jours)
Avril-Août : tournage de 4 épisodes de la série Huit heures ne font pas un jour dans une usine de Cologne (105 jours)
Mai : réalisation de la pièce radiophonique </t>
    </r>
    <r>
      <rPr>
        <i/>
        <sz val="10"/>
        <color theme="1"/>
        <rFont val="Arial"/>
        <family val="2"/>
      </rPr>
      <t xml:space="preserve">Keiner ist böse und keiner ist gut </t>
    </r>
    <r>
      <rPr>
        <sz val="10"/>
        <color theme="1"/>
        <rFont val="Arial"/>
        <family val="2"/>
      </rPr>
      <t xml:space="preserve">pour la Bayerischer Rundfunk.Diffusion de </t>
    </r>
    <r>
      <rPr>
        <i/>
        <sz val="10"/>
        <color theme="1"/>
        <rFont val="Arial"/>
        <family val="2"/>
      </rPr>
      <t>Prenez garde à la sainte putain</t>
    </r>
    <r>
      <rPr>
        <sz val="10"/>
        <color theme="1"/>
        <rFont val="Arial"/>
        <family val="2"/>
      </rPr>
      <t xml:space="preserve"> à la télévision. 
Juin : première des </t>
    </r>
    <r>
      <rPr>
        <i/>
        <sz val="10"/>
        <color theme="1"/>
        <rFont val="Arial"/>
        <family val="2"/>
      </rPr>
      <t>Larmes amères de Petra von Kan</t>
    </r>
    <r>
      <rPr>
        <sz val="10"/>
        <color theme="1"/>
        <rFont val="Arial"/>
        <family val="2"/>
      </rPr>
      <t xml:space="preserve">t au festival de Berlin
Septembre : tournage de </t>
    </r>
    <r>
      <rPr>
        <i/>
        <sz val="10"/>
        <color theme="1"/>
        <rFont val="Arial"/>
        <family val="2"/>
      </rPr>
      <t>Liberté à Brême</t>
    </r>
    <r>
      <rPr>
        <sz val="10"/>
        <color theme="1"/>
        <rFont val="Arial"/>
        <family val="2"/>
      </rPr>
      <t xml:space="preserve"> (9 jours)
Septembre-octobre : première partie du tournage de Effi Briest
Octobre : diffision de la première partie de Huit heures ne font pas un jour à la télévision.
Décembre: à Bochum, mise en scène de Liliom de Ferenc Molnar, par Fassbinder.  Difussion de Liberté à Brême à la télévision.
Il tourne deux films avec Margit Carstensen (Les larmes amères de Petra von Kant et Liberté à Brême).
RWF fait venir deux des 5 enfants de'El Hedi à Munich. C'est une catastrophe. El Hedi est pris de fureur quand il abuse de l'alcool. Les enfants sont plus ou moins livrés à eux-mêmes.
Divorce avec Ingrid Caven qui s'installe à Paris. 
Rupture de 5 ans avec Hanna Schygulla après le tournage d'Effi Briest : cette dernière a protesté contre la faiblesse des cachets. </t>
    </r>
  </si>
  <si>
    <r>
      <rPr>
        <sz val="10"/>
        <color rgb="FF000000"/>
        <rFont val="Arial"/>
        <family val="2"/>
      </rPr>
      <t xml:space="preserve">RWF devient actionnaire du Filmverlag der Autoren (6,5% des parts) pour renflouer la société.
Scandale autour de </t>
    </r>
    <r>
      <rPr>
        <i/>
        <sz val="10"/>
        <color rgb="FF000000"/>
        <rFont val="Arial"/>
        <family val="2"/>
      </rPr>
      <t xml:space="preserve">Les ordures, la vie et la mort avant même la première de la pièce. </t>
    </r>
    <r>
      <rPr>
        <sz val="10"/>
        <color rgb="FF000000"/>
        <rFont val="Arial"/>
        <family val="2"/>
      </rPr>
      <t xml:space="preserve">La pièce, qui traite de corruption et de spéculation immobilière, a pour protagoniste un homme juif, désigné comme "le juif riche". Son ton satirique vise surtout l'administration municipale de la ville. Suite à la circulation de quelques copies du texte et de la publication d'un communiqué de presse, RWF est accusé d'antisémitisme, notamment par Joachim C. Fest dont le livre </t>
    </r>
    <r>
      <rPr>
        <i/>
        <sz val="10"/>
        <color rgb="FF000000"/>
        <rFont val="Arial"/>
        <family val="2"/>
      </rPr>
      <t>Hitler une carrière</t>
    </r>
    <r>
      <rPr>
        <sz val="10"/>
        <color rgb="FF000000"/>
        <rFont val="Arial"/>
        <family val="2"/>
      </rPr>
      <t xml:space="preserve"> avait contribué à mettre à jour l'existence d'une "vague Hitler" nostalgique au sein de la population, qu'il associait notamment à une gauche "rouge" affiliée au fascisme de Moscou. La pièce est abandonnée et RWF interdit qu'on la représente de son vivant en Allemagne. RWF joue dans</t>
    </r>
    <r>
      <rPr>
        <i/>
        <sz val="10"/>
        <color rgb="FF000000"/>
        <rFont val="Arial"/>
        <family val="2"/>
      </rPr>
      <t xml:space="preserve"> </t>
    </r>
    <r>
      <rPr>
        <sz val="10"/>
        <color rgb="FF000000"/>
        <rFont val="Arial"/>
        <family val="2"/>
      </rPr>
      <t xml:space="preserve"> L'ombre des anges</t>
    </r>
    <r>
      <rPr>
        <i/>
        <sz val="10"/>
        <color rgb="FF000000"/>
        <rFont val="Arial"/>
        <family val="2"/>
      </rPr>
      <t>,</t>
    </r>
    <r>
      <rPr>
        <sz val="10"/>
        <color rgb="FF000000"/>
        <rFont val="Arial"/>
        <family val="2"/>
      </rPr>
      <t xml:space="preserve"> l'adaptation de sa propre pièce, Les ordures la ville et la mort, mise en scène au cinéma par D. Schmid, et en partie financée par Fassbinder et produit par la société Albatros films de Fengler</t>
    </r>
    <r>
      <rPr>
        <i/>
        <sz val="10"/>
        <color rgb="FF000000"/>
        <rFont val="Arial"/>
        <family val="2"/>
      </rPr>
      <t xml:space="preserve">. </t>
    </r>
    <r>
      <rPr>
        <sz val="10"/>
        <color rgb="FF000000"/>
        <rFont val="Arial"/>
        <family val="2"/>
      </rPr>
      <t>C'est tout l'entourage de Fassbinder qui se joint au film, notamment Ingrid Caven</t>
    </r>
    <r>
      <rPr>
        <i/>
        <sz val="10"/>
        <color rgb="FF000000"/>
        <rFont val="Arial"/>
        <family val="2"/>
      </rPr>
      <t>. Le film est interdit en Allemagne.</t>
    </r>
    <r>
      <rPr>
        <sz val="10"/>
        <color rgb="FF000000"/>
        <rFont val="Arial"/>
        <family val="2"/>
      </rPr>
      <t xml:space="preserve">
Janvier : Première de </t>
    </r>
    <r>
      <rPr>
        <i/>
        <sz val="10"/>
        <color rgb="FF000000"/>
        <rFont val="Arial"/>
        <family val="2"/>
      </rPr>
      <t>Maman Küsters s'en va au ciel</t>
    </r>
    <r>
      <rPr>
        <sz val="10"/>
        <color rgb="FF000000"/>
        <rFont val="Arial"/>
        <family val="2"/>
      </rPr>
      <t xml:space="preserve"> à Berlin
Janvier - février : Deuxième partie du tournage du </t>
    </r>
    <r>
      <rPr>
        <i/>
        <sz val="10"/>
        <color rgb="FF000000"/>
        <rFont val="Arial"/>
        <family val="2"/>
      </rPr>
      <t xml:space="preserve">Rôti de Satan </t>
    </r>
    <r>
      <rPr>
        <sz val="10"/>
        <color rgb="FF000000"/>
        <rFont val="Arial"/>
        <family val="2"/>
      </rPr>
      <t xml:space="preserve">à Munich (15 jours)
Mars : diffusion de </t>
    </r>
    <r>
      <rPr>
        <i/>
        <sz val="10"/>
        <color rgb="FF000000"/>
        <rFont val="Arial"/>
        <family val="2"/>
      </rPr>
      <t>Je veux seulement que vous m'aimiez</t>
    </r>
    <r>
      <rPr>
        <sz val="10"/>
        <color rgb="FF000000"/>
        <rFont val="Arial"/>
        <family val="2"/>
      </rPr>
      <t xml:space="preserve"> à la télévision. 
Avril - juin : tournage de </t>
    </r>
    <r>
      <rPr>
        <i/>
        <sz val="10"/>
        <color rgb="FF000000"/>
        <rFont val="Arial"/>
        <family val="2"/>
      </rPr>
      <t>Roulette chinoise</t>
    </r>
    <r>
      <rPr>
        <sz val="10"/>
        <color rgb="FF000000"/>
        <rFont val="Arial"/>
        <family val="2"/>
      </rPr>
      <t xml:space="preserve"> autour du château de Stöckach et à l'aéroport de Munich (36 jours)
Octobre : Première du </t>
    </r>
    <r>
      <rPr>
        <i/>
        <sz val="10"/>
        <color rgb="FF000000"/>
        <rFont val="Arial"/>
        <family val="2"/>
      </rPr>
      <t>Rôti de Satan</t>
    </r>
    <r>
      <rPr>
        <sz val="10"/>
        <color rgb="FF000000"/>
        <rFont val="Arial"/>
        <family val="2"/>
      </rPr>
      <t xml:space="preserve"> à Mannheim
Octobre - décembre : Tournage de </t>
    </r>
    <r>
      <rPr>
        <i/>
        <sz val="10"/>
        <color rgb="FF000000"/>
        <rFont val="Arial"/>
        <family val="2"/>
      </rPr>
      <t>La femme du chef de gare</t>
    </r>
    <r>
      <rPr>
        <sz val="10"/>
        <color rgb="FF000000"/>
        <rFont val="Arial"/>
        <family val="2"/>
      </rPr>
      <t xml:space="preserve"> dans divers sites, dont Bayreuth, Hof, Munich (40 jours)
Novembre : Première de </t>
    </r>
    <r>
      <rPr>
        <i/>
        <sz val="10"/>
        <color rgb="FF000000"/>
        <rFont val="Arial"/>
        <family val="2"/>
      </rPr>
      <t>Roulette chinoise</t>
    </r>
    <r>
      <rPr>
        <sz val="10"/>
        <color rgb="FF000000"/>
        <rFont val="Arial"/>
        <family val="2"/>
      </rPr>
      <t xml:space="preserve">  au festival de Paris
Septembre: au Schauspielhaus de Hambourg, mise scène par Fassbinder de</t>
    </r>
    <r>
      <rPr>
        <i/>
        <sz val="10"/>
        <color rgb="FF000000"/>
        <rFont val="Arial"/>
        <family val="2"/>
      </rPr>
      <t xml:space="preserve"> Femmes à New-York</t>
    </r>
    <r>
      <rPr>
        <sz val="10"/>
        <color rgb="FF000000"/>
        <rFont val="Arial"/>
        <family val="2"/>
      </rPr>
      <t xml:space="preserve"> de Clara Boothe.
RWF commence à s'adonner à la cocaïne et à l'héroïne sur le tournage de </t>
    </r>
    <r>
      <rPr>
        <i/>
        <sz val="10"/>
        <color rgb="FF000000"/>
        <rFont val="Arial"/>
        <family val="2"/>
      </rPr>
      <t>Roulette chinoise</t>
    </r>
    <r>
      <rPr>
        <sz val="10"/>
        <color rgb="FF000000"/>
        <rFont val="Arial"/>
        <family val="2"/>
      </rPr>
      <t>.
Kurt Raab joue dans</t>
    </r>
    <r>
      <rPr>
        <i/>
        <sz val="10"/>
        <color rgb="FF000000"/>
        <rFont val="Arial"/>
        <family val="2"/>
      </rPr>
      <t xml:space="preserve"> Roulette chinoise et La femme du chef de gare</t>
    </r>
    <r>
      <rPr>
        <sz val="10"/>
        <color rgb="FF000000"/>
        <rFont val="Arial"/>
        <family val="2"/>
      </rPr>
      <t xml:space="preserve">, sorte de cadeau d'adieu de RWF avant que ce dernier ne rompe définitivement avec lui.
</t>
    </r>
  </si>
  <si>
    <r>
      <t>Février: à Paris,</t>
    </r>
    <r>
      <rPr>
        <i/>
        <sz val="10"/>
        <color rgb="FF000000"/>
        <rFont val="Arial"/>
        <family val="2"/>
      </rPr>
      <t xml:space="preserve"> L'Ombre des anges</t>
    </r>
    <r>
      <rPr>
        <sz val="10"/>
        <color rgb="FF000000"/>
        <rFont val="Arial"/>
        <family val="2"/>
      </rPr>
      <t xml:space="preserve"> est retiré de l'affiche. 
La commission chargée de l'examen des projets au sein de l'Institut de promotion du cinéma (Filmförderungsanstalt) refuse de soutenir</t>
    </r>
    <r>
      <rPr>
        <i/>
        <sz val="10"/>
        <color rgb="FF000000"/>
        <rFont val="Arial"/>
        <family val="2"/>
      </rPr>
      <t xml:space="preserve"> La Terre est inhabitable
comme la lune, directement inspiré de la pièce </t>
    </r>
    <r>
      <rPr>
        <sz val="10"/>
        <color rgb="FF000000"/>
        <rFont val="Arial"/>
        <family val="2"/>
      </rPr>
      <t xml:space="preserve">Les ordures, la ville et la mort. La chaîne de télévision WDR rejette le projet d'un feuilleton à partir de </t>
    </r>
    <r>
      <rPr>
        <i/>
        <sz val="10"/>
        <color rgb="FF000000"/>
        <rFont val="Arial"/>
        <family val="2"/>
      </rPr>
      <t xml:space="preserve">Doit et avoir </t>
    </r>
    <r>
      <rPr>
        <sz val="10"/>
        <color rgb="FF000000"/>
        <rFont val="Arial"/>
        <family val="2"/>
      </rPr>
      <t xml:space="preserve">de
Gustav Freytag, roman notoirement antisémite. 
RWF quitte la société du Filmverlag der Autoren et vend ses parts.
Mars : tournage de </t>
    </r>
    <r>
      <rPr>
        <i/>
        <sz val="10"/>
        <color rgb="FF000000"/>
        <rFont val="Arial"/>
        <family val="2"/>
      </rPr>
      <t xml:space="preserve">Femmes à New York </t>
    </r>
    <r>
      <rPr>
        <sz val="10"/>
        <color rgb="FF000000"/>
        <rFont val="Arial"/>
        <family val="2"/>
      </rPr>
      <t xml:space="preserve">dans un théâtre de Hambourg (7 jours)
Avril - juin : Tournage de </t>
    </r>
    <r>
      <rPr>
        <i/>
        <sz val="10"/>
        <color rgb="FF000000"/>
        <rFont val="Arial"/>
        <family val="2"/>
      </rPr>
      <t xml:space="preserve">Despair </t>
    </r>
    <r>
      <rPr>
        <sz val="10"/>
        <color rgb="FF000000"/>
        <rFont val="Arial"/>
        <family val="2"/>
      </rPr>
      <t>à Munich, Interlaken, Berlin, Lübeck, Brunswick,Hamburg, Mölln  (41 jours)- coproduction internationale.</t>
    </r>
    <r>
      <rPr>
        <i/>
        <sz val="10"/>
        <color rgb="FF000000"/>
        <rFont val="Arial"/>
        <family val="2"/>
      </rPr>
      <t xml:space="preserve"> Début de la collaboration avec Juliane Lorenz, sa monteuse. 
Juin : Diffusion de Femmes à. New York</t>
    </r>
    <r>
      <rPr>
        <sz val="10"/>
        <color rgb="FF000000"/>
        <rFont val="Arial"/>
        <family val="2"/>
      </rPr>
      <t xml:space="preserve"> à la télévision.
Juillet : Diffusion de </t>
    </r>
    <r>
      <rPr>
        <i/>
        <sz val="10"/>
        <color rgb="FF000000"/>
        <rFont val="Arial"/>
        <family val="2"/>
      </rPr>
      <t>La femme du chef de gare</t>
    </r>
    <r>
      <rPr>
        <sz val="10"/>
        <color rgb="FF000000"/>
        <rFont val="Arial"/>
        <family val="2"/>
      </rPr>
      <t xml:space="preserve"> à la télévision. 
Octobre  : Tournage d'un épisode de </t>
    </r>
    <r>
      <rPr>
        <i/>
        <sz val="10"/>
        <color rgb="FF000000"/>
        <rFont val="Arial"/>
        <family val="2"/>
      </rPr>
      <t>L'allemagne en automne</t>
    </r>
    <r>
      <rPr>
        <sz val="10"/>
        <color rgb="FF000000"/>
        <rFont val="Arial"/>
        <family val="2"/>
      </rPr>
      <t xml:space="preserve">, dans son propre appartement à Munich (6 jours). Ce film collectif revient sur L'automne allemand. Le projet a été initié par Kluge.
</t>
    </r>
    <r>
      <rPr>
        <i/>
        <sz val="10"/>
        <color rgb="FF000000"/>
        <rFont val="Arial"/>
        <family val="2"/>
      </rPr>
      <t xml:space="preserve">RWFicte en trois mois le scénario  de son proje </t>
    </r>
    <r>
      <rPr>
        <sz val="10"/>
        <color rgb="FF000000"/>
        <rFont val="Arial"/>
        <family val="2"/>
      </rPr>
      <t xml:space="preserve">Berlin Alexanderplatz. Il se filme en train de le faire dans </t>
    </r>
    <r>
      <rPr>
        <i/>
        <sz val="10"/>
        <color rgb="FF000000"/>
        <rFont val="Arial"/>
        <family val="2"/>
      </rPr>
      <t>L'allemagne en automne</t>
    </r>
    <r>
      <rPr>
        <sz val="10"/>
        <color rgb="FF000000"/>
        <rFont val="Arial"/>
        <family val="2"/>
      </rPr>
      <t xml:space="preserve">.
RWF propose à Douglas Sirk qui vit désormais en Suisse de tourner un film avec lui. Ils collaborent sur </t>
    </r>
    <r>
      <rPr>
        <i/>
        <sz val="10"/>
        <color rgb="FF000000"/>
        <rFont val="Arial"/>
        <family val="2"/>
      </rPr>
      <t xml:space="preserve">Bourbon street blues </t>
    </r>
    <r>
      <rPr>
        <sz val="10"/>
        <color rgb="FF000000"/>
        <rFont val="Arial"/>
        <family val="2"/>
      </rPr>
      <t xml:space="preserve">dans lequel RWF joue le rôle d'un écrivain alcoolique.
Rupture affective complète avec Irm Hermann, enceinte. celle-ci renonce enfin à toute relation amoureuse avec RWF. cependant l'enfant d'Irm se nommera Franz.
El Hedi Ben Salem se suicide dans une prison française. </t>
    </r>
  </si>
  <si>
    <r>
      <rPr>
        <i/>
        <sz val="10"/>
        <color rgb="FF000000"/>
        <rFont val="Arial"/>
        <family val="2"/>
      </rPr>
      <t>Le tambour</t>
    </r>
    <r>
      <rPr>
        <sz val="10"/>
        <color rgb="FF000000"/>
        <rFont val="Arial"/>
        <family val="2"/>
      </rPr>
      <t xml:space="preserve"> de V. Schöndorff obtient la palme d'or à Cannes. 
La diffusion de la série américaine  </t>
    </r>
    <r>
      <rPr>
        <i/>
        <sz val="10"/>
        <color rgb="FF000000"/>
        <rFont val="Arial"/>
        <family val="2"/>
      </rPr>
      <t>Holocaust</t>
    </r>
    <r>
      <rPr>
        <sz val="10"/>
        <color rgb="FF000000"/>
        <rFont val="Arial"/>
        <family val="2"/>
      </rPr>
      <t xml:space="preserve"> de Marvin J. Chomsky (1978) touche le grand public qui découvre l'ampleur des crimes commis pendant la seconde guerre mondiale à l'égard de la population juive.  La série suit le parcours de deux familles , l'une  "aryenne", l'autre juive. La série déclenche de vifs débats en RFA : comment l'histoire du pays peut-elle toucher le grand public à travers une production américaine et non allemande ? Si la série ouvre les vannes de la mémoire, Certains lui reprochent son sentimentalisme de </t>
    </r>
    <r>
      <rPr>
        <i/>
        <sz val="10"/>
        <color rgb="FF000000"/>
        <rFont val="Arial"/>
        <family val="2"/>
      </rPr>
      <t>soap opera.</t>
    </r>
  </si>
  <si>
    <t>Holocaust, une série américaine,éveille les consciences|https://www.ina.fr/ina-eclaire-actu/video/s1313279_001/1979-une-serie-eveille-les-consciences-sur-la-shoah; https://open.spotify.com/episode/4LGfZHF8MPIofVbE9zCsTg?si=aAsMSn08TDegSMRKfqCcvA</t>
  </si>
  <si>
    <t xml:space="preserve">Histoire du mur de Berlin|https://youtu.be/UQcKMxpU2bQ?si=rzfmz4JDbYvFqZ-H; Portrait d'Alexander Kluge|https://www.dailymotion.com/video/xzf7zm; Le miracle économique allemand|https://www.rts.ch/archives/1969/video/le-miracle-economique-allemand-26955349.html </t>
  </si>
  <si>
    <r>
      <t xml:space="preserve">La préparation de </t>
    </r>
    <r>
      <rPr>
        <i/>
        <sz val="10"/>
        <color rgb="FF000000"/>
        <rFont val="Arial"/>
        <family val="2"/>
      </rPr>
      <t xml:space="preserve">Berlin Alexanderplatz se poursuit. Avant le tournage de septembre, RWF décide de tourner rapidement un film. Ce sera </t>
    </r>
    <r>
      <rPr>
        <sz val="10"/>
        <color rgb="FF000000"/>
        <rFont val="Arial"/>
        <family val="2"/>
      </rPr>
      <t xml:space="preserve">Le mariage de Maria Braun. 
Février :  tournage  du </t>
    </r>
    <r>
      <rPr>
        <i/>
        <sz val="10"/>
        <color rgb="FF000000"/>
        <rFont val="Arial"/>
        <family val="2"/>
      </rPr>
      <t>Mariage de Maria Braun</t>
    </r>
    <r>
      <rPr>
        <sz val="10"/>
        <color rgb="FF000000"/>
        <rFont val="Arial"/>
        <family val="2"/>
      </rPr>
      <t xml:space="preserve"> à Cobourg et Berlin (35 jours). Le tournage est compliqué : dépassement de budget, consommation explosive de cocaïne. Ceci explique peut-être la fin de la collaboration entre Ballhaus et RWF. Si Ballhaus claque la porte, c'est RWF qui met fin à oute relation avec Michael Fengler qu'il traite de "gangster" : celui-ci a dû céder une parti des droits sur les recettes futures lors du tournage en raison des dépassements de budget. Quand il le découvre, RWF s'estime floué.Fassbinder entre en grève contre sa propre production. Il finit par licencier une grande partie de l'équipe technique, interrompt le tournage à Coburg et déménage la production à Berlin pour achever le film de manière indépendante. Fengler sera engagé dans un logn conflit judiciaire d'abord avec RWF puis avec ses héritiers.
Mai 1978 : RWF quitte Armin Meier pendant un voyage à New York. Meier rentre seul à Munich tandis que RWF se rend à Cannes où est présenté</t>
    </r>
    <r>
      <rPr>
        <i/>
        <sz val="10"/>
        <color rgb="FF000000"/>
        <rFont val="Arial"/>
        <family val="2"/>
      </rPr>
      <t xml:space="preserve"> Despair</t>
    </r>
    <r>
      <rPr>
        <sz val="10"/>
        <color rgb="FF000000"/>
        <rFont val="Arial"/>
        <family val="2"/>
      </rPr>
      <t xml:space="preserve">. 
Juin : découverte du corps sans vie d'Armin Meier dans l'appartement de RWF, mort depuis plusieurs jours. Il s'est suicidé, probablement Le 31 mai 1978, jour d'anniversaire de RWF Scandale. RWF se jette dans le travail.
Juillet - août : tournage de </t>
    </r>
    <r>
      <rPr>
        <i/>
        <sz val="10"/>
        <color rgb="FF000000"/>
        <rFont val="Arial"/>
        <family val="2"/>
      </rPr>
      <t xml:space="preserve">L'année des treize lunes </t>
    </r>
    <r>
      <rPr>
        <sz val="10"/>
        <color rgb="FF000000"/>
        <rFont val="Arial"/>
        <family val="2"/>
      </rPr>
      <t xml:space="preserve">à Francfort (25 jours). Le film est dédié à Armin (et à tous les autres). 
Novembre : Première de </t>
    </r>
    <r>
      <rPr>
        <i/>
        <sz val="10"/>
        <color rgb="FF000000"/>
        <rFont val="Arial"/>
        <family val="2"/>
      </rPr>
      <t xml:space="preserve">L'année des treize lunes </t>
    </r>
    <r>
      <rPr>
        <sz val="10"/>
        <color rgb="FF000000"/>
        <rFont val="Arial"/>
        <family val="2"/>
      </rPr>
      <t xml:space="preserve">à Francfort
Décembre - janvier : Tournage de </t>
    </r>
    <r>
      <rPr>
        <i/>
        <sz val="10"/>
        <color rgb="FF000000"/>
        <rFont val="Arial"/>
        <family val="2"/>
      </rPr>
      <t>La troisième génération</t>
    </r>
    <r>
      <rPr>
        <sz val="10"/>
        <color rgb="FF000000"/>
        <rFont val="Arial"/>
        <family val="2"/>
      </rPr>
      <t xml:space="preserve"> à Berlin (30 jours) -  RWF le finance sur fonds propres, toute subvention lui ayant été refusée en raison du caractère brûlant du sujet, le terrorisme. Le film est dédicacé : "A l'amant sincère…et donc probablement à personne ?"
RWF s'installe chez Juliane Lorenz.
</t>
    </r>
  </si>
  <si>
    <r>
      <rPr>
        <i/>
        <sz val="10"/>
        <color rgb="FF000000"/>
        <rFont val="Arial"/>
        <family val="2"/>
      </rPr>
      <t xml:space="preserve">Despair, </t>
    </r>
    <r>
      <rPr>
        <sz val="10"/>
        <color rgb="FF000000"/>
        <rFont val="Arial"/>
        <family val="2"/>
      </rPr>
      <t xml:space="preserve">deuxième coproduction internationale de RWF avec Dirk Bogarde et Andra Ferreol, deux acteurs importants du cinéma moderne européen, en compétition à Cannes en 1978
</t>
    </r>
    <r>
      <rPr>
        <i/>
        <sz val="10"/>
        <color rgb="FF000000"/>
        <rFont val="Arial"/>
        <family val="2"/>
      </rPr>
      <t>L'année des treize lunes</t>
    </r>
    <r>
      <rPr>
        <sz val="10"/>
        <color rgb="FF000000"/>
        <rFont val="Arial"/>
        <family val="2"/>
      </rPr>
      <t xml:space="preserve"> poursuit la réflexion entamée sur le désespoir. 
L'épisode réalisé par RWF dans </t>
    </r>
    <r>
      <rPr>
        <i/>
        <sz val="10"/>
        <color rgb="FF000000"/>
        <rFont val="Arial"/>
        <family val="2"/>
      </rPr>
      <t>L'Allemagne en automne</t>
    </r>
    <r>
      <rPr>
        <sz val="10"/>
        <color rgb="FF000000"/>
        <rFont val="Arial"/>
        <family val="2"/>
      </rPr>
      <t xml:space="preserve"> offre une relecture des actions commises par la RAF sur le mode de l'autofiction.</t>
    </r>
  </si>
  <si>
    <r>
      <rPr>
        <i/>
        <sz val="10"/>
        <rFont val="Arial"/>
        <family val="2"/>
      </rPr>
      <t xml:space="preserve">La troisième génération, </t>
    </r>
    <r>
      <rPr>
        <sz val="10"/>
        <rFont val="Arial"/>
        <family val="2"/>
      </rPr>
      <t xml:space="preserve">film inspiré par les actions de la RAF et la violence d'Etat, est compliqué à produire. 
</t>
    </r>
    <r>
      <rPr>
        <i/>
        <sz val="10"/>
        <rFont val="Arial"/>
        <family val="2"/>
      </rPr>
      <t xml:space="preserve">Le Mariage de Maria Braun, en compétition à la Berlinale, constitue une </t>
    </r>
    <r>
      <rPr>
        <sz val="10"/>
        <rFont val="Arial"/>
        <family val="2"/>
      </rPr>
      <t xml:space="preserve">allégorie de la reconstruction allemande. Le film connaît un triomphe international.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</si>
</sst>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0"/>
      <name val="Arial"/>
    </font>
    <font>
      <sz val="12"/>
      <color theme="10"/>
      <name val="Aptos Narrow"/>
    </font>
    <font>
      <sz val="12"/>
      <color theme="1"/>
      <name val="Aptos Narrow"/>
    </font>
    <font>
      <sz val="10"/>
      <color theme="1"/>
      <name val="Arial"/>
      <family val="2"/>
    </font>
    <font>
      <sz val="10"/>
      <color theme="0"/>
      <name val="Arial"/>
      <family val="2"/>
    </font>
    <font>
      <b/>
      <sz val="15"/>
      <color rgb="FFFFFFFF"/>
      <name val="Aptos Narrow"/>
    </font>
    <font>
      <b/>
      <sz val="12"/>
      <color rgb="FF1F4E78"/>
      <name val="Aptos Narrow"/>
    </font>
    <font>
      <sz val="10"/>
      <name val="Arial"/>
      <family val="2"/>
    </font>
    <font>
      <i/>
      <sz val="10"/>
      <color theme="1"/>
      <name val="Arial"/>
      <family val="2"/>
    </font>
    <font>
      <b/>
      <sz val="10"/>
      <color rgb="FF000000"/>
      <name val="Arial"/>
      <family val="2"/>
    </font>
    <font>
      <sz val="10"/>
      <color rgb="FF000000"/>
      <name val="Arial"/>
      <family val="2"/>
    </font>
    <font>
      <sz val="10"/>
      <color theme="10"/>
      <name val="Arial"/>
      <family val="2"/>
    </font>
    <font>
      <i/>
      <sz val="10"/>
      <color rgb="FF000000"/>
      <name val="Arial"/>
      <family val="2"/>
    </font>
    <font>
      <sz val="10"/>
      <color rgb="FF1F4E78"/>
      <name val="Arial"/>
      <family val="2"/>
    </font>
    <font>
      <i/>
      <sz val="10"/>
      <name val="Arial"/>
      <family val="2"/>
    </font>
    <font>
      <sz val="10"/>
      <color rgb="FF1F4E78"/>
      <name val="Aptos Narrow"/>
    </font>
    <font>
      <b/>
      <sz val="10"/>
      <color rgb="FF1F4E78"/>
      <name val="Aptos Narrow"/>
    </font>
    <font>
      <sz val="10"/>
      <color rgb="FF333333"/>
      <name val="Arial"/>
      <family val="2"/>
    </font>
    <font>
      <sz val="12"/>
      <name val="Aptos"/>
    </font>
    <font>
      <i/>
      <sz val="12"/>
      <name val="Aptos"/>
    </font>
  </fonts>
  <fills count="8">
    <fill>
      <patternFill patternType="none"/>
    </fill>
    <fill>
      <patternFill patternType="gray125"/>
    </fill>
    <fill>
      <patternFill patternType="solid">
        <fgColor rgb="FFEEF5FA"/>
      </patternFill>
    </fill>
    <fill>
      <patternFill patternType="solid">
        <fgColor rgb="FFF2F7FB"/>
      </patternFill>
    </fill>
    <fill>
      <patternFill patternType="solid">
        <fgColor rgb="FF1F4E78"/>
      </patternFill>
    </fill>
    <fill>
      <patternFill patternType="solid">
        <fgColor rgb="FFD9EAF4"/>
      </patternFill>
    </fill>
    <fill>
      <patternFill patternType="solid">
        <fgColor theme="1"/>
      </patternFill>
    </fill>
    <fill>
      <patternFill patternType="solid">
        <fgColor rgb="FFD9D9D9"/>
      </patternFill>
    </fill>
  </fills>
  <borders count="2">
    <border>
      <left/>
      <right/>
      <top/>
      <bottom/>
      <diagonal/>
    </border>
    <border>
      <left/>
      <right/>
      <top style="thin">
        <color rgb="FF000000"/>
      </top>
      <bottom style="thin">
        <color rgb="FF000000"/>
      </bottom>
      <diagonal/>
    </border>
  </borders>
  <cellStyleXfs count="3">
    <xf numFmtId="0" fontId="0" fillId="0" borderId="0"/>
    <xf numFmtId="0" fontId="1" fillId="0" borderId="0"/>
    <xf numFmtId="0" fontId="2" fillId="0" borderId="0"/>
  </cellStyleXfs>
  <cellXfs count="32">
    <xf numFmtId="0" fontId="0" fillId="0" borderId="0" xfId="0"/>
    <xf numFmtId="0" fontId="3" fillId="0" borderId="0" xfId="2" applyFont="1" applyAlignment="1">
      <alignment vertical="top" wrapText="1"/>
    </xf>
    <xf numFmtId="0" fontId="2" fillId="0" borderId="0" xfId="2" applyAlignment="1">
      <alignment wrapText="1"/>
    </xf>
    <xf numFmtId="0" fontId="4" fillId="0" borderId="0" xfId="2" applyFont="1" applyAlignment="1">
      <alignment vertical="top" wrapText="1"/>
    </xf>
    <xf numFmtId="0" fontId="2" fillId="3" borderId="0" xfId="2" applyFill="1" applyAlignment="1">
      <alignment wrapText="1"/>
    </xf>
    <xf numFmtId="0" fontId="5" fillId="4" borderId="0" xfId="2" applyFont="1" applyFill="1" applyAlignment="1">
      <alignment wrapText="1"/>
    </xf>
    <xf numFmtId="0" fontId="6" fillId="5" borderId="0" xfId="2" applyFont="1" applyFill="1" applyAlignment="1">
      <alignment wrapText="1"/>
    </xf>
    <xf numFmtId="0" fontId="4" fillId="0" borderId="0" xfId="0" applyFont="1"/>
    <xf numFmtId="0" fontId="0" fillId="0" borderId="0" xfId="0" applyAlignment="1">
      <alignment vertical="top"/>
    </xf>
    <xf numFmtId="0" fontId="9" fillId="0" borderId="0" xfId="0" applyFont="1"/>
    <xf numFmtId="0" fontId="10" fillId="0" borderId="0" xfId="0" applyFont="1" applyAlignment="1">
      <alignment vertical="top" wrapText="1"/>
    </xf>
    <xf numFmtId="0" fontId="7" fillId="0" borderId="0" xfId="0" applyFont="1" applyAlignment="1">
      <alignment vertical="top" wrapText="1"/>
    </xf>
    <xf numFmtId="0" fontId="11" fillId="0" borderId="0" xfId="1" applyFont="1" applyAlignment="1">
      <alignment vertical="top" wrapText="1"/>
    </xf>
    <xf numFmtId="0" fontId="10" fillId="0" borderId="0" xfId="2" applyFont="1" applyAlignment="1">
      <alignment vertical="top" wrapText="1"/>
    </xf>
    <xf numFmtId="0" fontId="12" fillId="0" borderId="0" xfId="2" applyFont="1" applyAlignment="1">
      <alignment vertical="top" wrapText="1"/>
    </xf>
    <xf numFmtId="0" fontId="3" fillId="0" borderId="0" xfId="2" applyFont="1" applyAlignment="1">
      <alignment horizontal="left" vertical="top" wrapText="1"/>
    </xf>
    <xf numFmtId="0" fontId="8" fillId="0" borderId="0" xfId="2" applyFont="1" applyAlignment="1">
      <alignment vertical="top" wrapText="1"/>
    </xf>
    <xf numFmtId="0" fontId="4" fillId="6" borderId="0" xfId="0" applyFont="1" applyFill="1" applyAlignment="1">
      <alignment vertical="top"/>
    </xf>
    <xf numFmtId="0" fontId="13" fillId="2" borderId="0" xfId="2" applyFont="1" applyFill="1" applyAlignment="1">
      <alignment vertical="top" wrapText="1"/>
    </xf>
    <xf numFmtId="0" fontId="10" fillId="0" borderId="0" xfId="0" applyFont="1"/>
    <xf numFmtId="0" fontId="3" fillId="0" borderId="0" xfId="0" applyFont="1" applyAlignment="1">
      <alignment vertical="top" wrapText="1"/>
    </xf>
    <xf numFmtId="0" fontId="7" fillId="0" borderId="0" xfId="0" applyFont="1"/>
    <xf numFmtId="0" fontId="10" fillId="7" borderId="1" xfId="0" applyFont="1" applyFill="1" applyBorder="1" applyAlignment="1">
      <alignment vertical="top" wrapText="1"/>
    </xf>
    <xf numFmtId="0" fontId="7" fillId="0" borderId="0" xfId="0" applyFont="1" applyAlignment="1">
      <alignment vertical="top"/>
    </xf>
    <xf numFmtId="0" fontId="7" fillId="0" borderId="0" xfId="0" applyFont="1" applyAlignment="1">
      <alignment wrapText="1"/>
    </xf>
    <xf numFmtId="0" fontId="10" fillId="0" borderId="1" xfId="0" applyFont="1" applyBorder="1" applyAlignment="1">
      <alignment vertical="top" wrapText="1"/>
    </xf>
    <xf numFmtId="0" fontId="14" fillId="0" borderId="0" xfId="0" applyFont="1" applyAlignment="1">
      <alignment vertical="top" wrapText="1"/>
    </xf>
    <xf numFmtId="0" fontId="13" fillId="2" borderId="0" xfId="2" applyFont="1" applyFill="1" applyAlignment="1">
      <alignment wrapText="1"/>
    </xf>
    <xf numFmtId="0" fontId="15" fillId="2" borderId="0" xfId="2" applyFont="1" applyFill="1" applyAlignment="1">
      <alignment wrapText="1"/>
    </xf>
    <xf numFmtId="0" fontId="16" fillId="2" borderId="0" xfId="2" applyFont="1" applyFill="1" applyAlignment="1">
      <alignment wrapText="1"/>
    </xf>
    <xf numFmtId="0" fontId="17" fillId="0" borderId="0" xfId="0" applyFont="1" applyAlignment="1">
      <alignment vertical="top" wrapText="1"/>
    </xf>
    <xf numFmtId="0" fontId="18" fillId="0" borderId="0" xfId="0" applyFont="1" applyAlignment="1">
      <alignment horizontal="justify" vertical="top" wrapText="1"/>
    </xf>
  </cellXfs>
  <cellStyles count="3">
    <cellStyle name="Lien hypertexte" xfId="1" xr:uid="{00000000-0005-0000-0000-000000000000}"/>
    <cellStyle name="Normal" xfId="0" builtinId="0"/>
    <cellStyle name="Normal 2" xfId="2" xr:uid="{00000000-0005-0000-0000-000002000000}"/>
  </cellStyles>
  <dxfs count="38">
    <dxf>
      <font>
        <strike val="0"/>
        <outline val="0"/>
        <shadow val="0"/>
        <u val="none"/>
        <vertAlign val="baseline"/>
        <sz val="10"/>
        <name val="Arial"/>
        <family val="2"/>
        <scheme val="none"/>
      </font>
    </dxf>
    <dxf>
      <font>
        <strike val="0"/>
        <outline val="0"/>
        <shadow val="0"/>
        <u val="none"/>
        <vertAlign val="baseline"/>
        <sz val="10"/>
        <name val="Arial"/>
        <family val="2"/>
        <scheme val="none"/>
      </font>
    </dxf>
    <dxf>
      <font>
        <strike val="0"/>
        <outline val="0"/>
        <shadow val="0"/>
        <u val="none"/>
        <vertAlign val="baseline"/>
        <sz val="10"/>
        <name val="Arial"/>
        <family val="2"/>
        <scheme val="none"/>
      </font>
    </dxf>
    <dxf>
      <font>
        <strike val="0"/>
        <outline val="0"/>
        <shadow val="0"/>
        <u val="none"/>
        <vertAlign val="baseline"/>
        <sz val="10"/>
        <name val="Arial"/>
        <family val="2"/>
        <scheme val="none"/>
      </font>
    </dxf>
    <dxf>
      <font>
        <strike val="0"/>
        <outline val="0"/>
        <shadow val="0"/>
        <u val="none"/>
        <vertAlign val="baseline"/>
        <sz val="10"/>
        <name val="Arial"/>
        <family val="2"/>
        <scheme val="none"/>
      </font>
    </dxf>
    <dxf>
      <font>
        <strike val="0"/>
        <outline val="0"/>
        <shadow val="0"/>
        <u val="none"/>
        <vertAlign val="baseline"/>
        <sz val="10"/>
        <name val="Arial"/>
        <family val="2"/>
        <scheme val="none"/>
      </font>
    </dxf>
    <dxf>
      <font>
        <strike val="0"/>
        <outline val="0"/>
        <shadow val="0"/>
        <u val="none"/>
        <vertAlign val="baseline"/>
        <sz val="10"/>
        <name val="Arial"/>
        <family val="2"/>
        <scheme val="none"/>
      </font>
    </dxf>
    <dxf>
      <font>
        <strike val="0"/>
        <outline val="0"/>
        <shadow val="0"/>
        <u val="none"/>
        <vertAlign val="baseline"/>
        <sz val="10"/>
        <name val="Arial"/>
        <family val="2"/>
        <scheme val="none"/>
      </font>
    </dxf>
    <dxf>
      <font>
        <strike val="0"/>
        <outline val="0"/>
        <shadow val="0"/>
        <u val="none"/>
        <vertAlign val="baseline"/>
        <sz val="10"/>
        <name val="Arial"/>
        <family val="2"/>
        <scheme val="none"/>
      </font>
    </dxf>
    <dxf>
      <font>
        <strike val="0"/>
        <outline val="0"/>
        <shadow val="0"/>
        <u val="none"/>
        <vertAlign val="baseline"/>
        <sz val="10"/>
        <name val="Arial"/>
        <family val="2"/>
        <scheme val="none"/>
      </font>
    </dxf>
    <dxf>
      <font>
        <strike val="0"/>
        <outline val="0"/>
        <shadow val="0"/>
        <u val="none"/>
        <vertAlign val="baseline"/>
        <sz val="10"/>
        <name val="Arial"/>
        <family val="2"/>
        <scheme val="none"/>
      </font>
    </dxf>
    <dxf>
      <font>
        <strike val="0"/>
        <outline val="0"/>
        <shadow val="0"/>
        <u val="none"/>
        <vertAlign val="baseline"/>
        <sz val="10"/>
        <name val="Arial"/>
        <family val="2"/>
        <scheme val="none"/>
      </font>
    </dxf>
    <dxf>
      <font>
        <strike val="0"/>
        <outline val="0"/>
        <shadow val="0"/>
        <u val="none"/>
        <vertAlign val="baseline"/>
        <sz val="10"/>
        <name val="Arial"/>
        <family val="2"/>
        <scheme val="none"/>
      </font>
    </dxf>
    <dxf>
      <font>
        <strike val="0"/>
        <outline val="0"/>
        <shadow val="0"/>
        <u val="none"/>
        <vertAlign val="baseline"/>
        <sz val="10"/>
        <name val="Arial"/>
        <family val="2"/>
        <scheme val="none"/>
      </font>
    </dxf>
    <dxf>
      <font>
        <strike val="0"/>
        <outline val="0"/>
        <shadow val="0"/>
        <u val="none"/>
        <vertAlign val="baseline"/>
        <sz val="10"/>
        <name val="Arial"/>
        <family val="2"/>
        <scheme val="none"/>
      </font>
    </dxf>
    <dxf>
      <font>
        <strike val="0"/>
        <outline val="0"/>
        <shadow val="0"/>
        <u val="none"/>
        <vertAlign val="baseline"/>
        <sz val="10"/>
        <name val="Arial"/>
        <family val="2"/>
        <scheme val="none"/>
      </font>
    </dxf>
    <dxf>
      <font>
        <strike val="0"/>
        <outline val="0"/>
        <shadow val="0"/>
        <u val="none"/>
        <vertAlign val="baseline"/>
        <sz val="10"/>
        <name val="Arial"/>
        <family val="2"/>
        <scheme val="none"/>
      </font>
    </dxf>
    <dxf>
      <font>
        <strike val="0"/>
        <outline val="0"/>
        <shadow val="0"/>
        <u val="none"/>
        <vertAlign val="baseline"/>
        <sz val="10"/>
        <name val="Arial"/>
        <family val="2"/>
        <scheme val="none"/>
      </font>
    </dxf>
    <dxf>
      <font>
        <strike val="0"/>
        <outline val="0"/>
        <shadow val="0"/>
        <u val="none"/>
        <vertAlign val="baseline"/>
        <sz val="10"/>
        <name val="Arial"/>
        <family val="2"/>
        <scheme val="none"/>
      </font>
    </dxf>
    <dxf>
      <font>
        <strike val="0"/>
        <outline val="0"/>
        <shadow val="0"/>
        <u val="none"/>
        <vertAlign val="baseline"/>
        <sz val="10"/>
        <name val="Arial"/>
        <family val="2"/>
        <scheme val="none"/>
      </font>
    </dxf>
    <dxf>
      <font>
        <strike val="0"/>
        <outline val="0"/>
        <shadow val="0"/>
        <u val="none"/>
        <vertAlign val="baseline"/>
        <sz val="10"/>
        <name val="Arial"/>
        <family val="2"/>
        <scheme val="none"/>
      </font>
    </dxf>
    <dxf>
      <font>
        <strike val="0"/>
        <outline val="0"/>
        <shadow val="0"/>
        <u val="none"/>
        <vertAlign val="baseline"/>
        <sz val="10"/>
        <name val="Arial"/>
        <family val="2"/>
        <scheme val="none"/>
      </font>
    </dxf>
    <dxf>
      <font>
        <strike val="0"/>
        <outline val="0"/>
        <shadow val="0"/>
        <u val="none"/>
        <vertAlign val="baseline"/>
        <sz val="10"/>
        <name val="Arial"/>
        <family val="2"/>
        <scheme val="none"/>
      </font>
    </dxf>
    <dxf>
      <font>
        <strike val="0"/>
        <outline val="0"/>
        <shadow val="0"/>
        <u val="none"/>
        <vertAlign val="baseline"/>
        <sz val="10"/>
        <name val="Arial"/>
        <family val="2"/>
        <scheme val="none"/>
      </font>
    </dxf>
    <dxf>
      <font>
        <strike val="0"/>
        <outline val="0"/>
        <shadow val="0"/>
        <u val="none"/>
        <vertAlign val="baseline"/>
        <sz val="10"/>
        <name val="Arial"/>
        <family val="2"/>
        <scheme val="none"/>
      </font>
    </dxf>
    <dxf>
      <font>
        <strike val="0"/>
        <outline val="0"/>
        <shadow val="0"/>
        <u val="none"/>
        <vertAlign val="baseline"/>
        <sz val="10"/>
        <name val="Arial"/>
        <family val="2"/>
        <scheme val="none"/>
      </font>
    </dxf>
    <dxf>
      <font>
        <strike val="0"/>
        <outline val="0"/>
        <shadow val="0"/>
        <u val="none"/>
        <vertAlign val="baseline"/>
        <sz val="10"/>
        <name val="Arial"/>
        <family val="2"/>
        <scheme val="none"/>
      </font>
    </dxf>
    <dxf>
      <font>
        <strike val="0"/>
        <outline val="0"/>
        <shadow val="0"/>
        <u val="none"/>
        <vertAlign val="baseline"/>
        <sz val="10"/>
        <name val="Arial"/>
        <family val="2"/>
        <scheme val="none"/>
      </font>
    </dxf>
    <dxf>
      <font>
        <strike val="0"/>
        <outline val="0"/>
        <shadow val="0"/>
        <u val="none"/>
        <vertAlign val="baseline"/>
        <sz val="10"/>
        <name val="Arial"/>
        <family val="2"/>
        <scheme val="none"/>
      </font>
    </dxf>
    <dxf>
      <font>
        <strike val="0"/>
        <outline val="0"/>
        <shadow val="0"/>
        <u val="none"/>
        <vertAlign val="baseline"/>
        <sz val="10"/>
        <name val="Arial"/>
        <family val="2"/>
        <scheme val="none"/>
      </font>
    </dxf>
    <dxf>
      <font>
        <strike val="0"/>
        <outline val="0"/>
        <shadow val="0"/>
        <u val="none"/>
        <vertAlign val="baseline"/>
        <sz val="10"/>
        <name val="Arial"/>
        <family val="2"/>
        <scheme val="none"/>
      </font>
    </dxf>
    <dxf>
      <font>
        <strike val="0"/>
        <outline val="0"/>
        <shadow val="0"/>
        <u val="none"/>
        <vertAlign val="baseline"/>
        <sz val="10"/>
        <name val="Arial"/>
        <family val="2"/>
        <scheme val="none"/>
      </font>
    </dxf>
    <dxf>
      <font>
        <strike val="0"/>
        <outline val="0"/>
        <shadow val="0"/>
        <u val="none"/>
        <vertAlign val="baseline"/>
        <sz val="10"/>
        <name val="Arial"/>
        <family val="2"/>
        <scheme val="none"/>
      </font>
    </dxf>
    <dxf>
      <font>
        <strike val="0"/>
        <outline val="0"/>
        <shadow val="0"/>
        <u val="none"/>
        <vertAlign val="baseline"/>
        <sz val="10"/>
        <name val="Arial"/>
        <family val="2"/>
        <scheme val="none"/>
      </font>
    </dxf>
    <dxf>
      <font>
        <strike val="0"/>
        <outline val="0"/>
        <shadow val="0"/>
        <u val="none"/>
        <vertAlign val="baseline"/>
        <sz val="10"/>
        <name val="Arial"/>
        <family val="2"/>
        <scheme val="none"/>
      </font>
    </dxf>
    <dxf>
      <font>
        <strike val="0"/>
        <outline val="0"/>
        <shadow val="0"/>
        <u val="none"/>
        <vertAlign val="baseline"/>
        <sz val="10"/>
        <name val="Arial"/>
        <family val="2"/>
        <scheme val="none"/>
      </font>
    </dxf>
    <dxf>
      <font>
        <strike val="0"/>
        <outline val="0"/>
        <shadow val="0"/>
        <u val="none"/>
        <vertAlign val="baseline"/>
        <sz val="10"/>
        <name val="Arial"/>
        <family val="2"/>
        <scheme val="none"/>
      </font>
    </dxf>
    <dxf>
      <font>
        <strike val="0"/>
        <outline val="0"/>
        <shadow val="0"/>
        <u val="none"/>
        <vertAlign val="baseline"/>
        <sz val="10"/>
        <name val="Arial"/>
        <family val="2"/>
        <scheme val="none"/>
      </font>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7FB"/>
      <rgbColor rgb="FFD9EAF4"/>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EEF5FA"/>
      <rgbColor rgb="FFCCFFCC"/>
      <rgbColor rgb="FFFFFF99"/>
      <rgbColor rgb="FF99CCFF"/>
      <rgbColor rgb="FFFF99CC"/>
      <rgbColor rgb="FFCC99FF"/>
      <rgbColor rgb="FFFFCC99"/>
      <rgbColor rgb="FF3366FF"/>
      <rgbColor rgb="FF33CCCC"/>
      <rgbColor rgb="FF99CC00"/>
      <rgbColor rgb="FFFFCC00"/>
      <rgbColor rgb="FFFF9900"/>
      <rgbColor rgb="FFFF6600"/>
      <rgbColor rgb="FF467886"/>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leau2" displayName="Tableau2" ref="A1:N7" totalsRowShown="0" headerRowDxfId="37" dataDxfId="36">
  <autoFilter ref="A1:N7" xr:uid="{00000000-0009-0000-0100-000003000000}"/>
  <tableColumns count="14">
    <tableColumn id="1" xr3:uid="{00000000-0010-0000-0000-000001000000}" name="ID période" dataDxfId="35"/>
    <tableColumn id="2" xr3:uid="{00000000-0010-0000-0000-000002000000}" name="Titre période" dataDxfId="34"/>
    <tableColumn id="3" xr3:uid="{00000000-0010-0000-0000-000003000000}" name="question directrice" dataDxfId="33"/>
    <tableColumn id="4" xr3:uid="{00000000-0010-0000-0000-000004000000}" name="Événement histoire et politique" dataDxfId="32"/>
    <tableColumn id="5" xr3:uid="{00000000-0010-0000-0000-000005000000}" name="Contexte culturel" dataDxfId="31"/>
    <tableColumn id="6" xr3:uid="{00000000-0010-0000-0000-000006000000}" name="Biographie de Fassbinder" dataDxfId="30"/>
    <tableColumn id="7" xr3:uid="{00000000-0010-0000-0000-000007000000}" name="Œuvres" dataDxfId="29"/>
    <tableColumn id="8" xr3:uid="{00000000-0010-0000-0000-000008000000}" name="ID films - Œuvres" dataDxfId="28"/>
    <tableColumn id="9" xr3:uid="{00000000-0010-0000-0000-000009000000}" name="Analyse et réception critique" dataDxfId="27"/>
    <tableColumn id="10" xr3:uid="{00000000-0010-0000-0000-00000A000000}" name="Liens" dataDxfId="26"/>
    <tableColumn id="11" xr3:uid="{00000000-0010-0000-0000-00000B000000}" name="Citation" dataDxfId="25"/>
    <tableColumn id="12" xr3:uid="{00000000-0010-0000-0000-00000C000000}" name="Image" dataDxfId="24"/>
    <tableColumn id="13" xr3:uid="{00000000-0010-0000-0000-00000D000000}" name="Légende" dataDxfId="23"/>
    <tableColumn id="14" xr3:uid="{00000000-0010-0000-0000-00000E000000}" name="Notion" dataDxfId="22"/>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au1" displayName="Tableau1" ref="A1:T38" totalsRowShown="0" headerRowDxfId="21" dataDxfId="20">
  <autoFilter ref="A1:T38" xr:uid="{00000000-0009-0000-0100-000002000000}"/>
  <tableColumns count="20">
    <tableColumn id="1" xr3:uid="{00000000-0010-0000-0100-000001000000}" name="Année" dataDxfId="19"/>
    <tableColumn id="2" xr3:uid="{00000000-0010-0000-0100-000002000000}" name="ID période" dataDxfId="18"/>
    <tableColumn id="3" xr3:uid="{00000000-0010-0000-0100-000003000000}" name="Événement histoire et politique" dataDxfId="17"/>
    <tableColumn id="4" xr3:uid="{00000000-0010-0000-0100-000004000000}" name="Contexte culturel" dataDxfId="16"/>
    <tableColumn id="5" xr3:uid="{00000000-0010-0000-0100-000005000000}" name="Biographie de Fassbinder" dataDxfId="15"/>
    <tableColumn id="6" xr3:uid="{00000000-0010-0000-0100-000006000000}" name="Œuvres" dataDxfId="14"/>
    <tableColumn id="7" xr3:uid="{00000000-0010-0000-0100-000007000000}" name="Analyse et Réception critique" dataDxfId="13"/>
    <tableColumn id="8" xr3:uid="{00000000-0010-0000-0100-000008000000}" name="Liens" dataDxfId="12"/>
    <tableColumn id="9" xr3:uid="{00000000-0010-0000-0100-000009000000}" name="Extraits" dataDxfId="11"/>
    <tableColumn id="10" xr3:uid="{00000000-0010-0000-0100-00000A000000}" name="Description de l'extrait" dataDxfId="10"/>
    <tableColumn id="11" xr3:uid="{00000000-0010-0000-0100-00000B000000}" name="Consigne d'analyse" dataDxfId="9"/>
    <tableColumn id="12" xr3:uid="{00000000-0010-0000-0100-00000C000000}" name="Citation" dataDxfId="8"/>
    <tableColumn id="13" xr3:uid="{00000000-0010-0000-0100-00000D000000}" name="Image 1" dataDxfId="7"/>
    <tableColumn id="14" xr3:uid="{00000000-0010-0000-0100-00000E000000}" name="Légende 1" dataDxfId="6"/>
    <tableColumn id="15" xr3:uid="{00000000-0010-0000-0100-00000F000000}" name="Image 2" dataDxfId="5"/>
    <tableColumn id="16" xr3:uid="{00000000-0010-0000-0100-000010000000}" name="Légende 2" dataDxfId="4"/>
    <tableColumn id="17" xr3:uid="{00000000-0010-0000-0100-000011000000}" name="Image 3" dataDxfId="3"/>
    <tableColumn id="18" xr3:uid="{00000000-0010-0000-0100-000012000000}" name="Légende 3" dataDxfId="2"/>
    <tableColumn id="19" xr3:uid="{00000000-0010-0000-0100-000013000000}" name="Notion" dataDxfId="1"/>
    <tableColumn id="20" xr3:uid="{00000000-0010-0000-0100-000014000000}" name="Source" dataDxfId="0"/>
  </tableColumns>
  <tableStyleInfo name="TableStyleMedium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2000000}" name="ReferentielFilmsFrise" displayName="ReferentielFilmsFrise" ref="A1:B41" totalsRowShown="0">
  <tableColumns count="2">
    <tableColumn id="1" xr3:uid="{00000000-0010-0000-0200-000001000000}" name="Titre canonique"/>
    <tableColumn id="2" xr3:uid="{00000000-0010-0000-0200-000002000000}" name="ID canonique"/>
  </tableColumns>
  <tableStyleInfo name="TableStyleMedium1" showFirstColumn="0" showLastColumn="0" showRowStripes="1" showColumnStripes="0"/>
</table>
</file>

<file path=xl/theme/theme1.xml><?xml version="1.0" encoding="utf-8"?>
<a:theme xmlns:a="http://schemas.openxmlformats.org/drawingml/2006/main" name="Thème Offic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a:gra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https://youtu.be/kp-fpPFhwyU?si=I3f1RY_wqNXN_k0l"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www.lemonde.fr/disparitions/article/2022/11/20/le-cineaste-jean-marie-straub-est-mort_6150761_3382.html?srsltid=ARcRdnpDLpgbyMuJ_BMuHIlLiO-ZJquwo9Xa-RH838OCOEYmmoYM1tFp" TargetMode="External"/><Relationship Id="rId3" Type="http://schemas.openxmlformats.org/officeDocument/2006/relationships/hyperlink" Target="https://www.youtube.com/watch?v=n94PjCv9HHI" TargetMode="External"/><Relationship Id="rId7" Type="http://schemas.openxmlformats.org/officeDocument/2006/relationships/hyperlink" Target="https://fresques.ina.fr/en-scenes/parcours/0010/le-theatre-brechtien-et-son-heritage.html" TargetMode="External"/><Relationship Id="rId2" Type="http://schemas.openxmlformats.org/officeDocument/2006/relationships/hyperlink" Target="https://youtu.be/Fl7QGI6R0PU?si=dJe7Hw-LQki1uquU" TargetMode="External"/><Relationship Id="rId1" Type="http://schemas.openxmlformats.org/officeDocument/2006/relationships/hyperlink" Target="https://youtu.be/kp-fpPFhwyU?si=C1WL9vXZBQ2rRfql" TargetMode="External"/><Relationship Id="rId6" Type="http://schemas.openxmlformats.org/officeDocument/2006/relationships/hyperlink" Target="https://youtu.be/Re2pxEMbZtA?si=l6bk_kzEIePjcE5M" TargetMode="External"/><Relationship Id="rId5" Type="http://schemas.openxmlformats.org/officeDocument/2006/relationships/hyperlink" Target="https://www.lhistoire.fr/17-juin-1953-insurrection-&#224;-berlin-une-m&#233;moire-allemande" TargetMode="External"/><Relationship Id="rId10" Type="http://schemas.openxmlformats.org/officeDocument/2006/relationships/table" Target="../tables/table2.xml"/><Relationship Id="rId4" Type="http://schemas.openxmlformats.org/officeDocument/2006/relationships/hyperlink" Target="https://youtu.be/SOWsLVl7zG4?si=HJ-3Bd1iMfxALCeK" TargetMode="External"/><Relationship Id="rId9" Type="http://schemas.openxmlformats.org/officeDocument/2006/relationships/hyperlink" Target="https://www.youtube.com/watch?v=LdxyHs5IgLg" TargetMode="Externa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7"/>
  <sheetViews>
    <sheetView topLeftCell="A6" workbookViewId="0">
      <selection activeCell="J4" sqref="J4"/>
    </sheetView>
  </sheetViews>
  <sheetFormatPr baseColWidth="10" defaultColWidth="13" defaultRowHeight="13" x14ac:dyDescent="0.15"/>
  <cols>
    <col min="1" max="3" width="31.83203125" customWidth="1"/>
    <col min="4" max="4" width="35.5" customWidth="1"/>
    <col min="5" max="5" width="42.33203125" customWidth="1"/>
    <col min="6" max="8" width="31.83203125" customWidth="1"/>
    <col min="9" max="9" width="33.33203125" customWidth="1"/>
    <col min="10" max="10" width="24.83203125" customWidth="1"/>
    <col min="11" max="11" width="37" customWidth="1"/>
    <col min="12" max="14" width="27.1640625" customWidth="1"/>
  </cols>
  <sheetData>
    <row r="1" spans="1:14" s="7" customFormat="1" ht="66.25" customHeight="1" x14ac:dyDescent="0.15">
      <c r="A1" s="3" t="s">
        <v>0</v>
      </c>
      <c r="B1" s="3" t="s">
        <v>1</v>
      </c>
      <c r="C1" s="3" t="s">
        <v>2</v>
      </c>
      <c r="D1" s="3" t="s">
        <v>3</v>
      </c>
      <c r="E1" s="3" t="s">
        <v>4</v>
      </c>
      <c r="F1" s="3" t="s">
        <v>5</v>
      </c>
      <c r="G1" s="3" t="s">
        <v>6</v>
      </c>
      <c r="H1" s="3" t="s">
        <v>7</v>
      </c>
      <c r="I1" s="3" t="s">
        <v>8</v>
      </c>
      <c r="J1" s="3" t="s">
        <v>9</v>
      </c>
      <c r="K1" s="3" t="s">
        <v>10</v>
      </c>
      <c r="L1" s="3" t="s">
        <v>11</v>
      </c>
      <c r="M1" s="3" t="s">
        <v>12</v>
      </c>
      <c r="N1" s="3" t="s">
        <v>13</v>
      </c>
    </row>
    <row r="2" spans="1:14" ht="409.6" x14ac:dyDescent="0.15">
      <c r="A2" s="1" t="s">
        <v>14</v>
      </c>
      <c r="B2" s="1" t="s">
        <v>15</v>
      </c>
      <c r="C2" s="1" t="s">
        <v>16</v>
      </c>
      <c r="D2" s="1" t="s">
        <v>17</v>
      </c>
      <c r="E2" s="1" t="s">
        <v>18</v>
      </c>
      <c r="F2" s="1" t="s">
        <v>19</v>
      </c>
      <c r="G2" s="21"/>
      <c r="H2" s="27" t="str">
        <f>IF(G2="","",_xlfn.TEXTJOIN("; ",TRUE(),IF(ISNUMBER(SEARCH(SUBSTITUTE('Référentiel films'!$A$2,"’","'"),SUBSTITUTE(G2,"’","'"))),'Référentiel films'!$B$2,""),IF(ISNUMBER(SEARCH(SUBSTITUTE('Référentiel films'!$A$3,"’","'"),SUBSTITUTE(G2,"’","'"))),'Référentiel films'!$B$3,""),IF(ISNUMBER(SEARCH(SUBSTITUTE('Référentiel films'!$A$4,"’","'"),SUBSTITUTE(G2,"’","'"))),'Référentiel films'!$B$4,""),IF(ISNUMBER(SEARCH(SUBSTITUTE('Référentiel films'!$A$5,"’","'"),SUBSTITUTE(G2,"’","'"))),'Référentiel films'!$B$5,""),IF(ISNUMBER(SEARCH(SUBSTITUTE('Référentiel films'!$A$6,"’","'"),SUBSTITUTE(G2,"’","'"))),'Référentiel films'!$B$6,""),IF(ISNUMBER(SEARCH(SUBSTITUTE('Référentiel films'!$A$7,"’","'"),SUBSTITUTE(G2,"’","'"))),'Référentiel films'!$B$7,""),IF(ISNUMBER(SEARCH(SUBSTITUTE('Référentiel films'!$A$8,"’","'"),SUBSTITUTE(G2,"’","'"))),'Référentiel films'!$B$8,""),IF(ISNUMBER(SEARCH(SUBSTITUTE('Référentiel films'!$A$9,"’","'"),SUBSTITUTE(G2,"’","'"))),'Référentiel films'!$B$9,""),IF(ISNUMBER(SEARCH(SUBSTITUTE('Référentiel films'!$A$10,"’","'"),SUBSTITUTE(G2,"’","'"))),'Référentiel films'!$B$10,""),IF(ISNUMBER(SEARCH(SUBSTITUTE('Référentiel films'!$A$11,"’","'"),SUBSTITUTE(G2,"’","'"))),'Référentiel films'!$B$11,""),IF(ISNUMBER(SEARCH(SUBSTITUTE('Référentiel films'!$A$12,"’","'"),SUBSTITUTE(G2,"’","'"))),'Référentiel films'!$B$12,""),IF(ISNUMBER(SEARCH(SUBSTITUTE('Référentiel films'!$A$13,"’","'"),SUBSTITUTE(G2,"’","'"))),'Référentiel films'!$B$13,""),IF(ISNUMBER(SEARCH(SUBSTITUTE('Référentiel films'!$A$14,"’","'"),SUBSTITUTE(G2,"’","'"))),'Référentiel films'!$B$14,""),IF(ISNUMBER(SEARCH(SUBSTITUTE('Référentiel films'!$A$15,"’","'"),SUBSTITUTE(G2,"’","'"))),'Référentiel films'!$B$15,""),IF(ISNUMBER(SEARCH(SUBSTITUTE('Référentiel films'!$A$16,"’","'"),SUBSTITUTE(G2,"’","'"))),'Référentiel films'!$B$16,""),IF(ISNUMBER(SEARCH(SUBSTITUTE('Référentiel films'!$A$17,"’","'"),SUBSTITUTE(G2,"’","'"))),'Référentiel films'!$B$17,""),IF(ISNUMBER(SEARCH(SUBSTITUTE('Référentiel films'!$A$18,"’","'"),SUBSTITUTE(G2,"’","'"))),'Référentiel films'!$B$18,""),IF(ISNUMBER(SEARCH(SUBSTITUTE('Référentiel films'!$A$19,"’","'"),SUBSTITUTE(G2,"’","'"))),'Référentiel films'!$B$19,""),IF(ISNUMBER(SEARCH(SUBSTITUTE('Référentiel films'!$A$20,"’","'"),SUBSTITUTE(G2,"’","'"))),'Référentiel films'!$B$20,""),IF(ISNUMBER(SEARCH(SUBSTITUTE('Référentiel films'!$A$21,"’","'"),SUBSTITUTE(G2,"’","'"))),'Référentiel films'!$B$21,""),IF(ISNUMBER(SEARCH(SUBSTITUTE('Référentiel films'!$A$22,"’","'"),SUBSTITUTE(G2,"’","'"))),'Référentiel films'!$B$22,""),IF(ISNUMBER(SEARCH(SUBSTITUTE('Référentiel films'!$A$23,"’","'"),SUBSTITUTE(G2,"’","'"))),'Référentiel films'!$B$23,""),IF(ISNUMBER(SEARCH(SUBSTITUTE('Référentiel films'!$A$24,"’","'"),SUBSTITUTE(G2,"’","'"))),'Référentiel films'!$B$24,""),IF(ISNUMBER(SEARCH(SUBSTITUTE('Référentiel films'!$A$25,"’","'"),SUBSTITUTE(G2,"’","'"))),'Référentiel films'!$B$25,""),IF(ISNUMBER(SEARCH(SUBSTITUTE('Référentiel films'!$A$26,"’","'"),SUBSTITUTE(G2,"’","'"))),'Référentiel films'!$B$26,""),IF(ISNUMBER(SEARCH(SUBSTITUTE('Référentiel films'!$A$27,"’","'"),SUBSTITUTE(G2,"’","'"))),'Référentiel films'!$B$27,""),IF(ISNUMBER(SEARCH(SUBSTITUTE('Référentiel films'!$A$28,"’","'"),SUBSTITUTE(G2,"’","'"))),'Référentiel films'!$B$28,""),IF(ISNUMBER(SEARCH(SUBSTITUTE('Référentiel films'!$A$29,"’","'"),SUBSTITUTE(G2,"’","'"))),'Référentiel films'!$B$29,""),IF(ISNUMBER(SEARCH(SUBSTITUTE('Référentiel films'!$A$30,"’","'"),SUBSTITUTE(G2,"’","'"))),'Référentiel films'!$B$30,""),IF(ISNUMBER(SEARCH(SUBSTITUTE('Référentiel films'!$A$31,"’","'"),SUBSTITUTE(G2,"’","'"))),'Référentiel films'!$B$31,""),IF(ISNUMBER(SEARCH(SUBSTITUTE('Référentiel films'!$A$32,"’","'"),SUBSTITUTE(G2,"’","'"))),'Référentiel films'!$B$32,""),IF(ISNUMBER(SEARCH(SUBSTITUTE('Référentiel films'!$A$33,"’","'"),SUBSTITUTE(G2,"’","'"))),'Référentiel films'!$B$33,""),IF(ISNUMBER(SEARCH(SUBSTITUTE('Référentiel films'!$A$34,"’","'"),SUBSTITUTE(G2,"’","'"))),'Référentiel films'!$B$34,""),IF(ISNUMBER(SEARCH(SUBSTITUTE('Référentiel films'!$A$35,"’","'"),SUBSTITUTE(G2,"’","'"))),'Référentiel films'!$B$35,""),IF(ISNUMBER(SEARCH(SUBSTITUTE('Référentiel films'!$A$36,"’","'"),SUBSTITUTE(G2,"’","'"))),'Référentiel films'!$B$36,""),IF(ISNUMBER(SEARCH(SUBSTITUTE('Référentiel films'!$A$37,"’","'"),SUBSTITUTE(G2,"’","'"))),'Référentiel films'!$B$37,""),IF(ISNUMBER(SEARCH(SUBSTITUTE('Référentiel films'!$A$38,"’","'"),SUBSTITUTE(G2,"’","'"))),'Référentiel films'!$B$38,""),IF(ISNUMBER(SEARCH(SUBSTITUTE('Référentiel films'!$A$39,"’","'"),SUBSTITUTE(G2,"’","'"))),'Référentiel films'!$B$39,""),IF(ISNUMBER(SEARCH(SUBSTITUTE('Référentiel films'!$A$40,"’","'"),SUBSTITUTE(G2,"’","'"))),'Référentiel films'!$B$40,""),IF(ISNUMBER(SEARCH(SUBSTITUTE('Référentiel films'!$A$41,"’","'"),SUBSTITUTE(G2,"’","'"))),'Référentiel films'!$B$41,"")))</f>
        <v/>
      </c>
      <c r="I2" s="13" t="s">
        <v>20</v>
      </c>
      <c r="J2" s="12" t="s">
        <v>21</v>
      </c>
      <c r="K2" s="11" t="s">
        <v>22</v>
      </c>
      <c r="L2" s="23" t="s">
        <v>23</v>
      </c>
      <c r="M2" s="11" t="s">
        <v>24</v>
      </c>
      <c r="N2" s="21"/>
    </row>
    <row r="3" spans="1:14" s="8" customFormat="1" ht="409.5" customHeight="1" x14ac:dyDescent="0.15">
      <c r="A3" s="1" t="s">
        <v>25</v>
      </c>
      <c r="B3" s="10" t="s">
        <v>26</v>
      </c>
      <c r="C3" s="1" t="s">
        <v>27</v>
      </c>
      <c r="D3" s="1" t="s">
        <v>28</v>
      </c>
      <c r="E3" s="1" t="s">
        <v>29</v>
      </c>
      <c r="F3" s="1" t="s">
        <v>30</v>
      </c>
      <c r="G3" s="1"/>
      <c r="H3" s="18" t="str">
        <f>IF(G3="","",_xlfn.TEXTJOIN("; ",TRUE(),IF(ISNUMBER(SEARCH(SUBSTITUTE('Référentiel films'!$A$2,"’","'"),SUBSTITUTE(G3,"’","'"))),'Référentiel films'!$B$2,""),IF(ISNUMBER(SEARCH(SUBSTITUTE('Référentiel films'!$A$3,"’","'"),SUBSTITUTE(G3,"’","'"))),'Référentiel films'!$B$3,""),IF(ISNUMBER(SEARCH(SUBSTITUTE('Référentiel films'!$A$4,"’","'"),SUBSTITUTE(G3,"’","'"))),'Référentiel films'!$B$4,""),IF(ISNUMBER(SEARCH(SUBSTITUTE('Référentiel films'!$A$5,"’","'"),SUBSTITUTE(G3,"’","'"))),'Référentiel films'!$B$5,""),IF(ISNUMBER(SEARCH(SUBSTITUTE('Référentiel films'!$A$6,"’","'"),SUBSTITUTE(G3,"’","'"))),'Référentiel films'!$B$6,""),IF(ISNUMBER(SEARCH(SUBSTITUTE('Référentiel films'!$A$7,"’","'"),SUBSTITUTE(G3,"’","'"))),'Référentiel films'!$B$7,""),IF(ISNUMBER(SEARCH(SUBSTITUTE('Référentiel films'!$A$8,"’","'"),SUBSTITUTE(G3,"’","'"))),'Référentiel films'!$B$8,""),IF(ISNUMBER(SEARCH(SUBSTITUTE('Référentiel films'!$A$9,"’","'"),SUBSTITUTE(G3,"’","'"))),'Référentiel films'!$B$9,""),IF(ISNUMBER(SEARCH(SUBSTITUTE('Référentiel films'!$A$10,"’","'"),SUBSTITUTE(G3,"’","'"))),'Référentiel films'!$B$10,""),IF(ISNUMBER(SEARCH(SUBSTITUTE('Référentiel films'!$A$11,"’","'"),SUBSTITUTE(G3,"’","'"))),'Référentiel films'!$B$11,""),IF(ISNUMBER(SEARCH(SUBSTITUTE('Référentiel films'!$A$12,"’","'"),SUBSTITUTE(G3,"’","'"))),'Référentiel films'!$B$12,""),IF(ISNUMBER(SEARCH(SUBSTITUTE('Référentiel films'!$A$13,"’","'"),SUBSTITUTE(G3,"’","'"))),'Référentiel films'!$B$13,""),IF(ISNUMBER(SEARCH(SUBSTITUTE('Référentiel films'!$A$14,"’","'"),SUBSTITUTE(G3,"’","'"))),'Référentiel films'!$B$14,""),IF(ISNUMBER(SEARCH(SUBSTITUTE('Référentiel films'!$A$15,"’","'"),SUBSTITUTE(G3,"’","'"))),'Référentiel films'!$B$15,""),IF(ISNUMBER(SEARCH(SUBSTITUTE('Référentiel films'!$A$16,"’","'"),SUBSTITUTE(G3,"’","'"))),'Référentiel films'!$B$16,""),IF(ISNUMBER(SEARCH(SUBSTITUTE('Référentiel films'!$A$17,"’","'"),SUBSTITUTE(G3,"’","'"))),'Référentiel films'!$B$17,""),IF(ISNUMBER(SEARCH(SUBSTITUTE('Référentiel films'!$A$18,"’","'"),SUBSTITUTE(G3,"’","'"))),'Référentiel films'!$B$18,""),IF(ISNUMBER(SEARCH(SUBSTITUTE('Référentiel films'!$A$19,"’","'"),SUBSTITUTE(G3,"’","'"))),'Référentiel films'!$B$19,""),IF(ISNUMBER(SEARCH(SUBSTITUTE('Référentiel films'!$A$20,"’","'"),SUBSTITUTE(G3,"’","'"))),'Référentiel films'!$B$20,""),IF(ISNUMBER(SEARCH(SUBSTITUTE('Référentiel films'!$A$21,"’","'"),SUBSTITUTE(G3,"’","'"))),'Référentiel films'!$B$21,""),IF(ISNUMBER(SEARCH(SUBSTITUTE('Référentiel films'!$A$22,"’","'"),SUBSTITUTE(G3,"’","'"))),'Référentiel films'!$B$22,""),IF(ISNUMBER(SEARCH(SUBSTITUTE('Référentiel films'!$A$23,"’","'"),SUBSTITUTE(G3,"’","'"))),'Référentiel films'!$B$23,""),IF(ISNUMBER(SEARCH(SUBSTITUTE('Référentiel films'!$A$24,"’","'"),SUBSTITUTE(G3,"’","'"))),'Référentiel films'!$B$24,""),IF(ISNUMBER(SEARCH(SUBSTITUTE('Référentiel films'!$A$25,"’","'"),SUBSTITUTE(G3,"’","'"))),'Référentiel films'!$B$25,""),IF(ISNUMBER(SEARCH(SUBSTITUTE('Référentiel films'!$A$26,"’","'"),SUBSTITUTE(G3,"’","'"))),'Référentiel films'!$B$26,""),IF(ISNUMBER(SEARCH(SUBSTITUTE('Référentiel films'!$A$27,"’","'"),SUBSTITUTE(G3,"’","'"))),'Référentiel films'!$B$27,""),IF(ISNUMBER(SEARCH(SUBSTITUTE('Référentiel films'!$A$28,"’","'"),SUBSTITUTE(G3,"’","'"))),'Référentiel films'!$B$28,""),IF(ISNUMBER(SEARCH(SUBSTITUTE('Référentiel films'!$A$29,"’","'"),SUBSTITUTE(G3,"’","'"))),'Référentiel films'!$B$29,""),IF(ISNUMBER(SEARCH(SUBSTITUTE('Référentiel films'!$A$30,"’","'"),SUBSTITUTE(G3,"’","'"))),'Référentiel films'!$B$30,""),IF(ISNUMBER(SEARCH(SUBSTITUTE('Référentiel films'!$A$31,"’","'"),SUBSTITUTE(G3,"’","'"))),'Référentiel films'!$B$31,""),IF(ISNUMBER(SEARCH(SUBSTITUTE('Référentiel films'!$A$32,"’","'"),SUBSTITUTE(G3,"’","'"))),'Référentiel films'!$B$32,""),IF(ISNUMBER(SEARCH(SUBSTITUTE('Référentiel films'!$A$33,"’","'"),SUBSTITUTE(G3,"’","'"))),'Référentiel films'!$B$33,""),IF(ISNUMBER(SEARCH(SUBSTITUTE('Référentiel films'!$A$34,"’","'"),SUBSTITUTE(G3,"’","'"))),'Référentiel films'!$B$34,""),IF(ISNUMBER(SEARCH(SUBSTITUTE('Référentiel films'!$A$35,"’","'"),SUBSTITUTE(G3,"’","'"))),'Référentiel films'!$B$35,""),IF(ISNUMBER(SEARCH(SUBSTITUTE('Référentiel films'!$A$36,"’","'"),SUBSTITUTE(G3,"’","'"))),'Référentiel films'!$B$36,""),IF(ISNUMBER(SEARCH(SUBSTITUTE('Référentiel films'!$A$37,"’","'"),SUBSTITUTE(G3,"’","'"))),'Référentiel films'!$B$37,""),IF(ISNUMBER(SEARCH(SUBSTITUTE('Référentiel films'!$A$38,"’","'"),SUBSTITUTE(G3,"’","'"))),'Référentiel films'!$B$38,""),IF(ISNUMBER(SEARCH(SUBSTITUTE('Référentiel films'!$A$39,"’","'"),SUBSTITUTE(G3,"’","'"))),'Référentiel films'!$B$39,""),IF(ISNUMBER(SEARCH(SUBSTITUTE('Référentiel films'!$A$40,"’","'"),SUBSTITUTE(G3,"’","'"))),'Référentiel films'!$B$40,""),IF(ISNUMBER(SEARCH(SUBSTITUTE('Référentiel films'!$A$41,"’","'"),SUBSTITUTE(G3,"’","'"))),'Référentiel films'!$B$41,"")))</f>
        <v/>
      </c>
      <c r="I3" s="1" t="s">
        <v>31</v>
      </c>
      <c r="J3" s="12" t="s">
        <v>32</v>
      </c>
      <c r="K3" s="23"/>
      <c r="L3" s="11" t="s">
        <v>33</v>
      </c>
      <c r="M3" s="11" t="s">
        <v>34</v>
      </c>
      <c r="N3" s="23"/>
    </row>
    <row r="4" spans="1:14" ht="409.5" customHeight="1" x14ac:dyDescent="0.15">
      <c r="A4" s="1" t="s">
        <v>35</v>
      </c>
      <c r="B4" s="1" t="s">
        <v>36</v>
      </c>
      <c r="C4" s="1" t="s">
        <v>37</v>
      </c>
      <c r="D4" s="1" t="s">
        <v>38</v>
      </c>
      <c r="E4" s="1" t="s">
        <v>39</v>
      </c>
      <c r="F4" s="1" t="s">
        <v>40</v>
      </c>
      <c r="G4" s="1"/>
      <c r="H4" s="18" t="str">
        <f>IF(G4="","",_xlfn.TEXTJOIN("; ",TRUE(),IF(ISNUMBER(SEARCH(SUBSTITUTE('Référentiel films'!$A$2,"’","'"),SUBSTITUTE(G4,"’","'"))),'Référentiel films'!$B$2,""),IF(ISNUMBER(SEARCH(SUBSTITUTE('Référentiel films'!$A$3,"’","'"),SUBSTITUTE(G4,"’","'"))),'Référentiel films'!$B$3,""),IF(ISNUMBER(SEARCH(SUBSTITUTE('Référentiel films'!$A$4,"’","'"),SUBSTITUTE(G4,"’","'"))),'Référentiel films'!$B$4,""),IF(ISNUMBER(SEARCH(SUBSTITUTE('Référentiel films'!$A$5,"’","'"),SUBSTITUTE(G4,"’","'"))),'Référentiel films'!$B$5,""),IF(ISNUMBER(SEARCH(SUBSTITUTE('Référentiel films'!$A$6,"’","'"),SUBSTITUTE(G4,"’","'"))),'Référentiel films'!$B$6,""),IF(ISNUMBER(SEARCH(SUBSTITUTE('Référentiel films'!$A$7,"’","'"),SUBSTITUTE(G4,"’","'"))),'Référentiel films'!$B$7,""),IF(ISNUMBER(SEARCH(SUBSTITUTE('Référentiel films'!$A$8,"’","'"),SUBSTITUTE(G4,"’","'"))),'Référentiel films'!$B$8,""),IF(ISNUMBER(SEARCH(SUBSTITUTE('Référentiel films'!$A$9,"’","'"),SUBSTITUTE(G4,"’","'"))),'Référentiel films'!$B$9,""),IF(ISNUMBER(SEARCH(SUBSTITUTE('Référentiel films'!$A$10,"’","'"),SUBSTITUTE(G4,"’","'"))),'Référentiel films'!$B$10,""),IF(ISNUMBER(SEARCH(SUBSTITUTE('Référentiel films'!$A$11,"’","'"),SUBSTITUTE(G4,"’","'"))),'Référentiel films'!$B$11,""),IF(ISNUMBER(SEARCH(SUBSTITUTE('Référentiel films'!$A$12,"’","'"),SUBSTITUTE(G4,"’","'"))),'Référentiel films'!$B$12,""),IF(ISNUMBER(SEARCH(SUBSTITUTE('Référentiel films'!$A$13,"’","'"),SUBSTITUTE(G4,"’","'"))),'Référentiel films'!$B$13,""),IF(ISNUMBER(SEARCH(SUBSTITUTE('Référentiel films'!$A$14,"’","'"),SUBSTITUTE(G4,"’","'"))),'Référentiel films'!$B$14,""),IF(ISNUMBER(SEARCH(SUBSTITUTE('Référentiel films'!$A$15,"’","'"),SUBSTITUTE(G4,"’","'"))),'Référentiel films'!$B$15,""),IF(ISNUMBER(SEARCH(SUBSTITUTE('Référentiel films'!$A$16,"’","'"),SUBSTITUTE(G4,"’","'"))),'Référentiel films'!$B$16,""),IF(ISNUMBER(SEARCH(SUBSTITUTE('Référentiel films'!$A$17,"’","'"),SUBSTITUTE(G4,"’","'"))),'Référentiel films'!$B$17,""),IF(ISNUMBER(SEARCH(SUBSTITUTE('Référentiel films'!$A$18,"’","'"),SUBSTITUTE(G4,"’","'"))),'Référentiel films'!$B$18,""),IF(ISNUMBER(SEARCH(SUBSTITUTE('Référentiel films'!$A$19,"’","'"),SUBSTITUTE(G4,"’","'"))),'Référentiel films'!$B$19,""),IF(ISNUMBER(SEARCH(SUBSTITUTE('Référentiel films'!$A$20,"’","'"),SUBSTITUTE(G4,"’","'"))),'Référentiel films'!$B$20,""),IF(ISNUMBER(SEARCH(SUBSTITUTE('Référentiel films'!$A$21,"’","'"),SUBSTITUTE(G4,"’","'"))),'Référentiel films'!$B$21,""),IF(ISNUMBER(SEARCH(SUBSTITUTE('Référentiel films'!$A$22,"’","'"),SUBSTITUTE(G4,"’","'"))),'Référentiel films'!$B$22,""),IF(ISNUMBER(SEARCH(SUBSTITUTE('Référentiel films'!$A$23,"’","'"),SUBSTITUTE(G4,"’","'"))),'Référentiel films'!$B$23,""),IF(ISNUMBER(SEARCH(SUBSTITUTE('Référentiel films'!$A$24,"’","'"),SUBSTITUTE(G4,"’","'"))),'Référentiel films'!$B$24,""),IF(ISNUMBER(SEARCH(SUBSTITUTE('Référentiel films'!$A$25,"’","'"),SUBSTITUTE(G4,"’","'"))),'Référentiel films'!$B$25,""),IF(ISNUMBER(SEARCH(SUBSTITUTE('Référentiel films'!$A$26,"’","'"),SUBSTITUTE(G4,"’","'"))),'Référentiel films'!$B$26,""),IF(ISNUMBER(SEARCH(SUBSTITUTE('Référentiel films'!$A$27,"’","'"),SUBSTITUTE(G4,"’","'"))),'Référentiel films'!$B$27,""),IF(ISNUMBER(SEARCH(SUBSTITUTE('Référentiel films'!$A$28,"’","'"),SUBSTITUTE(G4,"’","'"))),'Référentiel films'!$B$28,""),IF(ISNUMBER(SEARCH(SUBSTITUTE('Référentiel films'!$A$29,"’","'"),SUBSTITUTE(G4,"’","'"))),'Référentiel films'!$B$29,""),IF(ISNUMBER(SEARCH(SUBSTITUTE('Référentiel films'!$A$30,"’","'"),SUBSTITUTE(G4,"’","'"))),'Référentiel films'!$B$30,""),IF(ISNUMBER(SEARCH(SUBSTITUTE('Référentiel films'!$A$31,"’","'"),SUBSTITUTE(G4,"’","'"))),'Référentiel films'!$B$31,""),IF(ISNUMBER(SEARCH(SUBSTITUTE('Référentiel films'!$A$32,"’","'"),SUBSTITUTE(G4,"’","'"))),'Référentiel films'!$B$32,""),IF(ISNUMBER(SEARCH(SUBSTITUTE('Référentiel films'!$A$33,"’","'"),SUBSTITUTE(G4,"’","'"))),'Référentiel films'!$B$33,""),IF(ISNUMBER(SEARCH(SUBSTITUTE('Référentiel films'!$A$34,"’","'"),SUBSTITUTE(G4,"’","'"))),'Référentiel films'!$B$34,""),IF(ISNUMBER(SEARCH(SUBSTITUTE('Référentiel films'!$A$35,"’","'"),SUBSTITUTE(G4,"’","'"))),'Référentiel films'!$B$35,""),IF(ISNUMBER(SEARCH(SUBSTITUTE('Référentiel films'!$A$36,"’","'"),SUBSTITUTE(G4,"’","'"))),'Référentiel films'!$B$36,""),IF(ISNUMBER(SEARCH(SUBSTITUTE('Référentiel films'!$A$37,"’","'"),SUBSTITUTE(G4,"’","'"))),'Référentiel films'!$B$37,""),IF(ISNUMBER(SEARCH(SUBSTITUTE('Référentiel films'!$A$38,"’","'"),SUBSTITUTE(G4,"’","'"))),'Référentiel films'!$B$38,""),IF(ISNUMBER(SEARCH(SUBSTITUTE('Référentiel films'!$A$39,"’","'"),SUBSTITUTE(G4,"’","'"))),'Référentiel films'!$B$39,""),IF(ISNUMBER(SEARCH(SUBSTITUTE('Référentiel films'!$A$40,"’","'"),SUBSTITUTE(G4,"’","'"))),'Référentiel films'!$B$40,""),IF(ISNUMBER(SEARCH(SUBSTITUTE('Référentiel films'!$A$41,"’","'"),SUBSTITUTE(G4,"’","'"))),'Référentiel films'!$B$41,"")))</f>
        <v/>
      </c>
      <c r="I4" s="21"/>
      <c r="J4" s="11" t="s">
        <v>374</v>
      </c>
      <c r="K4" s="1" t="s">
        <v>41</v>
      </c>
      <c r="L4" s="21"/>
      <c r="M4" s="21"/>
      <c r="N4" s="21"/>
    </row>
    <row r="5" spans="1:14" ht="409.5" customHeight="1" x14ac:dyDescent="0.15">
      <c r="A5" s="1" t="s">
        <v>42</v>
      </c>
      <c r="B5" s="1" t="s">
        <v>43</v>
      </c>
      <c r="C5" s="1" t="s">
        <v>44</v>
      </c>
      <c r="D5" s="1" t="s">
        <v>45</v>
      </c>
      <c r="E5" s="1" t="s">
        <v>46</v>
      </c>
      <c r="F5" s="1" t="s">
        <v>47</v>
      </c>
      <c r="G5" s="1" t="s">
        <v>48</v>
      </c>
      <c r="H5" s="18" t="s">
        <v>49</v>
      </c>
      <c r="I5" s="15" t="s">
        <v>50</v>
      </c>
      <c r="J5" s="11" t="s">
        <v>51</v>
      </c>
      <c r="K5" s="24"/>
      <c r="L5" s="21"/>
      <c r="M5" s="21"/>
      <c r="N5" s="21"/>
    </row>
    <row r="6" spans="1:14" ht="409.5" customHeight="1" x14ac:dyDescent="0.15">
      <c r="A6" s="1" t="s">
        <v>52</v>
      </c>
      <c r="B6" s="1" t="s">
        <v>53</v>
      </c>
      <c r="C6" s="1" t="s">
        <v>54</v>
      </c>
      <c r="D6" s="1" t="s">
        <v>55</v>
      </c>
      <c r="E6" s="1" t="s">
        <v>56</v>
      </c>
      <c r="F6" s="1" t="s">
        <v>57</v>
      </c>
      <c r="G6" s="1" t="s">
        <v>58</v>
      </c>
      <c r="H6" s="18" t="s">
        <v>59</v>
      </c>
      <c r="I6" s="1" t="s">
        <v>60</v>
      </c>
      <c r="J6" s="11" t="s">
        <v>61</v>
      </c>
      <c r="K6" s="25" t="s">
        <v>62</v>
      </c>
      <c r="L6" s="21"/>
      <c r="M6" s="21"/>
      <c r="N6" s="21"/>
    </row>
    <row r="7" spans="1:14" ht="409.5" customHeight="1" x14ac:dyDescent="0.15">
      <c r="A7" s="1" t="s">
        <v>63</v>
      </c>
      <c r="B7" s="1" t="s">
        <v>64</v>
      </c>
      <c r="C7" s="11" t="s">
        <v>65</v>
      </c>
      <c r="D7" s="1" t="s">
        <v>66</v>
      </c>
      <c r="E7" s="11" t="s">
        <v>67</v>
      </c>
      <c r="F7" s="1" t="s">
        <v>68</v>
      </c>
      <c r="G7" s="1" t="s">
        <v>69</v>
      </c>
      <c r="H7" s="18" t="s">
        <v>70</v>
      </c>
      <c r="I7" s="11" t="s">
        <v>71</v>
      </c>
      <c r="J7" s="11" t="s">
        <v>72</v>
      </c>
      <c r="K7" s="11" t="s">
        <v>73</v>
      </c>
      <c r="L7" s="21"/>
      <c r="M7" s="21"/>
      <c r="N7" s="21"/>
    </row>
  </sheetData>
  <hyperlinks>
    <hyperlink ref="J2" r:id="rId1" xr:uid="{00000000-0004-0000-0000-000000000000}"/>
  </hyperlinks>
  <pageMargins left="0.7" right="0.7" top="0.75" bottom="0.75" header="0.3" footer="0.3"/>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38"/>
  <sheetViews>
    <sheetView tabSelected="1" topLeftCell="A33" workbookViewId="0">
      <selection activeCell="F34" sqref="F34"/>
    </sheetView>
  </sheetViews>
  <sheetFormatPr baseColWidth="10" defaultColWidth="13" defaultRowHeight="13" x14ac:dyDescent="0.15"/>
  <cols>
    <col min="1" max="2" width="31.83203125" style="21" customWidth="1"/>
    <col min="3" max="3" width="32.6640625" style="21" customWidth="1"/>
    <col min="4" max="6" width="31.83203125" style="21" customWidth="1"/>
    <col min="7" max="7" width="31" style="21" customWidth="1"/>
    <col min="8" max="8" width="16.1640625" style="21" customWidth="1"/>
    <col min="9" max="9" width="20.6640625" style="21" customWidth="1"/>
    <col min="10" max="11" width="37.83203125" style="21" customWidth="1"/>
    <col min="12" max="12" width="37" style="21" customWidth="1"/>
    <col min="13" max="19" width="27.1640625" style="21" customWidth="1"/>
    <col min="20" max="20" width="13" style="21"/>
    <col min="21" max="21" width="56.83203125" style="21" customWidth="1"/>
    <col min="22" max="16384" width="13" style="21"/>
  </cols>
  <sheetData>
    <row r="1" spans="1:21" s="7" customFormat="1" ht="66.25" customHeight="1" x14ac:dyDescent="0.15">
      <c r="A1" s="3" t="s">
        <v>74</v>
      </c>
      <c r="B1" s="3" t="s">
        <v>0</v>
      </c>
      <c r="C1" s="3" t="s">
        <v>3</v>
      </c>
      <c r="D1" s="3" t="s">
        <v>4</v>
      </c>
      <c r="E1" s="3" t="s">
        <v>5</v>
      </c>
      <c r="F1" s="3" t="s">
        <v>6</v>
      </c>
      <c r="G1" s="3" t="s">
        <v>75</v>
      </c>
      <c r="H1" s="3" t="s">
        <v>9</v>
      </c>
      <c r="I1" s="3" t="s">
        <v>76</v>
      </c>
      <c r="J1" s="3" t="s">
        <v>77</v>
      </c>
      <c r="K1" s="3" t="s">
        <v>78</v>
      </c>
      <c r="L1" s="3" t="s">
        <v>10</v>
      </c>
      <c r="M1" s="3" t="s">
        <v>79</v>
      </c>
      <c r="N1" s="3" t="s">
        <v>80</v>
      </c>
      <c r="O1" s="3" t="s">
        <v>81</v>
      </c>
      <c r="P1" s="3" t="s">
        <v>82</v>
      </c>
      <c r="Q1" s="3" t="s">
        <v>83</v>
      </c>
      <c r="R1" s="3" t="s">
        <v>84</v>
      </c>
      <c r="S1" s="3" t="s">
        <v>13</v>
      </c>
      <c r="T1" s="3" t="s">
        <v>85</v>
      </c>
      <c r="U1" s="17" t="s">
        <v>86</v>
      </c>
    </row>
    <row r="2" spans="1:21" ht="409.5" customHeight="1" x14ac:dyDescent="0.2">
      <c r="A2" s="1">
        <v>1945</v>
      </c>
      <c r="B2" s="1" t="s">
        <v>14</v>
      </c>
      <c r="C2" s="1" t="s">
        <v>87</v>
      </c>
      <c r="D2" s="1" t="s">
        <v>88</v>
      </c>
      <c r="E2" s="1" t="s">
        <v>89</v>
      </c>
      <c r="F2" s="1"/>
      <c r="G2" s="1"/>
      <c r="H2" s="12" t="s">
        <v>90</v>
      </c>
      <c r="I2" s="12"/>
      <c r="J2" s="12"/>
      <c r="K2" s="12"/>
      <c r="L2" s="1"/>
      <c r="M2" s="11"/>
      <c r="N2" s="11"/>
      <c r="O2" s="11"/>
      <c r="P2" s="11"/>
      <c r="Q2" s="11"/>
      <c r="R2" s="11"/>
      <c r="S2" s="11"/>
      <c r="T2" s="11"/>
      <c r="U2" s="28" t="str">
        <f>IF(F2="","",_xlfn.TEXTJOIN("; ",TRUE(),IF(ISNUMBER(SEARCH(SUBSTITUTE('Référentiel films'!$A$2,"’","'"),SUBSTITUTE(F2,"’","'"))),'Référentiel films'!$B$2,""),IF(ISNUMBER(SEARCH(SUBSTITUTE('Référentiel films'!$A$3,"’","'"),SUBSTITUTE(F2,"’","'"))),'Référentiel films'!$B$3,""),IF(ISNUMBER(SEARCH(SUBSTITUTE('Référentiel films'!$A$4,"’","'"),SUBSTITUTE(F2,"’","'"))),'Référentiel films'!$B$4,""),IF(ISNUMBER(SEARCH(SUBSTITUTE('Référentiel films'!$A$5,"’","'"),SUBSTITUTE(F2,"’","'"))),'Référentiel films'!$B$5,""),IF(ISNUMBER(SEARCH(SUBSTITUTE('Référentiel films'!$A$6,"’","'"),SUBSTITUTE(F2,"’","'"))),'Référentiel films'!$B$6,""),IF(ISNUMBER(SEARCH(SUBSTITUTE('Référentiel films'!$A$7,"’","'"),SUBSTITUTE(F2,"’","'"))),'Référentiel films'!$B$7,""),IF(ISNUMBER(SEARCH(SUBSTITUTE('Référentiel films'!$A$8,"’","'"),SUBSTITUTE(F2,"’","'"))),'Référentiel films'!$B$8,""),IF(ISNUMBER(SEARCH(SUBSTITUTE('Référentiel films'!$A$9,"’","'"),SUBSTITUTE(F2,"’","'"))),'Référentiel films'!$B$9,""),IF(ISNUMBER(SEARCH(SUBSTITUTE('Référentiel films'!$A$10,"’","'"),SUBSTITUTE(F2,"’","'"))),'Référentiel films'!$B$10,""),IF(ISNUMBER(SEARCH(SUBSTITUTE('Référentiel films'!$A$11,"’","'"),SUBSTITUTE(F2,"’","'"))),'Référentiel films'!$B$11,""),IF(ISNUMBER(SEARCH(SUBSTITUTE('Référentiel films'!$A$12,"’","'"),SUBSTITUTE(F2,"’","'"))),'Référentiel films'!$B$12,""),IF(ISNUMBER(SEARCH(SUBSTITUTE('Référentiel films'!$A$13,"’","'"),SUBSTITUTE(F2,"’","'"))),'Référentiel films'!$B$13,""),IF(ISNUMBER(SEARCH(SUBSTITUTE('Référentiel films'!$A$14,"’","'"),SUBSTITUTE(F2,"’","'"))),'Référentiel films'!$B$14,""),IF(ISNUMBER(SEARCH(SUBSTITUTE('Référentiel films'!$A$15,"’","'"),SUBSTITUTE(F2,"’","'"))),'Référentiel films'!$B$15,""),IF(ISNUMBER(SEARCH(SUBSTITUTE('Référentiel films'!$A$16,"’","'"),SUBSTITUTE(F2,"’","'"))),'Référentiel films'!$B$16,""),IF(ISNUMBER(SEARCH(SUBSTITUTE('Référentiel films'!$A$17,"’","'"),SUBSTITUTE(F2,"’","'"))),'Référentiel films'!$B$17,""),IF(ISNUMBER(SEARCH(SUBSTITUTE('Référentiel films'!$A$18,"’","'"),SUBSTITUTE(F2,"’","'"))),'Référentiel films'!$B$18,""),IF(ISNUMBER(SEARCH(SUBSTITUTE('Référentiel films'!$A$19,"’","'"),SUBSTITUTE(F2,"’","'"))),'Référentiel films'!$B$19,""),IF(ISNUMBER(SEARCH(SUBSTITUTE('Référentiel films'!$A$20,"’","'"),SUBSTITUTE(F2,"’","'"))),'Référentiel films'!$B$20,""),IF(ISNUMBER(SEARCH(SUBSTITUTE('Référentiel films'!$A$21,"’","'"),SUBSTITUTE(F2,"’","'"))),'Référentiel films'!$B$21,""),IF(ISNUMBER(SEARCH(SUBSTITUTE('Référentiel films'!$A$22,"’","'"),SUBSTITUTE(F2,"’","'"))),'Référentiel films'!$B$22,""),IF(ISNUMBER(SEARCH(SUBSTITUTE('Référentiel films'!$A$23,"’","'"),SUBSTITUTE(F2,"’","'"))),'Référentiel films'!$B$23,""),IF(ISNUMBER(SEARCH(SUBSTITUTE('Référentiel films'!$A$24,"’","'"),SUBSTITUTE(F2,"’","'"))),'Référentiel films'!$B$24,""),IF(ISNUMBER(SEARCH(SUBSTITUTE('Référentiel films'!$A$25,"’","'"),SUBSTITUTE(F2,"’","'"))),'Référentiel films'!$B$25,""),IF(ISNUMBER(SEARCH(SUBSTITUTE('Référentiel films'!$A$26,"’","'"),SUBSTITUTE(F2,"’","'"))),'Référentiel films'!$B$26,""),IF(ISNUMBER(SEARCH(SUBSTITUTE('Référentiel films'!$A$27,"’","'"),SUBSTITUTE(F2,"’","'"))),'Référentiel films'!$B$27,""),IF(ISNUMBER(SEARCH(SUBSTITUTE('Référentiel films'!$A$28,"’","'"),SUBSTITUTE(F2,"’","'"))),'Référentiel films'!$B$28,""),IF(ISNUMBER(SEARCH(SUBSTITUTE('Référentiel films'!$A$29,"’","'"),SUBSTITUTE(F2,"’","'"))),'Référentiel films'!$B$29,""),IF(ISNUMBER(SEARCH(SUBSTITUTE('Référentiel films'!$A$30,"’","'"),SUBSTITUTE(F2,"’","'"))),'Référentiel films'!$B$30,""),IF(ISNUMBER(SEARCH(SUBSTITUTE('Référentiel films'!$A$31,"’","'"),SUBSTITUTE(F2,"’","'"))),'Référentiel films'!$B$31,""),IF(ISNUMBER(SEARCH(SUBSTITUTE('Référentiel films'!$A$32,"’","'"),SUBSTITUTE(F2,"’","'"))),'Référentiel films'!$B$32,""),IF(ISNUMBER(SEARCH(SUBSTITUTE('Référentiel films'!$A$33,"’","'"),SUBSTITUTE(F2,"’","'"))),'Référentiel films'!$B$33,""),IF(ISNUMBER(SEARCH(SUBSTITUTE('Référentiel films'!$A$34,"’","'"),SUBSTITUTE(F2,"’","'"))),'Référentiel films'!$B$34,""),IF(ISNUMBER(SEARCH(SUBSTITUTE('Référentiel films'!$A$35,"’","'"),SUBSTITUTE(F2,"’","'"))),'Référentiel films'!$B$35,""),IF(ISNUMBER(SEARCH(SUBSTITUTE('Référentiel films'!$A$36,"’","'"),SUBSTITUTE(F2,"’","'"))),'Référentiel films'!$B$36,""),IF(ISNUMBER(SEARCH(SUBSTITUTE('Référentiel films'!$A$37,"’","'"),SUBSTITUTE(F2,"’","'"))),'Référentiel films'!$B$37,""),IF(ISNUMBER(SEARCH(SUBSTITUTE('Référentiel films'!$A$38,"’","'"),SUBSTITUTE(F2,"’","'"))),'Référentiel films'!$B$38,""),IF(ISNUMBER(SEARCH(SUBSTITUTE('Référentiel films'!$A$39,"’","'"),SUBSTITUTE(F2,"’","'"))),'Référentiel films'!$B$39,""),IF(ISNUMBER(SEARCH(SUBSTITUTE('Référentiel films'!$A$40,"’","'"),SUBSTITUTE(F2,"’","'"))),'Référentiel films'!$B$40,""),IF(ISNUMBER(SEARCH(SUBSTITUTE('Référentiel films'!$A$41,"’","'"),SUBSTITUTE(F2,"’","'"))),'Référentiel films'!$B$41,"")))</f>
        <v/>
      </c>
    </row>
    <row r="3" spans="1:21" ht="409.5" customHeight="1" x14ac:dyDescent="0.2">
      <c r="A3" s="1">
        <v>1946</v>
      </c>
      <c r="B3" s="1" t="s">
        <v>14</v>
      </c>
      <c r="C3" s="1" t="s">
        <v>91</v>
      </c>
      <c r="D3" s="1" t="s">
        <v>92</v>
      </c>
      <c r="E3" s="1" t="s">
        <v>93</v>
      </c>
      <c r="F3" s="11"/>
      <c r="G3" s="1"/>
      <c r="H3" s="12" t="s">
        <v>94</v>
      </c>
      <c r="I3" s="12"/>
      <c r="J3" s="12"/>
      <c r="K3" s="12"/>
      <c r="L3" s="1"/>
      <c r="M3" s="11"/>
      <c r="N3" s="11"/>
      <c r="O3" s="11"/>
      <c r="P3" s="11"/>
      <c r="Q3" s="11"/>
      <c r="R3" s="11"/>
      <c r="S3" s="11"/>
      <c r="T3" s="11"/>
      <c r="U3" s="28" t="str">
        <f>IF(F3="","",_xlfn.TEXTJOIN("; ",TRUE(),IF(ISNUMBER(SEARCH(SUBSTITUTE('Référentiel films'!$A$2,"’","'"),SUBSTITUTE(F3,"’","'"))),'Référentiel films'!$B$2,""),IF(ISNUMBER(SEARCH(SUBSTITUTE('Référentiel films'!$A$3,"’","'"),SUBSTITUTE(F3,"’","'"))),'Référentiel films'!$B$3,""),IF(ISNUMBER(SEARCH(SUBSTITUTE('Référentiel films'!$A$4,"’","'"),SUBSTITUTE(F3,"’","'"))),'Référentiel films'!$B$4,""),IF(ISNUMBER(SEARCH(SUBSTITUTE('Référentiel films'!$A$5,"’","'"),SUBSTITUTE(F3,"’","'"))),'Référentiel films'!$B$5,""),IF(ISNUMBER(SEARCH(SUBSTITUTE('Référentiel films'!$A$6,"’","'"),SUBSTITUTE(F3,"’","'"))),'Référentiel films'!$B$6,""),IF(ISNUMBER(SEARCH(SUBSTITUTE('Référentiel films'!$A$7,"’","'"),SUBSTITUTE(F3,"’","'"))),'Référentiel films'!$B$7,""),IF(ISNUMBER(SEARCH(SUBSTITUTE('Référentiel films'!$A$8,"’","'"),SUBSTITUTE(F3,"’","'"))),'Référentiel films'!$B$8,""),IF(ISNUMBER(SEARCH(SUBSTITUTE('Référentiel films'!$A$9,"’","'"),SUBSTITUTE(F3,"’","'"))),'Référentiel films'!$B$9,""),IF(ISNUMBER(SEARCH(SUBSTITUTE('Référentiel films'!$A$10,"’","'"),SUBSTITUTE(F3,"’","'"))),'Référentiel films'!$B$10,""),IF(ISNUMBER(SEARCH(SUBSTITUTE('Référentiel films'!$A$11,"’","'"),SUBSTITUTE(F3,"’","'"))),'Référentiel films'!$B$11,""),IF(ISNUMBER(SEARCH(SUBSTITUTE('Référentiel films'!$A$12,"’","'"),SUBSTITUTE(F3,"’","'"))),'Référentiel films'!$B$12,""),IF(ISNUMBER(SEARCH(SUBSTITUTE('Référentiel films'!$A$13,"’","'"),SUBSTITUTE(F3,"’","'"))),'Référentiel films'!$B$13,""),IF(ISNUMBER(SEARCH(SUBSTITUTE('Référentiel films'!$A$14,"’","'"),SUBSTITUTE(F3,"’","'"))),'Référentiel films'!$B$14,""),IF(ISNUMBER(SEARCH(SUBSTITUTE('Référentiel films'!$A$15,"’","'"),SUBSTITUTE(F3,"’","'"))),'Référentiel films'!$B$15,""),IF(ISNUMBER(SEARCH(SUBSTITUTE('Référentiel films'!$A$16,"’","'"),SUBSTITUTE(F3,"’","'"))),'Référentiel films'!$B$16,""),IF(ISNUMBER(SEARCH(SUBSTITUTE('Référentiel films'!$A$17,"’","'"),SUBSTITUTE(F3,"’","'"))),'Référentiel films'!$B$17,""),IF(ISNUMBER(SEARCH(SUBSTITUTE('Référentiel films'!$A$18,"’","'"),SUBSTITUTE(F3,"’","'"))),'Référentiel films'!$B$18,""),IF(ISNUMBER(SEARCH(SUBSTITUTE('Référentiel films'!$A$19,"’","'"),SUBSTITUTE(F3,"’","'"))),'Référentiel films'!$B$19,""),IF(ISNUMBER(SEARCH(SUBSTITUTE('Référentiel films'!$A$20,"’","'"),SUBSTITUTE(F3,"’","'"))),'Référentiel films'!$B$20,""),IF(ISNUMBER(SEARCH(SUBSTITUTE('Référentiel films'!$A$21,"’","'"),SUBSTITUTE(F3,"’","'"))),'Référentiel films'!$B$21,""),IF(ISNUMBER(SEARCH(SUBSTITUTE('Référentiel films'!$A$22,"’","'"),SUBSTITUTE(F3,"’","'"))),'Référentiel films'!$B$22,""),IF(ISNUMBER(SEARCH(SUBSTITUTE('Référentiel films'!$A$23,"’","'"),SUBSTITUTE(F3,"’","'"))),'Référentiel films'!$B$23,""),IF(ISNUMBER(SEARCH(SUBSTITUTE('Référentiel films'!$A$24,"’","'"),SUBSTITUTE(F3,"’","'"))),'Référentiel films'!$B$24,""),IF(ISNUMBER(SEARCH(SUBSTITUTE('Référentiel films'!$A$25,"’","'"),SUBSTITUTE(F3,"’","'"))),'Référentiel films'!$B$25,""),IF(ISNUMBER(SEARCH(SUBSTITUTE('Référentiel films'!$A$26,"’","'"),SUBSTITUTE(F3,"’","'"))),'Référentiel films'!$B$26,""),IF(ISNUMBER(SEARCH(SUBSTITUTE('Référentiel films'!$A$27,"’","'"),SUBSTITUTE(F3,"’","'"))),'Référentiel films'!$B$27,""),IF(ISNUMBER(SEARCH(SUBSTITUTE('Référentiel films'!$A$28,"’","'"),SUBSTITUTE(F3,"’","'"))),'Référentiel films'!$B$28,""),IF(ISNUMBER(SEARCH(SUBSTITUTE('Référentiel films'!$A$29,"’","'"),SUBSTITUTE(F3,"’","'"))),'Référentiel films'!$B$29,""),IF(ISNUMBER(SEARCH(SUBSTITUTE('Référentiel films'!$A$30,"’","'"),SUBSTITUTE(F3,"’","'"))),'Référentiel films'!$B$30,""),IF(ISNUMBER(SEARCH(SUBSTITUTE('Référentiel films'!$A$31,"’","'"),SUBSTITUTE(F3,"’","'"))),'Référentiel films'!$B$31,""),IF(ISNUMBER(SEARCH(SUBSTITUTE('Référentiel films'!$A$32,"’","'"),SUBSTITUTE(F3,"’","'"))),'Référentiel films'!$B$32,""),IF(ISNUMBER(SEARCH(SUBSTITUTE('Référentiel films'!$A$33,"’","'"),SUBSTITUTE(F3,"’","'"))),'Référentiel films'!$B$33,""),IF(ISNUMBER(SEARCH(SUBSTITUTE('Référentiel films'!$A$34,"’","'"),SUBSTITUTE(F3,"’","'"))),'Référentiel films'!$B$34,""),IF(ISNUMBER(SEARCH(SUBSTITUTE('Référentiel films'!$A$35,"’","'"),SUBSTITUTE(F3,"’","'"))),'Référentiel films'!$B$35,""),IF(ISNUMBER(SEARCH(SUBSTITUTE('Référentiel films'!$A$36,"’","'"),SUBSTITUTE(F3,"’","'"))),'Référentiel films'!$B$36,""),IF(ISNUMBER(SEARCH(SUBSTITUTE('Référentiel films'!$A$37,"’","'"),SUBSTITUTE(F3,"’","'"))),'Référentiel films'!$B$37,""),IF(ISNUMBER(SEARCH(SUBSTITUTE('Référentiel films'!$A$38,"’","'"),SUBSTITUTE(F3,"’","'"))),'Référentiel films'!$B$38,""),IF(ISNUMBER(SEARCH(SUBSTITUTE('Référentiel films'!$A$39,"’","'"),SUBSTITUTE(F3,"’","'"))),'Référentiel films'!$B$39,""),IF(ISNUMBER(SEARCH(SUBSTITUTE('Référentiel films'!$A$40,"’","'"),SUBSTITUTE(F3,"’","'"))),'Référentiel films'!$B$40,""),IF(ISNUMBER(SEARCH(SUBSTITUTE('Référentiel films'!$A$41,"’","'"),SUBSTITUTE(F3,"’","'"))),'Référentiel films'!$B$41,"")))</f>
        <v/>
      </c>
    </row>
    <row r="4" spans="1:21" ht="409.5" customHeight="1" x14ac:dyDescent="0.2">
      <c r="A4" s="1">
        <v>1947</v>
      </c>
      <c r="B4" s="1" t="s">
        <v>14</v>
      </c>
      <c r="C4" s="1" t="s">
        <v>95</v>
      </c>
      <c r="D4" s="1" t="s">
        <v>96</v>
      </c>
      <c r="E4" s="1"/>
      <c r="F4" s="11"/>
      <c r="G4" s="1"/>
      <c r="H4" s="12"/>
      <c r="I4" s="11"/>
      <c r="J4" s="11"/>
      <c r="K4" s="11"/>
      <c r="L4" s="1"/>
      <c r="M4" s="11"/>
      <c r="N4" s="11"/>
      <c r="O4" s="11"/>
      <c r="P4" s="11"/>
      <c r="Q4" s="11"/>
      <c r="R4" s="11"/>
      <c r="S4" s="11"/>
      <c r="T4" s="1" t="s">
        <v>97</v>
      </c>
      <c r="U4" s="28" t="str">
        <f>IF(F4="","",_xlfn.TEXTJOIN("; ",TRUE(),IF(ISNUMBER(SEARCH(SUBSTITUTE('Référentiel films'!$A$2,"’","'"),SUBSTITUTE(F4,"’","'"))),'Référentiel films'!$B$2,""),IF(ISNUMBER(SEARCH(SUBSTITUTE('Référentiel films'!$A$3,"’","'"),SUBSTITUTE(F4,"’","'"))),'Référentiel films'!$B$3,""),IF(ISNUMBER(SEARCH(SUBSTITUTE('Référentiel films'!$A$4,"’","'"),SUBSTITUTE(F4,"’","'"))),'Référentiel films'!$B$4,""),IF(ISNUMBER(SEARCH(SUBSTITUTE('Référentiel films'!$A$5,"’","'"),SUBSTITUTE(F4,"’","'"))),'Référentiel films'!$B$5,""),IF(ISNUMBER(SEARCH(SUBSTITUTE('Référentiel films'!$A$6,"’","'"),SUBSTITUTE(F4,"’","'"))),'Référentiel films'!$B$6,""),IF(ISNUMBER(SEARCH(SUBSTITUTE('Référentiel films'!$A$7,"’","'"),SUBSTITUTE(F4,"’","'"))),'Référentiel films'!$B$7,""),IF(ISNUMBER(SEARCH(SUBSTITUTE('Référentiel films'!$A$8,"’","'"),SUBSTITUTE(F4,"’","'"))),'Référentiel films'!$B$8,""),IF(ISNUMBER(SEARCH(SUBSTITUTE('Référentiel films'!$A$9,"’","'"),SUBSTITUTE(F4,"’","'"))),'Référentiel films'!$B$9,""),IF(ISNUMBER(SEARCH(SUBSTITUTE('Référentiel films'!$A$10,"’","'"),SUBSTITUTE(F4,"’","'"))),'Référentiel films'!$B$10,""),IF(ISNUMBER(SEARCH(SUBSTITUTE('Référentiel films'!$A$11,"’","'"),SUBSTITUTE(F4,"’","'"))),'Référentiel films'!$B$11,""),IF(ISNUMBER(SEARCH(SUBSTITUTE('Référentiel films'!$A$12,"’","'"),SUBSTITUTE(F4,"’","'"))),'Référentiel films'!$B$12,""),IF(ISNUMBER(SEARCH(SUBSTITUTE('Référentiel films'!$A$13,"’","'"),SUBSTITUTE(F4,"’","'"))),'Référentiel films'!$B$13,""),IF(ISNUMBER(SEARCH(SUBSTITUTE('Référentiel films'!$A$14,"’","'"),SUBSTITUTE(F4,"’","'"))),'Référentiel films'!$B$14,""),IF(ISNUMBER(SEARCH(SUBSTITUTE('Référentiel films'!$A$15,"’","'"),SUBSTITUTE(F4,"’","'"))),'Référentiel films'!$B$15,""),IF(ISNUMBER(SEARCH(SUBSTITUTE('Référentiel films'!$A$16,"’","'"),SUBSTITUTE(F4,"’","'"))),'Référentiel films'!$B$16,""),IF(ISNUMBER(SEARCH(SUBSTITUTE('Référentiel films'!$A$17,"’","'"),SUBSTITUTE(F4,"’","'"))),'Référentiel films'!$B$17,""),IF(ISNUMBER(SEARCH(SUBSTITUTE('Référentiel films'!$A$18,"’","'"),SUBSTITUTE(F4,"’","'"))),'Référentiel films'!$B$18,""),IF(ISNUMBER(SEARCH(SUBSTITUTE('Référentiel films'!$A$19,"’","'"),SUBSTITUTE(F4,"’","'"))),'Référentiel films'!$B$19,""),IF(ISNUMBER(SEARCH(SUBSTITUTE('Référentiel films'!$A$20,"’","'"),SUBSTITUTE(F4,"’","'"))),'Référentiel films'!$B$20,""),IF(ISNUMBER(SEARCH(SUBSTITUTE('Référentiel films'!$A$21,"’","'"),SUBSTITUTE(F4,"’","'"))),'Référentiel films'!$B$21,""),IF(ISNUMBER(SEARCH(SUBSTITUTE('Référentiel films'!$A$22,"’","'"),SUBSTITUTE(F4,"’","'"))),'Référentiel films'!$B$22,""),IF(ISNUMBER(SEARCH(SUBSTITUTE('Référentiel films'!$A$23,"’","'"),SUBSTITUTE(F4,"’","'"))),'Référentiel films'!$B$23,""),IF(ISNUMBER(SEARCH(SUBSTITUTE('Référentiel films'!$A$24,"’","'"),SUBSTITUTE(F4,"’","'"))),'Référentiel films'!$B$24,""),IF(ISNUMBER(SEARCH(SUBSTITUTE('Référentiel films'!$A$25,"’","'"),SUBSTITUTE(F4,"’","'"))),'Référentiel films'!$B$25,""),IF(ISNUMBER(SEARCH(SUBSTITUTE('Référentiel films'!$A$26,"’","'"),SUBSTITUTE(F4,"’","'"))),'Référentiel films'!$B$26,""),IF(ISNUMBER(SEARCH(SUBSTITUTE('Référentiel films'!$A$27,"’","'"),SUBSTITUTE(F4,"’","'"))),'Référentiel films'!$B$27,""),IF(ISNUMBER(SEARCH(SUBSTITUTE('Référentiel films'!$A$28,"’","'"),SUBSTITUTE(F4,"’","'"))),'Référentiel films'!$B$28,""),IF(ISNUMBER(SEARCH(SUBSTITUTE('Référentiel films'!$A$29,"’","'"),SUBSTITUTE(F4,"’","'"))),'Référentiel films'!$B$29,""),IF(ISNUMBER(SEARCH(SUBSTITUTE('Référentiel films'!$A$30,"’","'"),SUBSTITUTE(F4,"’","'"))),'Référentiel films'!$B$30,""),IF(ISNUMBER(SEARCH(SUBSTITUTE('Référentiel films'!$A$31,"’","'"),SUBSTITUTE(F4,"’","'"))),'Référentiel films'!$B$31,""),IF(ISNUMBER(SEARCH(SUBSTITUTE('Référentiel films'!$A$32,"’","'"),SUBSTITUTE(F4,"’","'"))),'Référentiel films'!$B$32,""),IF(ISNUMBER(SEARCH(SUBSTITUTE('Référentiel films'!$A$33,"’","'"),SUBSTITUTE(F4,"’","'"))),'Référentiel films'!$B$33,""),IF(ISNUMBER(SEARCH(SUBSTITUTE('Référentiel films'!$A$34,"’","'"),SUBSTITUTE(F4,"’","'"))),'Référentiel films'!$B$34,""),IF(ISNUMBER(SEARCH(SUBSTITUTE('Référentiel films'!$A$35,"’","'"),SUBSTITUTE(F4,"’","'"))),'Référentiel films'!$B$35,""),IF(ISNUMBER(SEARCH(SUBSTITUTE('Référentiel films'!$A$36,"’","'"),SUBSTITUTE(F4,"’","'"))),'Référentiel films'!$B$36,""),IF(ISNUMBER(SEARCH(SUBSTITUTE('Référentiel films'!$A$37,"’","'"),SUBSTITUTE(F4,"’","'"))),'Référentiel films'!$B$37,""),IF(ISNUMBER(SEARCH(SUBSTITUTE('Référentiel films'!$A$38,"’","'"),SUBSTITUTE(F4,"’","'"))),'Référentiel films'!$B$38,""),IF(ISNUMBER(SEARCH(SUBSTITUTE('Référentiel films'!$A$39,"’","'"),SUBSTITUTE(F4,"’","'"))),'Référentiel films'!$B$39,""),IF(ISNUMBER(SEARCH(SUBSTITUTE('Référentiel films'!$A$40,"’","'"),SUBSTITUTE(F4,"’","'"))),'Référentiel films'!$B$40,""),IF(ISNUMBER(SEARCH(SUBSTITUTE('Référentiel films'!$A$41,"’","'"),SUBSTITUTE(F4,"’","'"))),'Référentiel films'!$B$41,"")))</f>
        <v/>
      </c>
    </row>
    <row r="5" spans="1:21" ht="409.5" customHeight="1" x14ac:dyDescent="0.2">
      <c r="A5" s="1">
        <v>1948</v>
      </c>
      <c r="B5" s="1" t="s">
        <v>14</v>
      </c>
      <c r="C5" s="1" t="s">
        <v>98</v>
      </c>
      <c r="D5" s="13" t="s">
        <v>99</v>
      </c>
      <c r="E5" s="1"/>
      <c r="F5" s="11"/>
      <c r="G5" s="1"/>
      <c r="H5" s="12" t="s">
        <v>100</v>
      </c>
      <c r="I5" s="1" t="s">
        <v>101</v>
      </c>
      <c r="J5" s="14" t="s">
        <v>102</v>
      </c>
      <c r="K5" s="1" t="s">
        <v>103</v>
      </c>
      <c r="L5" s="1"/>
      <c r="M5" s="11"/>
      <c r="N5" s="11"/>
      <c r="O5" s="11"/>
      <c r="P5" s="11"/>
      <c r="Q5" s="11"/>
      <c r="R5" s="11"/>
      <c r="S5" s="11"/>
      <c r="T5" s="11"/>
      <c r="U5" s="28" t="str">
        <f>IF(F5="","",_xlfn.TEXTJOIN("; ",TRUE(),IF(ISNUMBER(SEARCH(SUBSTITUTE('Référentiel films'!$A$2,"’","'"),SUBSTITUTE(F5,"’","'"))),'Référentiel films'!$B$2,""),IF(ISNUMBER(SEARCH(SUBSTITUTE('Référentiel films'!$A$3,"’","'"),SUBSTITUTE(F5,"’","'"))),'Référentiel films'!$B$3,""),IF(ISNUMBER(SEARCH(SUBSTITUTE('Référentiel films'!$A$4,"’","'"),SUBSTITUTE(F5,"’","'"))),'Référentiel films'!$B$4,""),IF(ISNUMBER(SEARCH(SUBSTITUTE('Référentiel films'!$A$5,"’","'"),SUBSTITUTE(F5,"’","'"))),'Référentiel films'!$B$5,""),IF(ISNUMBER(SEARCH(SUBSTITUTE('Référentiel films'!$A$6,"’","'"),SUBSTITUTE(F5,"’","'"))),'Référentiel films'!$B$6,""),IF(ISNUMBER(SEARCH(SUBSTITUTE('Référentiel films'!$A$7,"’","'"),SUBSTITUTE(F5,"’","'"))),'Référentiel films'!$B$7,""),IF(ISNUMBER(SEARCH(SUBSTITUTE('Référentiel films'!$A$8,"’","'"),SUBSTITUTE(F5,"’","'"))),'Référentiel films'!$B$8,""),IF(ISNUMBER(SEARCH(SUBSTITUTE('Référentiel films'!$A$9,"’","'"),SUBSTITUTE(F5,"’","'"))),'Référentiel films'!$B$9,""),IF(ISNUMBER(SEARCH(SUBSTITUTE('Référentiel films'!$A$10,"’","'"),SUBSTITUTE(F5,"’","'"))),'Référentiel films'!$B$10,""),IF(ISNUMBER(SEARCH(SUBSTITUTE('Référentiel films'!$A$11,"’","'"),SUBSTITUTE(F5,"’","'"))),'Référentiel films'!$B$11,""),IF(ISNUMBER(SEARCH(SUBSTITUTE('Référentiel films'!$A$12,"’","'"),SUBSTITUTE(F5,"’","'"))),'Référentiel films'!$B$12,""),IF(ISNUMBER(SEARCH(SUBSTITUTE('Référentiel films'!$A$13,"’","'"),SUBSTITUTE(F5,"’","'"))),'Référentiel films'!$B$13,""),IF(ISNUMBER(SEARCH(SUBSTITUTE('Référentiel films'!$A$14,"’","'"),SUBSTITUTE(F5,"’","'"))),'Référentiel films'!$B$14,""),IF(ISNUMBER(SEARCH(SUBSTITUTE('Référentiel films'!$A$15,"’","'"),SUBSTITUTE(F5,"’","'"))),'Référentiel films'!$B$15,""),IF(ISNUMBER(SEARCH(SUBSTITUTE('Référentiel films'!$A$16,"’","'"),SUBSTITUTE(F5,"’","'"))),'Référentiel films'!$B$16,""),IF(ISNUMBER(SEARCH(SUBSTITUTE('Référentiel films'!$A$17,"’","'"),SUBSTITUTE(F5,"’","'"))),'Référentiel films'!$B$17,""),IF(ISNUMBER(SEARCH(SUBSTITUTE('Référentiel films'!$A$18,"’","'"),SUBSTITUTE(F5,"’","'"))),'Référentiel films'!$B$18,""),IF(ISNUMBER(SEARCH(SUBSTITUTE('Référentiel films'!$A$19,"’","'"),SUBSTITUTE(F5,"’","'"))),'Référentiel films'!$B$19,""),IF(ISNUMBER(SEARCH(SUBSTITUTE('Référentiel films'!$A$20,"’","'"),SUBSTITUTE(F5,"’","'"))),'Référentiel films'!$B$20,""),IF(ISNUMBER(SEARCH(SUBSTITUTE('Référentiel films'!$A$21,"’","'"),SUBSTITUTE(F5,"’","'"))),'Référentiel films'!$B$21,""),IF(ISNUMBER(SEARCH(SUBSTITUTE('Référentiel films'!$A$22,"’","'"),SUBSTITUTE(F5,"’","'"))),'Référentiel films'!$B$22,""),IF(ISNUMBER(SEARCH(SUBSTITUTE('Référentiel films'!$A$23,"’","'"),SUBSTITUTE(F5,"’","'"))),'Référentiel films'!$B$23,""),IF(ISNUMBER(SEARCH(SUBSTITUTE('Référentiel films'!$A$24,"’","'"),SUBSTITUTE(F5,"’","'"))),'Référentiel films'!$B$24,""),IF(ISNUMBER(SEARCH(SUBSTITUTE('Référentiel films'!$A$25,"’","'"),SUBSTITUTE(F5,"’","'"))),'Référentiel films'!$B$25,""),IF(ISNUMBER(SEARCH(SUBSTITUTE('Référentiel films'!$A$26,"’","'"),SUBSTITUTE(F5,"’","'"))),'Référentiel films'!$B$26,""),IF(ISNUMBER(SEARCH(SUBSTITUTE('Référentiel films'!$A$27,"’","'"),SUBSTITUTE(F5,"’","'"))),'Référentiel films'!$B$27,""),IF(ISNUMBER(SEARCH(SUBSTITUTE('Référentiel films'!$A$28,"’","'"),SUBSTITUTE(F5,"’","'"))),'Référentiel films'!$B$28,""),IF(ISNUMBER(SEARCH(SUBSTITUTE('Référentiel films'!$A$29,"’","'"),SUBSTITUTE(F5,"’","'"))),'Référentiel films'!$B$29,""),IF(ISNUMBER(SEARCH(SUBSTITUTE('Référentiel films'!$A$30,"’","'"),SUBSTITUTE(F5,"’","'"))),'Référentiel films'!$B$30,""),IF(ISNUMBER(SEARCH(SUBSTITUTE('Référentiel films'!$A$31,"’","'"),SUBSTITUTE(F5,"’","'"))),'Référentiel films'!$B$31,""),IF(ISNUMBER(SEARCH(SUBSTITUTE('Référentiel films'!$A$32,"’","'"),SUBSTITUTE(F5,"’","'"))),'Référentiel films'!$B$32,""),IF(ISNUMBER(SEARCH(SUBSTITUTE('Référentiel films'!$A$33,"’","'"),SUBSTITUTE(F5,"’","'"))),'Référentiel films'!$B$33,""),IF(ISNUMBER(SEARCH(SUBSTITUTE('Référentiel films'!$A$34,"’","'"),SUBSTITUTE(F5,"’","'"))),'Référentiel films'!$B$34,""),IF(ISNUMBER(SEARCH(SUBSTITUTE('Référentiel films'!$A$35,"’","'"),SUBSTITUTE(F5,"’","'"))),'Référentiel films'!$B$35,""),IF(ISNUMBER(SEARCH(SUBSTITUTE('Référentiel films'!$A$36,"’","'"),SUBSTITUTE(F5,"’","'"))),'Référentiel films'!$B$36,""),IF(ISNUMBER(SEARCH(SUBSTITUTE('Référentiel films'!$A$37,"’","'"),SUBSTITUTE(F5,"’","'"))),'Référentiel films'!$B$37,""),IF(ISNUMBER(SEARCH(SUBSTITUTE('Référentiel films'!$A$38,"’","'"),SUBSTITUTE(F5,"’","'"))),'Référentiel films'!$B$38,""),IF(ISNUMBER(SEARCH(SUBSTITUTE('Référentiel films'!$A$39,"’","'"),SUBSTITUTE(F5,"’","'"))),'Référentiel films'!$B$39,""),IF(ISNUMBER(SEARCH(SUBSTITUTE('Référentiel films'!$A$40,"’","'"),SUBSTITUTE(F5,"’","'"))),'Référentiel films'!$B$40,""),IF(ISNUMBER(SEARCH(SUBSTITUTE('Référentiel films'!$A$41,"’","'"),SUBSTITUTE(F5,"’","'"))),'Référentiel films'!$B$41,"")))</f>
        <v/>
      </c>
    </row>
    <row r="6" spans="1:21" ht="409.5" customHeight="1" x14ac:dyDescent="0.2">
      <c r="A6" s="1">
        <v>1949</v>
      </c>
      <c r="B6" s="1" t="s">
        <v>25</v>
      </c>
      <c r="C6" s="1" t="s">
        <v>104</v>
      </c>
      <c r="D6" s="13" t="s">
        <v>105</v>
      </c>
      <c r="E6" s="1"/>
      <c r="F6" s="11"/>
      <c r="G6" s="1"/>
      <c r="H6" s="12" t="s">
        <v>106</v>
      </c>
      <c r="I6" s="12"/>
      <c r="J6" s="12"/>
      <c r="K6" s="12"/>
      <c r="L6" s="1"/>
      <c r="M6" s="11" t="s">
        <v>107</v>
      </c>
      <c r="N6" s="11" t="s">
        <v>108</v>
      </c>
      <c r="O6" s="11"/>
      <c r="P6" s="11"/>
      <c r="Q6" s="11"/>
      <c r="R6" s="11"/>
      <c r="S6" s="11"/>
      <c r="T6" s="11"/>
      <c r="U6" s="28" t="str">
        <f>IF(F6="","",_xlfn.TEXTJOIN("; ",TRUE(),IF(ISNUMBER(SEARCH(SUBSTITUTE('Référentiel films'!$A$2,"’","'"),SUBSTITUTE(F6,"’","'"))),'Référentiel films'!$B$2,""),IF(ISNUMBER(SEARCH(SUBSTITUTE('Référentiel films'!$A$3,"’","'"),SUBSTITUTE(F6,"’","'"))),'Référentiel films'!$B$3,""),IF(ISNUMBER(SEARCH(SUBSTITUTE('Référentiel films'!$A$4,"’","'"),SUBSTITUTE(F6,"’","'"))),'Référentiel films'!$B$4,""),IF(ISNUMBER(SEARCH(SUBSTITUTE('Référentiel films'!$A$5,"’","'"),SUBSTITUTE(F6,"’","'"))),'Référentiel films'!$B$5,""),IF(ISNUMBER(SEARCH(SUBSTITUTE('Référentiel films'!$A$6,"’","'"),SUBSTITUTE(F6,"’","'"))),'Référentiel films'!$B$6,""),IF(ISNUMBER(SEARCH(SUBSTITUTE('Référentiel films'!$A$7,"’","'"),SUBSTITUTE(F6,"’","'"))),'Référentiel films'!$B$7,""),IF(ISNUMBER(SEARCH(SUBSTITUTE('Référentiel films'!$A$8,"’","'"),SUBSTITUTE(F6,"’","'"))),'Référentiel films'!$B$8,""),IF(ISNUMBER(SEARCH(SUBSTITUTE('Référentiel films'!$A$9,"’","'"),SUBSTITUTE(F6,"’","'"))),'Référentiel films'!$B$9,""),IF(ISNUMBER(SEARCH(SUBSTITUTE('Référentiel films'!$A$10,"’","'"),SUBSTITUTE(F6,"’","'"))),'Référentiel films'!$B$10,""),IF(ISNUMBER(SEARCH(SUBSTITUTE('Référentiel films'!$A$11,"’","'"),SUBSTITUTE(F6,"’","'"))),'Référentiel films'!$B$11,""),IF(ISNUMBER(SEARCH(SUBSTITUTE('Référentiel films'!$A$12,"’","'"),SUBSTITUTE(F6,"’","'"))),'Référentiel films'!$B$12,""),IF(ISNUMBER(SEARCH(SUBSTITUTE('Référentiel films'!$A$13,"’","'"),SUBSTITUTE(F6,"’","'"))),'Référentiel films'!$B$13,""),IF(ISNUMBER(SEARCH(SUBSTITUTE('Référentiel films'!$A$14,"’","'"),SUBSTITUTE(F6,"’","'"))),'Référentiel films'!$B$14,""),IF(ISNUMBER(SEARCH(SUBSTITUTE('Référentiel films'!$A$15,"’","'"),SUBSTITUTE(F6,"’","'"))),'Référentiel films'!$B$15,""),IF(ISNUMBER(SEARCH(SUBSTITUTE('Référentiel films'!$A$16,"’","'"),SUBSTITUTE(F6,"’","'"))),'Référentiel films'!$B$16,""),IF(ISNUMBER(SEARCH(SUBSTITUTE('Référentiel films'!$A$17,"’","'"),SUBSTITUTE(F6,"’","'"))),'Référentiel films'!$B$17,""),IF(ISNUMBER(SEARCH(SUBSTITUTE('Référentiel films'!$A$18,"’","'"),SUBSTITUTE(F6,"’","'"))),'Référentiel films'!$B$18,""),IF(ISNUMBER(SEARCH(SUBSTITUTE('Référentiel films'!$A$19,"’","'"),SUBSTITUTE(F6,"’","'"))),'Référentiel films'!$B$19,""),IF(ISNUMBER(SEARCH(SUBSTITUTE('Référentiel films'!$A$20,"’","'"),SUBSTITUTE(F6,"’","'"))),'Référentiel films'!$B$20,""),IF(ISNUMBER(SEARCH(SUBSTITUTE('Référentiel films'!$A$21,"’","'"),SUBSTITUTE(F6,"’","'"))),'Référentiel films'!$B$21,""),IF(ISNUMBER(SEARCH(SUBSTITUTE('Référentiel films'!$A$22,"’","'"),SUBSTITUTE(F6,"’","'"))),'Référentiel films'!$B$22,""),IF(ISNUMBER(SEARCH(SUBSTITUTE('Référentiel films'!$A$23,"’","'"),SUBSTITUTE(F6,"’","'"))),'Référentiel films'!$B$23,""),IF(ISNUMBER(SEARCH(SUBSTITUTE('Référentiel films'!$A$24,"’","'"),SUBSTITUTE(F6,"’","'"))),'Référentiel films'!$B$24,""),IF(ISNUMBER(SEARCH(SUBSTITUTE('Référentiel films'!$A$25,"’","'"),SUBSTITUTE(F6,"’","'"))),'Référentiel films'!$B$25,""),IF(ISNUMBER(SEARCH(SUBSTITUTE('Référentiel films'!$A$26,"’","'"),SUBSTITUTE(F6,"’","'"))),'Référentiel films'!$B$26,""),IF(ISNUMBER(SEARCH(SUBSTITUTE('Référentiel films'!$A$27,"’","'"),SUBSTITUTE(F6,"’","'"))),'Référentiel films'!$B$27,""),IF(ISNUMBER(SEARCH(SUBSTITUTE('Référentiel films'!$A$28,"’","'"),SUBSTITUTE(F6,"’","'"))),'Référentiel films'!$B$28,""),IF(ISNUMBER(SEARCH(SUBSTITUTE('Référentiel films'!$A$29,"’","'"),SUBSTITUTE(F6,"’","'"))),'Référentiel films'!$B$29,""),IF(ISNUMBER(SEARCH(SUBSTITUTE('Référentiel films'!$A$30,"’","'"),SUBSTITUTE(F6,"’","'"))),'Référentiel films'!$B$30,""),IF(ISNUMBER(SEARCH(SUBSTITUTE('Référentiel films'!$A$31,"’","'"),SUBSTITUTE(F6,"’","'"))),'Référentiel films'!$B$31,""),IF(ISNUMBER(SEARCH(SUBSTITUTE('Référentiel films'!$A$32,"’","'"),SUBSTITUTE(F6,"’","'"))),'Référentiel films'!$B$32,""),IF(ISNUMBER(SEARCH(SUBSTITUTE('Référentiel films'!$A$33,"’","'"),SUBSTITUTE(F6,"’","'"))),'Référentiel films'!$B$33,""),IF(ISNUMBER(SEARCH(SUBSTITUTE('Référentiel films'!$A$34,"’","'"),SUBSTITUTE(F6,"’","'"))),'Référentiel films'!$B$34,""),IF(ISNUMBER(SEARCH(SUBSTITUTE('Référentiel films'!$A$35,"’","'"),SUBSTITUTE(F6,"’","'"))),'Référentiel films'!$B$35,""),IF(ISNUMBER(SEARCH(SUBSTITUTE('Référentiel films'!$A$36,"’","'"),SUBSTITUTE(F6,"’","'"))),'Référentiel films'!$B$36,""),IF(ISNUMBER(SEARCH(SUBSTITUTE('Référentiel films'!$A$37,"’","'"),SUBSTITUTE(F6,"’","'"))),'Référentiel films'!$B$37,""),IF(ISNUMBER(SEARCH(SUBSTITUTE('Référentiel films'!$A$38,"’","'"),SUBSTITUTE(F6,"’","'"))),'Référentiel films'!$B$38,""),IF(ISNUMBER(SEARCH(SUBSTITUTE('Référentiel films'!$A$39,"’","'"),SUBSTITUTE(F6,"’","'"))),'Référentiel films'!$B$39,""),IF(ISNUMBER(SEARCH(SUBSTITUTE('Référentiel films'!$A$40,"’","'"),SUBSTITUTE(F6,"’","'"))),'Référentiel films'!$B$40,""),IF(ISNUMBER(SEARCH(SUBSTITUTE('Référentiel films'!$A$41,"’","'"),SUBSTITUTE(F6,"’","'"))),'Référentiel films'!$B$41,"")))</f>
        <v/>
      </c>
    </row>
    <row r="7" spans="1:21" ht="256" customHeight="1" x14ac:dyDescent="0.2">
      <c r="A7" s="1">
        <v>1950</v>
      </c>
      <c r="B7" s="1" t="s">
        <v>25</v>
      </c>
      <c r="C7" s="1" t="s">
        <v>109</v>
      </c>
      <c r="D7" s="1" t="s">
        <v>110</v>
      </c>
      <c r="E7" s="1" t="s">
        <v>111</v>
      </c>
      <c r="F7" s="11"/>
      <c r="G7" s="1"/>
      <c r="H7" s="11"/>
      <c r="I7" s="12"/>
      <c r="J7" s="12"/>
      <c r="K7" s="12"/>
      <c r="L7" s="1"/>
      <c r="M7" s="11" t="s">
        <v>107</v>
      </c>
      <c r="N7" s="11" t="s">
        <v>108</v>
      </c>
      <c r="O7" s="11"/>
      <c r="P7" s="11"/>
      <c r="Q7" s="11"/>
      <c r="R7" s="11" t="s">
        <v>112</v>
      </c>
      <c r="S7" s="11"/>
      <c r="T7" s="11"/>
      <c r="U7" s="28" t="str">
        <f>IF(F7="","",_xlfn.TEXTJOIN("; ",TRUE(),IF(ISNUMBER(SEARCH(SUBSTITUTE('Référentiel films'!$A$2,"’","'"),SUBSTITUTE(F7,"’","'"))),'Référentiel films'!$B$2,""),IF(ISNUMBER(SEARCH(SUBSTITUTE('Référentiel films'!$A$3,"’","'"),SUBSTITUTE(F7,"’","'"))),'Référentiel films'!$B$3,""),IF(ISNUMBER(SEARCH(SUBSTITUTE('Référentiel films'!$A$4,"’","'"),SUBSTITUTE(F7,"’","'"))),'Référentiel films'!$B$4,""),IF(ISNUMBER(SEARCH(SUBSTITUTE('Référentiel films'!$A$5,"’","'"),SUBSTITUTE(F7,"’","'"))),'Référentiel films'!$B$5,""),IF(ISNUMBER(SEARCH(SUBSTITUTE('Référentiel films'!$A$6,"’","'"),SUBSTITUTE(F7,"’","'"))),'Référentiel films'!$B$6,""),IF(ISNUMBER(SEARCH(SUBSTITUTE('Référentiel films'!$A$7,"’","'"),SUBSTITUTE(F7,"’","'"))),'Référentiel films'!$B$7,""),IF(ISNUMBER(SEARCH(SUBSTITUTE('Référentiel films'!$A$8,"’","'"),SUBSTITUTE(F7,"’","'"))),'Référentiel films'!$B$8,""),IF(ISNUMBER(SEARCH(SUBSTITUTE('Référentiel films'!$A$9,"’","'"),SUBSTITUTE(F7,"’","'"))),'Référentiel films'!$B$9,""),IF(ISNUMBER(SEARCH(SUBSTITUTE('Référentiel films'!$A$10,"’","'"),SUBSTITUTE(F7,"’","'"))),'Référentiel films'!$B$10,""),IF(ISNUMBER(SEARCH(SUBSTITUTE('Référentiel films'!$A$11,"’","'"),SUBSTITUTE(F7,"’","'"))),'Référentiel films'!$B$11,""),IF(ISNUMBER(SEARCH(SUBSTITUTE('Référentiel films'!$A$12,"’","'"),SUBSTITUTE(F7,"’","'"))),'Référentiel films'!$B$12,""),IF(ISNUMBER(SEARCH(SUBSTITUTE('Référentiel films'!$A$13,"’","'"),SUBSTITUTE(F7,"’","'"))),'Référentiel films'!$B$13,""),IF(ISNUMBER(SEARCH(SUBSTITUTE('Référentiel films'!$A$14,"’","'"),SUBSTITUTE(F7,"’","'"))),'Référentiel films'!$B$14,""),IF(ISNUMBER(SEARCH(SUBSTITUTE('Référentiel films'!$A$15,"’","'"),SUBSTITUTE(F7,"’","'"))),'Référentiel films'!$B$15,""),IF(ISNUMBER(SEARCH(SUBSTITUTE('Référentiel films'!$A$16,"’","'"),SUBSTITUTE(F7,"’","'"))),'Référentiel films'!$B$16,""),IF(ISNUMBER(SEARCH(SUBSTITUTE('Référentiel films'!$A$17,"’","'"),SUBSTITUTE(F7,"’","'"))),'Référentiel films'!$B$17,""),IF(ISNUMBER(SEARCH(SUBSTITUTE('Référentiel films'!$A$18,"’","'"),SUBSTITUTE(F7,"’","'"))),'Référentiel films'!$B$18,""),IF(ISNUMBER(SEARCH(SUBSTITUTE('Référentiel films'!$A$19,"’","'"),SUBSTITUTE(F7,"’","'"))),'Référentiel films'!$B$19,""),IF(ISNUMBER(SEARCH(SUBSTITUTE('Référentiel films'!$A$20,"’","'"),SUBSTITUTE(F7,"’","'"))),'Référentiel films'!$B$20,""),IF(ISNUMBER(SEARCH(SUBSTITUTE('Référentiel films'!$A$21,"’","'"),SUBSTITUTE(F7,"’","'"))),'Référentiel films'!$B$21,""),IF(ISNUMBER(SEARCH(SUBSTITUTE('Référentiel films'!$A$22,"’","'"),SUBSTITUTE(F7,"’","'"))),'Référentiel films'!$B$22,""),IF(ISNUMBER(SEARCH(SUBSTITUTE('Référentiel films'!$A$23,"’","'"),SUBSTITUTE(F7,"’","'"))),'Référentiel films'!$B$23,""),IF(ISNUMBER(SEARCH(SUBSTITUTE('Référentiel films'!$A$24,"’","'"),SUBSTITUTE(F7,"’","'"))),'Référentiel films'!$B$24,""),IF(ISNUMBER(SEARCH(SUBSTITUTE('Référentiel films'!$A$25,"’","'"),SUBSTITUTE(F7,"’","'"))),'Référentiel films'!$B$25,""),IF(ISNUMBER(SEARCH(SUBSTITUTE('Référentiel films'!$A$26,"’","'"),SUBSTITUTE(F7,"’","'"))),'Référentiel films'!$B$26,""),IF(ISNUMBER(SEARCH(SUBSTITUTE('Référentiel films'!$A$27,"’","'"),SUBSTITUTE(F7,"’","'"))),'Référentiel films'!$B$27,""),IF(ISNUMBER(SEARCH(SUBSTITUTE('Référentiel films'!$A$28,"’","'"),SUBSTITUTE(F7,"’","'"))),'Référentiel films'!$B$28,""),IF(ISNUMBER(SEARCH(SUBSTITUTE('Référentiel films'!$A$29,"’","'"),SUBSTITUTE(F7,"’","'"))),'Référentiel films'!$B$29,""),IF(ISNUMBER(SEARCH(SUBSTITUTE('Référentiel films'!$A$30,"’","'"),SUBSTITUTE(F7,"’","'"))),'Référentiel films'!$B$30,""),IF(ISNUMBER(SEARCH(SUBSTITUTE('Référentiel films'!$A$31,"’","'"),SUBSTITUTE(F7,"’","'"))),'Référentiel films'!$B$31,""),IF(ISNUMBER(SEARCH(SUBSTITUTE('Référentiel films'!$A$32,"’","'"),SUBSTITUTE(F7,"’","'"))),'Référentiel films'!$B$32,""),IF(ISNUMBER(SEARCH(SUBSTITUTE('Référentiel films'!$A$33,"’","'"),SUBSTITUTE(F7,"’","'"))),'Référentiel films'!$B$33,""),IF(ISNUMBER(SEARCH(SUBSTITUTE('Référentiel films'!$A$34,"’","'"),SUBSTITUTE(F7,"’","'"))),'Référentiel films'!$B$34,""),IF(ISNUMBER(SEARCH(SUBSTITUTE('Référentiel films'!$A$35,"’","'"),SUBSTITUTE(F7,"’","'"))),'Référentiel films'!$B$35,""),IF(ISNUMBER(SEARCH(SUBSTITUTE('Référentiel films'!$A$36,"’","'"),SUBSTITUTE(F7,"’","'"))),'Référentiel films'!$B$36,""),IF(ISNUMBER(SEARCH(SUBSTITUTE('Référentiel films'!$A$37,"’","'"),SUBSTITUTE(F7,"’","'"))),'Référentiel films'!$B$37,""),IF(ISNUMBER(SEARCH(SUBSTITUTE('Référentiel films'!$A$38,"’","'"),SUBSTITUTE(F7,"’","'"))),'Référentiel films'!$B$38,""),IF(ISNUMBER(SEARCH(SUBSTITUTE('Référentiel films'!$A$39,"’","'"),SUBSTITUTE(F7,"’","'"))),'Référentiel films'!$B$39,""),IF(ISNUMBER(SEARCH(SUBSTITUTE('Référentiel films'!$A$40,"’","'"),SUBSTITUTE(F7,"’","'"))),'Référentiel films'!$B$40,""),IF(ISNUMBER(SEARCH(SUBSTITUTE('Référentiel films'!$A$41,"’","'"),SUBSTITUTE(F7,"’","'"))),'Référentiel films'!$B$41,"")))</f>
        <v/>
      </c>
    </row>
    <row r="8" spans="1:21" ht="369.75" customHeight="1" x14ac:dyDescent="0.2">
      <c r="A8" s="1">
        <v>1951</v>
      </c>
      <c r="B8" s="1" t="s">
        <v>25</v>
      </c>
      <c r="C8" s="1" t="s">
        <v>113</v>
      </c>
      <c r="D8" s="1" t="s">
        <v>114</v>
      </c>
      <c r="E8" s="1" t="s">
        <v>115</v>
      </c>
      <c r="F8" s="1"/>
      <c r="G8" s="11"/>
      <c r="H8" s="11"/>
      <c r="I8" s="11"/>
      <c r="J8" s="11"/>
      <c r="K8" s="11"/>
      <c r="L8" s="11"/>
      <c r="M8" s="11" t="s">
        <v>107</v>
      </c>
      <c r="N8" s="11" t="s">
        <v>108</v>
      </c>
      <c r="O8" s="11"/>
      <c r="P8" s="11"/>
      <c r="Q8" s="11"/>
      <c r="R8" s="11"/>
      <c r="S8" s="11"/>
      <c r="T8" s="11"/>
      <c r="U8" s="28" t="str">
        <f>IF(F8="","",_xlfn.TEXTJOIN("; ",TRUE(),IF(ISNUMBER(SEARCH(SUBSTITUTE('Référentiel films'!$A$2,"’","'"),SUBSTITUTE(F8,"’","'"))),'Référentiel films'!$B$2,""),IF(ISNUMBER(SEARCH(SUBSTITUTE('Référentiel films'!$A$3,"’","'"),SUBSTITUTE(F8,"’","'"))),'Référentiel films'!$B$3,""),IF(ISNUMBER(SEARCH(SUBSTITUTE('Référentiel films'!$A$4,"’","'"),SUBSTITUTE(F8,"’","'"))),'Référentiel films'!$B$4,""),IF(ISNUMBER(SEARCH(SUBSTITUTE('Référentiel films'!$A$5,"’","'"),SUBSTITUTE(F8,"’","'"))),'Référentiel films'!$B$5,""),IF(ISNUMBER(SEARCH(SUBSTITUTE('Référentiel films'!$A$6,"’","'"),SUBSTITUTE(F8,"’","'"))),'Référentiel films'!$B$6,""),IF(ISNUMBER(SEARCH(SUBSTITUTE('Référentiel films'!$A$7,"’","'"),SUBSTITUTE(F8,"’","'"))),'Référentiel films'!$B$7,""),IF(ISNUMBER(SEARCH(SUBSTITUTE('Référentiel films'!$A$8,"’","'"),SUBSTITUTE(F8,"’","'"))),'Référentiel films'!$B$8,""),IF(ISNUMBER(SEARCH(SUBSTITUTE('Référentiel films'!$A$9,"’","'"),SUBSTITUTE(F8,"’","'"))),'Référentiel films'!$B$9,""),IF(ISNUMBER(SEARCH(SUBSTITUTE('Référentiel films'!$A$10,"’","'"),SUBSTITUTE(F8,"’","'"))),'Référentiel films'!$B$10,""),IF(ISNUMBER(SEARCH(SUBSTITUTE('Référentiel films'!$A$11,"’","'"),SUBSTITUTE(F8,"’","'"))),'Référentiel films'!$B$11,""),IF(ISNUMBER(SEARCH(SUBSTITUTE('Référentiel films'!$A$12,"’","'"),SUBSTITUTE(F8,"’","'"))),'Référentiel films'!$B$12,""),IF(ISNUMBER(SEARCH(SUBSTITUTE('Référentiel films'!$A$13,"’","'"),SUBSTITUTE(F8,"’","'"))),'Référentiel films'!$B$13,""),IF(ISNUMBER(SEARCH(SUBSTITUTE('Référentiel films'!$A$14,"’","'"),SUBSTITUTE(F8,"’","'"))),'Référentiel films'!$B$14,""),IF(ISNUMBER(SEARCH(SUBSTITUTE('Référentiel films'!$A$15,"’","'"),SUBSTITUTE(F8,"’","'"))),'Référentiel films'!$B$15,""),IF(ISNUMBER(SEARCH(SUBSTITUTE('Référentiel films'!$A$16,"’","'"),SUBSTITUTE(F8,"’","'"))),'Référentiel films'!$B$16,""),IF(ISNUMBER(SEARCH(SUBSTITUTE('Référentiel films'!$A$17,"’","'"),SUBSTITUTE(F8,"’","'"))),'Référentiel films'!$B$17,""),IF(ISNUMBER(SEARCH(SUBSTITUTE('Référentiel films'!$A$18,"’","'"),SUBSTITUTE(F8,"’","'"))),'Référentiel films'!$B$18,""),IF(ISNUMBER(SEARCH(SUBSTITUTE('Référentiel films'!$A$19,"’","'"),SUBSTITUTE(F8,"’","'"))),'Référentiel films'!$B$19,""),IF(ISNUMBER(SEARCH(SUBSTITUTE('Référentiel films'!$A$20,"’","'"),SUBSTITUTE(F8,"’","'"))),'Référentiel films'!$B$20,""),IF(ISNUMBER(SEARCH(SUBSTITUTE('Référentiel films'!$A$21,"’","'"),SUBSTITUTE(F8,"’","'"))),'Référentiel films'!$B$21,""),IF(ISNUMBER(SEARCH(SUBSTITUTE('Référentiel films'!$A$22,"’","'"),SUBSTITUTE(F8,"’","'"))),'Référentiel films'!$B$22,""),IF(ISNUMBER(SEARCH(SUBSTITUTE('Référentiel films'!$A$23,"’","'"),SUBSTITUTE(F8,"’","'"))),'Référentiel films'!$B$23,""),IF(ISNUMBER(SEARCH(SUBSTITUTE('Référentiel films'!$A$24,"’","'"),SUBSTITUTE(F8,"’","'"))),'Référentiel films'!$B$24,""),IF(ISNUMBER(SEARCH(SUBSTITUTE('Référentiel films'!$A$25,"’","'"),SUBSTITUTE(F8,"’","'"))),'Référentiel films'!$B$25,""),IF(ISNUMBER(SEARCH(SUBSTITUTE('Référentiel films'!$A$26,"’","'"),SUBSTITUTE(F8,"’","'"))),'Référentiel films'!$B$26,""),IF(ISNUMBER(SEARCH(SUBSTITUTE('Référentiel films'!$A$27,"’","'"),SUBSTITUTE(F8,"’","'"))),'Référentiel films'!$B$27,""),IF(ISNUMBER(SEARCH(SUBSTITUTE('Référentiel films'!$A$28,"’","'"),SUBSTITUTE(F8,"’","'"))),'Référentiel films'!$B$28,""),IF(ISNUMBER(SEARCH(SUBSTITUTE('Référentiel films'!$A$29,"’","'"),SUBSTITUTE(F8,"’","'"))),'Référentiel films'!$B$29,""),IF(ISNUMBER(SEARCH(SUBSTITUTE('Référentiel films'!$A$30,"’","'"),SUBSTITUTE(F8,"’","'"))),'Référentiel films'!$B$30,""),IF(ISNUMBER(SEARCH(SUBSTITUTE('Référentiel films'!$A$31,"’","'"),SUBSTITUTE(F8,"’","'"))),'Référentiel films'!$B$31,""),IF(ISNUMBER(SEARCH(SUBSTITUTE('Référentiel films'!$A$32,"’","'"),SUBSTITUTE(F8,"’","'"))),'Référentiel films'!$B$32,""),IF(ISNUMBER(SEARCH(SUBSTITUTE('Référentiel films'!$A$33,"’","'"),SUBSTITUTE(F8,"’","'"))),'Référentiel films'!$B$33,""),IF(ISNUMBER(SEARCH(SUBSTITUTE('Référentiel films'!$A$34,"’","'"),SUBSTITUTE(F8,"’","'"))),'Référentiel films'!$B$34,""),IF(ISNUMBER(SEARCH(SUBSTITUTE('Référentiel films'!$A$35,"’","'"),SUBSTITUTE(F8,"’","'"))),'Référentiel films'!$B$35,""),IF(ISNUMBER(SEARCH(SUBSTITUTE('Référentiel films'!$A$36,"’","'"),SUBSTITUTE(F8,"’","'"))),'Référentiel films'!$B$36,""),IF(ISNUMBER(SEARCH(SUBSTITUTE('Référentiel films'!$A$37,"’","'"),SUBSTITUTE(F8,"’","'"))),'Référentiel films'!$B$37,""),IF(ISNUMBER(SEARCH(SUBSTITUTE('Référentiel films'!$A$38,"’","'"),SUBSTITUTE(F8,"’","'"))),'Référentiel films'!$B$38,""),IF(ISNUMBER(SEARCH(SUBSTITUTE('Référentiel films'!$A$39,"’","'"),SUBSTITUTE(F8,"’","'"))),'Référentiel films'!$B$39,""),IF(ISNUMBER(SEARCH(SUBSTITUTE('Référentiel films'!$A$40,"’","'"),SUBSTITUTE(F8,"’","'"))),'Référentiel films'!$B$40,""),IF(ISNUMBER(SEARCH(SUBSTITUTE('Référentiel films'!$A$41,"’","'"),SUBSTITUTE(F8,"’","'"))),'Référentiel films'!$B$41,"")))</f>
        <v/>
      </c>
    </row>
    <row r="9" spans="1:21" ht="284.25" customHeight="1" x14ac:dyDescent="0.2">
      <c r="A9" s="1">
        <v>1952</v>
      </c>
      <c r="B9" s="1" t="s">
        <v>25</v>
      </c>
      <c r="C9" s="1" t="s">
        <v>116</v>
      </c>
      <c r="D9" s="1" t="s">
        <v>117</v>
      </c>
      <c r="E9" s="1" t="s">
        <v>118</v>
      </c>
      <c r="F9" s="1"/>
      <c r="G9" s="11"/>
      <c r="H9" s="11"/>
      <c r="I9" s="11"/>
      <c r="J9" s="11"/>
      <c r="K9" s="11"/>
      <c r="L9" s="31" t="s">
        <v>119</v>
      </c>
      <c r="M9" s="1" t="s">
        <v>120</v>
      </c>
      <c r="N9" s="1" t="s">
        <v>121</v>
      </c>
      <c r="O9" s="11" t="s">
        <v>107</v>
      </c>
      <c r="P9" s="11" t="s">
        <v>108</v>
      </c>
      <c r="Q9" s="1"/>
      <c r="R9" s="1"/>
      <c r="S9" s="1"/>
      <c r="T9" s="11"/>
      <c r="U9" s="28" t="str">
        <f>IF(F9="","",_xlfn.TEXTJOIN("; ",TRUE(),IF(ISNUMBER(SEARCH(SUBSTITUTE('Référentiel films'!$A$2,"’","'"),SUBSTITUTE(F9,"’","'"))),'Référentiel films'!$B$2,""),IF(ISNUMBER(SEARCH(SUBSTITUTE('Référentiel films'!$A$3,"’","'"),SUBSTITUTE(F9,"’","'"))),'Référentiel films'!$B$3,""),IF(ISNUMBER(SEARCH(SUBSTITUTE('Référentiel films'!$A$4,"’","'"),SUBSTITUTE(F9,"’","'"))),'Référentiel films'!$B$4,""),IF(ISNUMBER(SEARCH(SUBSTITUTE('Référentiel films'!$A$5,"’","'"),SUBSTITUTE(F9,"’","'"))),'Référentiel films'!$B$5,""),IF(ISNUMBER(SEARCH(SUBSTITUTE('Référentiel films'!$A$6,"’","'"),SUBSTITUTE(F9,"’","'"))),'Référentiel films'!$B$6,""),IF(ISNUMBER(SEARCH(SUBSTITUTE('Référentiel films'!$A$7,"’","'"),SUBSTITUTE(F9,"’","'"))),'Référentiel films'!$B$7,""),IF(ISNUMBER(SEARCH(SUBSTITUTE('Référentiel films'!$A$8,"’","'"),SUBSTITUTE(F9,"’","'"))),'Référentiel films'!$B$8,""),IF(ISNUMBER(SEARCH(SUBSTITUTE('Référentiel films'!$A$9,"’","'"),SUBSTITUTE(F9,"’","'"))),'Référentiel films'!$B$9,""),IF(ISNUMBER(SEARCH(SUBSTITUTE('Référentiel films'!$A$10,"’","'"),SUBSTITUTE(F9,"’","'"))),'Référentiel films'!$B$10,""),IF(ISNUMBER(SEARCH(SUBSTITUTE('Référentiel films'!$A$11,"’","'"),SUBSTITUTE(F9,"’","'"))),'Référentiel films'!$B$11,""),IF(ISNUMBER(SEARCH(SUBSTITUTE('Référentiel films'!$A$12,"’","'"),SUBSTITUTE(F9,"’","'"))),'Référentiel films'!$B$12,""),IF(ISNUMBER(SEARCH(SUBSTITUTE('Référentiel films'!$A$13,"’","'"),SUBSTITUTE(F9,"’","'"))),'Référentiel films'!$B$13,""),IF(ISNUMBER(SEARCH(SUBSTITUTE('Référentiel films'!$A$14,"’","'"),SUBSTITUTE(F9,"’","'"))),'Référentiel films'!$B$14,""),IF(ISNUMBER(SEARCH(SUBSTITUTE('Référentiel films'!$A$15,"’","'"),SUBSTITUTE(F9,"’","'"))),'Référentiel films'!$B$15,""),IF(ISNUMBER(SEARCH(SUBSTITUTE('Référentiel films'!$A$16,"’","'"),SUBSTITUTE(F9,"’","'"))),'Référentiel films'!$B$16,""),IF(ISNUMBER(SEARCH(SUBSTITUTE('Référentiel films'!$A$17,"’","'"),SUBSTITUTE(F9,"’","'"))),'Référentiel films'!$B$17,""),IF(ISNUMBER(SEARCH(SUBSTITUTE('Référentiel films'!$A$18,"’","'"),SUBSTITUTE(F9,"’","'"))),'Référentiel films'!$B$18,""),IF(ISNUMBER(SEARCH(SUBSTITUTE('Référentiel films'!$A$19,"’","'"),SUBSTITUTE(F9,"’","'"))),'Référentiel films'!$B$19,""),IF(ISNUMBER(SEARCH(SUBSTITUTE('Référentiel films'!$A$20,"’","'"),SUBSTITUTE(F9,"’","'"))),'Référentiel films'!$B$20,""),IF(ISNUMBER(SEARCH(SUBSTITUTE('Référentiel films'!$A$21,"’","'"),SUBSTITUTE(F9,"’","'"))),'Référentiel films'!$B$21,""),IF(ISNUMBER(SEARCH(SUBSTITUTE('Référentiel films'!$A$22,"’","'"),SUBSTITUTE(F9,"’","'"))),'Référentiel films'!$B$22,""),IF(ISNUMBER(SEARCH(SUBSTITUTE('Référentiel films'!$A$23,"’","'"),SUBSTITUTE(F9,"’","'"))),'Référentiel films'!$B$23,""),IF(ISNUMBER(SEARCH(SUBSTITUTE('Référentiel films'!$A$24,"’","'"),SUBSTITUTE(F9,"’","'"))),'Référentiel films'!$B$24,""),IF(ISNUMBER(SEARCH(SUBSTITUTE('Référentiel films'!$A$25,"’","'"),SUBSTITUTE(F9,"’","'"))),'Référentiel films'!$B$25,""),IF(ISNUMBER(SEARCH(SUBSTITUTE('Référentiel films'!$A$26,"’","'"),SUBSTITUTE(F9,"’","'"))),'Référentiel films'!$B$26,""),IF(ISNUMBER(SEARCH(SUBSTITUTE('Référentiel films'!$A$27,"’","'"),SUBSTITUTE(F9,"’","'"))),'Référentiel films'!$B$27,""),IF(ISNUMBER(SEARCH(SUBSTITUTE('Référentiel films'!$A$28,"’","'"),SUBSTITUTE(F9,"’","'"))),'Référentiel films'!$B$28,""),IF(ISNUMBER(SEARCH(SUBSTITUTE('Référentiel films'!$A$29,"’","'"),SUBSTITUTE(F9,"’","'"))),'Référentiel films'!$B$29,""),IF(ISNUMBER(SEARCH(SUBSTITUTE('Référentiel films'!$A$30,"’","'"),SUBSTITUTE(F9,"’","'"))),'Référentiel films'!$B$30,""),IF(ISNUMBER(SEARCH(SUBSTITUTE('Référentiel films'!$A$31,"’","'"),SUBSTITUTE(F9,"’","'"))),'Référentiel films'!$B$31,""),IF(ISNUMBER(SEARCH(SUBSTITUTE('Référentiel films'!$A$32,"’","'"),SUBSTITUTE(F9,"’","'"))),'Référentiel films'!$B$32,""),IF(ISNUMBER(SEARCH(SUBSTITUTE('Référentiel films'!$A$33,"’","'"),SUBSTITUTE(F9,"’","'"))),'Référentiel films'!$B$33,""),IF(ISNUMBER(SEARCH(SUBSTITUTE('Référentiel films'!$A$34,"’","'"),SUBSTITUTE(F9,"’","'"))),'Référentiel films'!$B$34,""),IF(ISNUMBER(SEARCH(SUBSTITUTE('Référentiel films'!$A$35,"’","'"),SUBSTITUTE(F9,"’","'"))),'Référentiel films'!$B$35,""),IF(ISNUMBER(SEARCH(SUBSTITUTE('Référentiel films'!$A$36,"’","'"),SUBSTITUTE(F9,"’","'"))),'Référentiel films'!$B$36,""),IF(ISNUMBER(SEARCH(SUBSTITUTE('Référentiel films'!$A$37,"’","'"),SUBSTITUTE(F9,"’","'"))),'Référentiel films'!$B$37,""),IF(ISNUMBER(SEARCH(SUBSTITUTE('Référentiel films'!$A$38,"’","'"),SUBSTITUTE(F9,"’","'"))),'Référentiel films'!$B$38,""),IF(ISNUMBER(SEARCH(SUBSTITUTE('Référentiel films'!$A$39,"’","'"),SUBSTITUTE(F9,"’","'"))),'Référentiel films'!$B$39,""),IF(ISNUMBER(SEARCH(SUBSTITUTE('Référentiel films'!$A$40,"’","'"),SUBSTITUTE(F9,"’","'"))),'Référentiel films'!$B$40,""),IF(ISNUMBER(SEARCH(SUBSTITUTE('Référentiel films'!$A$41,"’","'"),SUBSTITUTE(F9,"’","'"))),'Référentiel films'!$B$41,"")))</f>
        <v/>
      </c>
    </row>
    <row r="10" spans="1:21" ht="409.5" customHeight="1" x14ac:dyDescent="0.2">
      <c r="A10" s="1">
        <v>1953</v>
      </c>
      <c r="B10" s="1" t="s">
        <v>25</v>
      </c>
      <c r="C10" s="1" t="s">
        <v>122</v>
      </c>
      <c r="D10" s="1" t="s">
        <v>123</v>
      </c>
      <c r="E10" s="1"/>
      <c r="F10" s="1"/>
      <c r="G10" s="11"/>
      <c r="H10" s="12" t="s">
        <v>124</v>
      </c>
      <c r="I10" s="11"/>
      <c r="J10" s="11"/>
      <c r="K10" s="11"/>
      <c r="L10" s="11"/>
      <c r="M10" s="11" t="s">
        <v>107</v>
      </c>
      <c r="N10" s="11" t="s">
        <v>108</v>
      </c>
      <c r="O10" s="11"/>
      <c r="P10" s="11"/>
      <c r="Q10" s="11"/>
      <c r="R10" s="11"/>
      <c r="S10" s="11"/>
      <c r="T10" s="11"/>
      <c r="U10" s="28" t="str">
        <f>IF(F10="","",_xlfn.TEXTJOIN("; ",TRUE(),IF(ISNUMBER(SEARCH(SUBSTITUTE('Référentiel films'!$A$2,"’","'"),SUBSTITUTE(F10,"’","'"))),'Référentiel films'!$B$2,""),IF(ISNUMBER(SEARCH(SUBSTITUTE('Référentiel films'!$A$3,"’","'"),SUBSTITUTE(F10,"’","'"))),'Référentiel films'!$B$3,""),IF(ISNUMBER(SEARCH(SUBSTITUTE('Référentiel films'!$A$4,"’","'"),SUBSTITUTE(F10,"’","'"))),'Référentiel films'!$B$4,""),IF(ISNUMBER(SEARCH(SUBSTITUTE('Référentiel films'!$A$5,"’","'"),SUBSTITUTE(F10,"’","'"))),'Référentiel films'!$B$5,""),IF(ISNUMBER(SEARCH(SUBSTITUTE('Référentiel films'!$A$6,"’","'"),SUBSTITUTE(F10,"’","'"))),'Référentiel films'!$B$6,""),IF(ISNUMBER(SEARCH(SUBSTITUTE('Référentiel films'!$A$7,"’","'"),SUBSTITUTE(F10,"’","'"))),'Référentiel films'!$B$7,""),IF(ISNUMBER(SEARCH(SUBSTITUTE('Référentiel films'!$A$8,"’","'"),SUBSTITUTE(F10,"’","'"))),'Référentiel films'!$B$8,""),IF(ISNUMBER(SEARCH(SUBSTITUTE('Référentiel films'!$A$9,"’","'"),SUBSTITUTE(F10,"’","'"))),'Référentiel films'!$B$9,""),IF(ISNUMBER(SEARCH(SUBSTITUTE('Référentiel films'!$A$10,"’","'"),SUBSTITUTE(F10,"’","'"))),'Référentiel films'!$B$10,""),IF(ISNUMBER(SEARCH(SUBSTITUTE('Référentiel films'!$A$11,"’","'"),SUBSTITUTE(F10,"’","'"))),'Référentiel films'!$B$11,""),IF(ISNUMBER(SEARCH(SUBSTITUTE('Référentiel films'!$A$12,"’","'"),SUBSTITUTE(F10,"’","'"))),'Référentiel films'!$B$12,""),IF(ISNUMBER(SEARCH(SUBSTITUTE('Référentiel films'!$A$13,"’","'"),SUBSTITUTE(F10,"’","'"))),'Référentiel films'!$B$13,""),IF(ISNUMBER(SEARCH(SUBSTITUTE('Référentiel films'!$A$14,"’","'"),SUBSTITUTE(F10,"’","'"))),'Référentiel films'!$B$14,""),IF(ISNUMBER(SEARCH(SUBSTITUTE('Référentiel films'!$A$15,"’","'"),SUBSTITUTE(F10,"’","'"))),'Référentiel films'!$B$15,""),IF(ISNUMBER(SEARCH(SUBSTITUTE('Référentiel films'!$A$16,"’","'"),SUBSTITUTE(F10,"’","'"))),'Référentiel films'!$B$16,""),IF(ISNUMBER(SEARCH(SUBSTITUTE('Référentiel films'!$A$17,"’","'"),SUBSTITUTE(F10,"’","'"))),'Référentiel films'!$B$17,""),IF(ISNUMBER(SEARCH(SUBSTITUTE('Référentiel films'!$A$18,"’","'"),SUBSTITUTE(F10,"’","'"))),'Référentiel films'!$B$18,""),IF(ISNUMBER(SEARCH(SUBSTITUTE('Référentiel films'!$A$19,"’","'"),SUBSTITUTE(F10,"’","'"))),'Référentiel films'!$B$19,""),IF(ISNUMBER(SEARCH(SUBSTITUTE('Référentiel films'!$A$20,"’","'"),SUBSTITUTE(F10,"’","'"))),'Référentiel films'!$B$20,""),IF(ISNUMBER(SEARCH(SUBSTITUTE('Référentiel films'!$A$21,"’","'"),SUBSTITUTE(F10,"’","'"))),'Référentiel films'!$B$21,""),IF(ISNUMBER(SEARCH(SUBSTITUTE('Référentiel films'!$A$22,"’","'"),SUBSTITUTE(F10,"’","'"))),'Référentiel films'!$B$22,""),IF(ISNUMBER(SEARCH(SUBSTITUTE('Référentiel films'!$A$23,"’","'"),SUBSTITUTE(F10,"’","'"))),'Référentiel films'!$B$23,""),IF(ISNUMBER(SEARCH(SUBSTITUTE('Référentiel films'!$A$24,"’","'"),SUBSTITUTE(F10,"’","'"))),'Référentiel films'!$B$24,""),IF(ISNUMBER(SEARCH(SUBSTITUTE('Référentiel films'!$A$25,"’","'"),SUBSTITUTE(F10,"’","'"))),'Référentiel films'!$B$25,""),IF(ISNUMBER(SEARCH(SUBSTITUTE('Référentiel films'!$A$26,"’","'"),SUBSTITUTE(F10,"’","'"))),'Référentiel films'!$B$26,""),IF(ISNUMBER(SEARCH(SUBSTITUTE('Référentiel films'!$A$27,"’","'"),SUBSTITUTE(F10,"’","'"))),'Référentiel films'!$B$27,""),IF(ISNUMBER(SEARCH(SUBSTITUTE('Référentiel films'!$A$28,"’","'"),SUBSTITUTE(F10,"’","'"))),'Référentiel films'!$B$28,""),IF(ISNUMBER(SEARCH(SUBSTITUTE('Référentiel films'!$A$29,"’","'"),SUBSTITUTE(F10,"’","'"))),'Référentiel films'!$B$29,""),IF(ISNUMBER(SEARCH(SUBSTITUTE('Référentiel films'!$A$30,"’","'"),SUBSTITUTE(F10,"’","'"))),'Référentiel films'!$B$30,""),IF(ISNUMBER(SEARCH(SUBSTITUTE('Référentiel films'!$A$31,"’","'"),SUBSTITUTE(F10,"’","'"))),'Référentiel films'!$B$31,""),IF(ISNUMBER(SEARCH(SUBSTITUTE('Référentiel films'!$A$32,"’","'"),SUBSTITUTE(F10,"’","'"))),'Référentiel films'!$B$32,""),IF(ISNUMBER(SEARCH(SUBSTITUTE('Référentiel films'!$A$33,"’","'"),SUBSTITUTE(F10,"’","'"))),'Référentiel films'!$B$33,""),IF(ISNUMBER(SEARCH(SUBSTITUTE('Référentiel films'!$A$34,"’","'"),SUBSTITUTE(F10,"’","'"))),'Référentiel films'!$B$34,""),IF(ISNUMBER(SEARCH(SUBSTITUTE('Référentiel films'!$A$35,"’","'"),SUBSTITUTE(F10,"’","'"))),'Référentiel films'!$B$35,""),IF(ISNUMBER(SEARCH(SUBSTITUTE('Référentiel films'!$A$36,"’","'"),SUBSTITUTE(F10,"’","'"))),'Référentiel films'!$B$36,""),IF(ISNUMBER(SEARCH(SUBSTITUTE('Référentiel films'!$A$37,"’","'"),SUBSTITUTE(F10,"’","'"))),'Référentiel films'!$B$37,""),IF(ISNUMBER(SEARCH(SUBSTITUTE('Référentiel films'!$A$38,"’","'"),SUBSTITUTE(F10,"’","'"))),'Référentiel films'!$B$38,""),IF(ISNUMBER(SEARCH(SUBSTITUTE('Référentiel films'!$A$39,"’","'"),SUBSTITUTE(F10,"’","'"))),'Référentiel films'!$B$39,""),IF(ISNUMBER(SEARCH(SUBSTITUTE('Référentiel films'!$A$40,"’","'"),SUBSTITUTE(F10,"’","'"))),'Référentiel films'!$B$40,""),IF(ISNUMBER(SEARCH(SUBSTITUTE('Référentiel films'!$A$41,"’","'"),SUBSTITUTE(F10,"’","'"))),'Référentiel films'!$B$41,"")))</f>
        <v/>
      </c>
    </row>
    <row r="11" spans="1:21" ht="409.5" customHeight="1" x14ac:dyDescent="0.2">
      <c r="A11" s="1">
        <v>1954</v>
      </c>
      <c r="B11" s="1" t="s">
        <v>25</v>
      </c>
      <c r="C11" s="1" t="s">
        <v>125</v>
      </c>
      <c r="D11" s="14" t="s">
        <v>126</v>
      </c>
      <c r="E11" s="1" t="s">
        <v>127</v>
      </c>
      <c r="F11" s="1"/>
      <c r="G11" s="11"/>
      <c r="H11" s="12" t="s">
        <v>128</v>
      </c>
      <c r="I11" s="12"/>
      <c r="J11" s="12"/>
      <c r="K11" s="12"/>
      <c r="L11" s="11"/>
      <c r="M11" s="11" t="s">
        <v>129</v>
      </c>
      <c r="N11" s="11" t="s">
        <v>130</v>
      </c>
      <c r="O11" s="11" t="s">
        <v>107</v>
      </c>
      <c r="P11" s="11" t="s">
        <v>108</v>
      </c>
      <c r="Q11" s="11"/>
      <c r="R11" s="11"/>
      <c r="S11" s="11"/>
      <c r="T11" s="11"/>
      <c r="U11" s="28" t="str">
        <f>IF(F11="","",_xlfn.TEXTJOIN("; ",TRUE(),IF(ISNUMBER(SEARCH(SUBSTITUTE('Référentiel films'!$A$2,"’","'"),SUBSTITUTE(F11,"’","'"))),'Référentiel films'!$B$2,""),IF(ISNUMBER(SEARCH(SUBSTITUTE('Référentiel films'!$A$3,"’","'"),SUBSTITUTE(F11,"’","'"))),'Référentiel films'!$B$3,""),IF(ISNUMBER(SEARCH(SUBSTITUTE('Référentiel films'!$A$4,"’","'"),SUBSTITUTE(F11,"’","'"))),'Référentiel films'!$B$4,""),IF(ISNUMBER(SEARCH(SUBSTITUTE('Référentiel films'!$A$5,"’","'"),SUBSTITUTE(F11,"’","'"))),'Référentiel films'!$B$5,""),IF(ISNUMBER(SEARCH(SUBSTITUTE('Référentiel films'!$A$6,"’","'"),SUBSTITUTE(F11,"’","'"))),'Référentiel films'!$B$6,""),IF(ISNUMBER(SEARCH(SUBSTITUTE('Référentiel films'!$A$7,"’","'"),SUBSTITUTE(F11,"’","'"))),'Référentiel films'!$B$7,""),IF(ISNUMBER(SEARCH(SUBSTITUTE('Référentiel films'!$A$8,"’","'"),SUBSTITUTE(F11,"’","'"))),'Référentiel films'!$B$8,""),IF(ISNUMBER(SEARCH(SUBSTITUTE('Référentiel films'!$A$9,"’","'"),SUBSTITUTE(F11,"’","'"))),'Référentiel films'!$B$9,""),IF(ISNUMBER(SEARCH(SUBSTITUTE('Référentiel films'!$A$10,"’","'"),SUBSTITUTE(F11,"’","'"))),'Référentiel films'!$B$10,""),IF(ISNUMBER(SEARCH(SUBSTITUTE('Référentiel films'!$A$11,"’","'"),SUBSTITUTE(F11,"’","'"))),'Référentiel films'!$B$11,""),IF(ISNUMBER(SEARCH(SUBSTITUTE('Référentiel films'!$A$12,"’","'"),SUBSTITUTE(F11,"’","'"))),'Référentiel films'!$B$12,""),IF(ISNUMBER(SEARCH(SUBSTITUTE('Référentiel films'!$A$13,"’","'"),SUBSTITUTE(F11,"’","'"))),'Référentiel films'!$B$13,""),IF(ISNUMBER(SEARCH(SUBSTITUTE('Référentiel films'!$A$14,"’","'"),SUBSTITUTE(F11,"’","'"))),'Référentiel films'!$B$14,""),IF(ISNUMBER(SEARCH(SUBSTITUTE('Référentiel films'!$A$15,"’","'"),SUBSTITUTE(F11,"’","'"))),'Référentiel films'!$B$15,""),IF(ISNUMBER(SEARCH(SUBSTITUTE('Référentiel films'!$A$16,"’","'"),SUBSTITUTE(F11,"’","'"))),'Référentiel films'!$B$16,""),IF(ISNUMBER(SEARCH(SUBSTITUTE('Référentiel films'!$A$17,"’","'"),SUBSTITUTE(F11,"’","'"))),'Référentiel films'!$B$17,""),IF(ISNUMBER(SEARCH(SUBSTITUTE('Référentiel films'!$A$18,"’","'"),SUBSTITUTE(F11,"’","'"))),'Référentiel films'!$B$18,""),IF(ISNUMBER(SEARCH(SUBSTITUTE('Référentiel films'!$A$19,"’","'"),SUBSTITUTE(F11,"’","'"))),'Référentiel films'!$B$19,""),IF(ISNUMBER(SEARCH(SUBSTITUTE('Référentiel films'!$A$20,"’","'"),SUBSTITUTE(F11,"’","'"))),'Référentiel films'!$B$20,""),IF(ISNUMBER(SEARCH(SUBSTITUTE('Référentiel films'!$A$21,"’","'"),SUBSTITUTE(F11,"’","'"))),'Référentiel films'!$B$21,""),IF(ISNUMBER(SEARCH(SUBSTITUTE('Référentiel films'!$A$22,"’","'"),SUBSTITUTE(F11,"’","'"))),'Référentiel films'!$B$22,""),IF(ISNUMBER(SEARCH(SUBSTITUTE('Référentiel films'!$A$23,"’","'"),SUBSTITUTE(F11,"’","'"))),'Référentiel films'!$B$23,""),IF(ISNUMBER(SEARCH(SUBSTITUTE('Référentiel films'!$A$24,"’","'"),SUBSTITUTE(F11,"’","'"))),'Référentiel films'!$B$24,""),IF(ISNUMBER(SEARCH(SUBSTITUTE('Référentiel films'!$A$25,"’","'"),SUBSTITUTE(F11,"’","'"))),'Référentiel films'!$B$25,""),IF(ISNUMBER(SEARCH(SUBSTITUTE('Référentiel films'!$A$26,"’","'"),SUBSTITUTE(F11,"’","'"))),'Référentiel films'!$B$26,""),IF(ISNUMBER(SEARCH(SUBSTITUTE('Référentiel films'!$A$27,"’","'"),SUBSTITUTE(F11,"’","'"))),'Référentiel films'!$B$27,""),IF(ISNUMBER(SEARCH(SUBSTITUTE('Référentiel films'!$A$28,"’","'"),SUBSTITUTE(F11,"’","'"))),'Référentiel films'!$B$28,""),IF(ISNUMBER(SEARCH(SUBSTITUTE('Référentiel films'!$A$29,"’","'"),SUBSTITUTE(F11,"’","'"))),'Référentiel films'!$B$29,""),IF(ISNUMBER(SEARCH(SUBSTITUTE('Référentiel films'!$A$30,"’","'"),SUBSTITUTE(F11,"’","'"))),'Référentiel films'!$B$30,""),IF(ISNUMBER(SEARCH(SUBSTITUTE('Référentiel films'!$A$31,"’","'"),SUBSTITUTE(F11,"’","'"))),'Référentiel films'!$B$31,""),IF(ISNUMBER(SEARCH(SUBSTITUTE('Référentiel films'!$A$32,"’","'"),SUBSTITUTE(F11,"’","'"))),'Référentiel films'!$B$32,""),IF(ISNUMBER(SEARCH(SUBSTITUTE('Référentiel films'!$A$33,"’","'"),SUBSTITUTE(F11,"’","'"))),'Référentiel films'!$B$33,""),IF(ISNUMBER(SEARCH(SUBSTITUTE('Référentiel films'!$A$34,"’","'"),SUBSTITUTE(F11,"’","'"))),'Référentiel films'!$B$34,""),IF(ISNUMBER(SEARCH(SUBSTITUTE('Référentiel films'!$A$35,"’","'"),SUBSTITUTE(F11,"’","'"))),'Référentiel films'!$B$35,""),IF(ISNUMBER(SEARCH(SUBSTITUTE('Référentiel films'!$A$36,"’","'"),SUBSTITUTE(F11,"’","'"))),'Référentiel films'!$B$36,""),IF(ISNUMBER(SEARCH(SUBSTITUTE('Référentiel films'!$A$37,"’","'"),SUBSTITUTE(F11,"’","'"))),'Référentiel films'!$B$37,""),IF(ISNUMBER(SEARCH(SUBSTITUTE('Référentiel films'!$A$38,"’","'"),SUBSTITUTE(F11,"’","'"))),'Référentiel films'!$B$38,""),IF(ISNUMBER(SEARCH(SUBSTITUTE('Référentiel films'!$A$39,"’","'"),SUBSTITUTE(F11,"’","'"))),'Référentiel films'!$B$39,""),IF(ISNUMBER(SEARCH(SUBSTITUTE('Référentiel films'!$A$40,"’","'"),SUBSTITUTE(F11,"’","'"))),'Référentiel films'!$B$40,""),IF(ISNUMBER(SEARCH(SUBSTITUTE('Référentiel films'!$A$41,"’","'"),SUBSTITUTE(F11,"’","'"))),'Référentiel films'!$B$41,"")))</f>
        <v/>
      </c>
    </row>
    <row r="12" spans="1:21" ht="142.25" customHeight="1" x14ac:dyDescent="0.2">
      <c r="A12" s="1">
        <v>1955</v>
      </c>
      <c r="B12" s="1" t="s">
        <v>25</v>
      </c>
      <c r="C12" s="1" t="s">
        <v>131</v>
      </c>
      <c r="D12" s="13" t="s">
        <v>132</v>
      </c>
      <c r="E12" s="1" t="s">
        <v>133</v>
      </c>
      <c r="F12" s="1"/>
      <c r="G12" s="11"/>
      <c r="H12" s="11"/>
      <c r="I12" s="11"/>
      <c r="J12" s="11"/>
      <c r="K12" s="11"/>
      <c r="L12" s="11"/>
      <c r="M12" s="11"/>
      <c r="N12" s="11"/>
      <c r="O12" s="11"/>
      <c r="P12" s="11"/>
      <c r="Q12" s="11"/>
      <c r="R12" s="11"/>
      <c r="S12" s="11"/>
      <c r="T12" s="11"/>
      <c r="U12" s="28" t="str">
        <f>IF(F12="","",_xlfn.TEXTJOIN("; ",TRUE(),IF(ISNUMBER(SEARCH(SUBSTITUTE('Référentiel films'!$A$2,"’","'"),SUBSTITUTE(F12,"’","'"))),'Référentiel films'!$B$2,""),IF(ISNUMBER(SEARCH(SUBSTITUTE('Référentiel films'!$A$3,"’","'"),SUBSTITUTE(F12,"’","'"))),'Référentiel films'!$B$3,""),IF(ISNUMBER(SEARCH(SUBSTITUTE('Référentiel films'!$A$4,"’","'"),SUBSTITUTE(F12,"’","'"))),'Référentiel films'!$B$4,""),IF(ISNUMBER(SEARCH(SUBSTITUTE('Référentiel films'!$A$5,"’","'"),SUBSTITUTE(F12,"’","'"))),'Référentiel films'!$B$5,""),IF(ISNUMBER(SEARCH(SUBSTITUTE('Référentiel films'!$A$6,"’","'"),SUBSTITUTE(F12,"’","'"))),'Référentiel films'!$B$6,""),IF(ISNUMBER(SEARCH(SUBSTITUTE('Référentiel films'!$A$7,"’","'"),SUBSTITUTE(F12,"’","'"))),'Référentiel films'!$B$7,""),IF(ISNUMBER(SEARCH(SUBSTITUTE('Référentiel films'!$A$8,"’","'"),SUBSTITUTE(F12,"’","'"))),'Référentiel films'!$B$8,""),IF(ISNUMBER(SEARCH(SUBSTITUTE('Référentiel films'!$A$9,"’","'"),SUBSTITUTE(F12,"’","'"))),'Référentiel films'!$B$9,""),IF(ISNUMBER(SEARCH(SUBSTITUTE('Référentiel films'!$A$10,"’","'"),SUBSTITUTE(F12,"’","'"))),'Référentiel films'!$B$10,""),IF(ISNUMBER(SEARCH(SUBSTITUTE('Référentiel films'!$A$11,"’","'"),SUBSTITUTE(F12,"’","'"))),'Référentiel films'!$B$11,""),IF(ISNUMBER(SEARCH(SUBSTITUTE('Référentiel films'!$A$12,"’","'"),SUBSTITUTE(F12,"’","'"))),'Référentiel films'!$B$12,""),IF(ISNUMBER(SEARCH(SUBSTITUTE('Référentiel films'!$A$13,"’","'"),SUBSTITUTE(F12,"’","'"))),'Référentiel films'!$B$13,""),IF(ISNUMBER(SEARCH(SUBSTITUTE('Référentiel films'!$A$14,"’","'"),SUBSTITUTE(F12,"’","'"))),'Référentiel films'!$B$14,""),IF(ISNUMBER(SEARCH(SUBSTITUTE('Référentiel films'!$A$15,"’","'"),SUBSTITUTE(F12,"’","'"))),'Référentiel films'!$B$15,""),IF(ISNUMBER(SEARCH(SUBSTITUTE('Référentiel films'!$A$16,"’","'"),SUBSTITUTE(F12,"’","'"))),'Référentiel films'!$B$16,""),IF(ISNUMBER(SEARCH(SUBSTITUTE('Référentiel films'!$A$17,"’","'"),SUBSTITUTE(F12,"’","'"))),'Référentiel films'!$B$17,""),IF(ISNUMBER(SEARCH(SUBSTITUTE('Référentiel films'!$A$18,"’","'"),SUBSTITUTE(F12,"’","'"))),'Référentiel films'!$B$18,""),IF(ISNUMBER(SEARCH(SUBSTITUTE('Référentiel films'!$A$19,"’","'"),SUBSTITUTE(F12,"’","'"))),'Référentiel films'!$B$19,""),IF(ISNUMBER(SEARCH(SUBSTITUTE('Référentiel films'!$A$20,"’","'"),SUBSTITUTE(F12,"’","'"))),'Référentiel films'!$B$20,""),IF(ISNUMBER(SEARCH(SUBSTITUTE('Référentiel films'!$A$21,"’","'"),SUBSTITUTE(F12,"’","'"))),'Référentiel films'!$B$21,""),IF(ISNUMBER(SEARCH(SUBSTITUTE('Référentiel films'!$A$22,"’","'"),SUBSTITUTE(F12,"’","'"))),'Référentiel films'!$B$22,""),IF(ISNUMBER(SEARCH(SUBSTITUTE('Référentiel films'!$A$23,"’","'"),SUBSTITUTE(F12,"’","'"))),'Référentiel films'!$B$23,""),IF(ISNUMBER(SEARCH(SUBSTITUTE('Référentiel films'!$A$24,"’","'"),SUBSTITUTE(F12,"’","'"))),'Référentiel films'!$B$24,""),IF(ISNUMBER(SEARCH(SUBSTITUTE('Référentiel films'!$A$25,"’","'"),SUBSTITUTE(F12,"’","'"))),'Référentiel films'!$B$25,""),IF(ISNUMBER(SEARCH(SUBSTITUTE('Référentiel films'!$A$26,"’","'"),SUBSTITUTE(F12,"’","'"))),'Référentiel films'!$B$26,""),IF(ISNUMBER(SEARCH(SUBSTITUTE('Référentiel films'!$A$27,"’","'"),SUBSTITUTE(F12,"’","'"))),'Référentiel films'!$B$27,""),IF(ISNUMBER(SEARCH(SUBSTITUTE('Référentiel films'!$A$28,"’","'"),SUBSTITUTE(F12,"’","'"))),'Référentiel films'!$B$28,""),IF(ISNUMBER(SEARCH(SUBSTITUTE('Référentiel films'!$A$29,"’","'"),SUBSTITUTE(F12,"’","'"))),'Référentiel films'!$B$29,""),IF(ISNUMBER(SEARCH(SUBSTITUTE('Référentiel films'!$A$30,"’","'"),SUBSTITUTE(F12,"’","'"))),'Référentiel films'!$B$30,""),IF(ISNUMBER(SEARCH(SUBSTITUTE('Référentiel films'!$A$31,"’","'"),SUBSTITUTE(F12,"’","'"))),'Référentiel films'!$B$31,""),IF(ISNUMBER(SEARCH(SUBSTITUTE('Référentiel films'!$A$32,"’","'"),SUBSTITUTE(F12,"’","'"))),'Référentiel films'!$B$32,""),IF(ISNUMBER(SEARCH(SUBSTITUTE('Référentiel films'!$A$33,"’","'"),SUBSTITUTE(F12,"’","'"))),'Référentiel films'!$B$33,""),IF(ISNUMBER(SEARCH(SUBSTITUTE('Référentiel films'!$A$34,"’","'"),SUBSTITUTE(F12,"’","'"))),'Référentiel films'!$B$34,""),IF(ISNUMBER(SEARCH(SUBSTITUTE('Référentiel films'!$A$35,"’","'"),SUBSTITUTE(F12,"’","'"))),'Référentiel films'!$B$35,""),IF(ISNUMBER(SEARCH(SUBSTITUTE('Référentiel films'!$A$36,"’","'"),SUBSTITUTE(F12,"’","'"))),'Référentiel films'!$B$36,""),IF(ISNUMBER(SEARCH(SUBSTITUTE('Référentiel films'!$A$37,"’","'"),SUBSTITUTE(F12,"’","'"))),'Référentiel films'!$B$37,""),IF(ISNUMBER(SEARCH(SUBSTITUTE('Référentiel films'!$A$38,"’","'"),SUBSTITUTE(F12,"’","'"))),'Référentiel films'!$B$38,""),IF(ISNUMBER(SEARCH(SUBSTITUTE('Référentiel films'!$A$39,"’","'"),SUBSTITUTE(F12,"’","'"))),'Référentiel films'!$B$39,""),IF(ISNUMBER(SEARCH(SUBSTITUTE('Référentiel films'!$A$40,"’","'"),SUBSTITUTE(F12,"’","'"))),'Référentiel films'!$B$40,""),IF(ISNUMBER(SEARCH(SUBSTITUTE('Référentiel films'!$A$41,"’","'"),SUBSTITUTE(F12,"’","'"))),'Référentiel films'!$B$41,"")))</f>
        <v/>
      </c>
    </row>
    <row r="13" spans="1:21" ht="398.25" customHeight="1" x14ac:dyDescent="0.2">
      <c r="A13" s="1">
        <v>1956</v>
      </c>
      <c r="B13" s="1" t="s">
        <v>25</v>
      </c>
      <c r="C13" s="1" t="s">
        <v>134</v>
      </c>
      <c r="D13" s="13" t="s">
        <v>135</v>
      </c>
      <c r="E13" s="1" t="s">
        <v>136</v>
      </c>
      <c r="F13" s="1"/>
      <c r="G13" s="11"/>
      <c r="H13" s="12" t="s">
        <v>137</v>
      </c>
      <c r="I13" s="11"/>
      <c r="J13" s="11"/>
      <c r="K13" s="11"/>
      <c r="L13" s="11"/>
      <c r="M13" s="11" t="s">
        <v>107</v>
      </c>
      <c r="N13" s="11" t="s">
        <v>108</v>
      </c>
      <c r="O13" s="11"/>
      <c r="P13" s="11"/>
      <c r="Q13" s="11"/>
      <c r="R13" s="11"/>
      <c r="S13" s="11"/>
      <c r="T13" s="11"/>
      <c r="U13" s="28" t="str">
        <f>IF(F13="","",_xlfn.TEXTJOIN("; ",TRUE(),IF(ISNUMBER(SEARCH(SUBSTITUTE('Référentiel films'!$A$2,"’","'"),SUBSTITUTE(F13,"’","'"))),'Référentiel films'!$B$2,""),IF(ISNUMBER(SEARCH(SUBSTITUTE('Référentiel films'!$A$3,"’","'"),SUBSTITUTE(F13,"’","'"))),'Référentiel films'!$B$3,""),IF(ISNUMBER(SEARCH(SUBSTITUTE('Référentiel films'!$A$4,"’","'"),SUBSTITUTE(F13,"’","'"))),'Référentiel films'!$B$4,""),IF(ISNUMBER(SEARCH(SUBSTITUTE('Référentiel films'!$A$5,"’","'"),SUBSTITUTE(F13,"’","'"))),'Référentiel films'!$B$5,""),IF(ISNUMBER(SEARCH(SUBSTITUTE('Référentiel films'!$A$6,"’","'"),SUBSTITUTE(F13,"’","'"))),'Référentiel films'!$B$6,""),IF(ISNUMBER(SEARCH(SUBSTITUTE('Référentiel films'!$A$7,"’","'"),SUBSTITUTE(F13,"’","'"))),'Référentiel films'!$B$7,""),IF(ISNUMBER(SEARCH(SUBSTITUTE('Référentiel films'!$A$8,"’","'"),SUBSTITUTE(F13,"’","'"))),'Référentiel films'!$B$8,""),IF(ISNUMBER(SEARCH(SUBSTITUTE('Référentiel films'!$A$9,"’","'"),SUBSTITUTE(F13,"’","'"))),'Référentiel films'!$B$9,""),IF(ISNUMBER(SEARCH(SUBSTITUTE('Référentiel films'!$A$10,"’","'"),SUBSTITUTE(F13,"’","'"))),'Référentiel films'!$B$10,""),IF(ISNUMBER(SEARCH(SUBSTITUTE('Référentiel films'!$A$11,"’","'"),SUBSTITUTE(F13,"’","'"))),'Référentiel films'!$B$11,""),IF(ISNUMBER(SEARCH(SUBSTITUTE('Référentiel films'!$A$12,"’","'"),SUBSTITUTE(F13,"’","'"))),'Référentiel films'!$B$12,""),IF(ISNUMBER(SEARCH(SUBSTITUTE('Référentiel films'!$A$13,"’","'"),SUBSTITUTE(F13,"’","'"))),'Référentiel films'!$B$13,""),IF(ISNUMBER(SEARCH(SUBSTITUTE('Référentiel films'!$A$14,"’","'"),SUBSTITUTE(F13,"’","'"))),'Référentiel films'!$B$14,""),IF(ISNUMBER(SEARCH(SUBSTITUTE('Référentiel films'!$A$15,"’","'"),SUBSTITUTE(F13,"’","'"))),'Référentiel films'!$B$15,""),IF(ISNUMBER(SEARCH(SUBSTITUTE('Référentiel films'!$A$16,"’","'"),SUBSTITUTE(F13,"’","'"))),'Référentiel films'!$B$16,""),IF(ISNUMBER(SEARCH(SUBSTITUTE('Référentiel films'!$A$17,"’","'"),SUBSTITUTE(F13,"’","'"))),'Référentiel films'!$B$17,""),IF(ISNUMBER(SEARCH(SUBSTITUTE('Référentiel films'!$A$18,"’","'"),SUBSTITUTE(F13,"’","'"))),'Référentiel films'!$B$18,""),IF(ISNUMBER(SEARCH(SUBSTITUTE('Référentiel films'!$A$19,"’","'"),SUBSTITUTE(F13,"’","'"))),'Référentiel films'!$B$19,""),IF(ISNUMBER(SEARCH(SUBSTITUTE('Référentiel films'!$A$20,"’","'"),SUBSTITUTE(F13,"’","'"))),'Référentiel films'!$B$20,""),IF(ISNUMBER(SEARCH(SUBSTITUTE('Référentiel films'!$A$21,"’","'"),SUBSTITUTE(F13,"’","'"))),'Référentiel films'!$B$21,""),IF(ISNUMBER(SEARCH(SUBSTITUTE('Référentiel films'!$A$22,"’","'"),SUBSTITUTE(F13,"’","'"))),'Référentiel films'!$B$22,""),IF(ISNUMBER(SEARCH(SUBSTITUTE('Référentiel films'!$A$23,"’","'"),SUBSTITUTE(F13,"’","'"))),'Référentiel films'!$B$23,""),IF(ISNUMBER(SEARCH(SUBSTITUTE('Référentiel films'!$A$24,"’","'"),SUBSTITUTE(F13,"’","'"))),'Référentiel films'!$B$24,""),IF(ISNUMBER(SEARCH(SUBSTITUTE('Référentiel films'!$A$25,"’","'"),SUBSTITUTE(F13,"’","'"))),'Référentiel films'!$B$25,""),IF(ISNUMBER(SEARCH(SUBSTITUTE('Référentiel films'!$A$26,"’","'"),SUBSTITUTE(F13,"’","'"))),'Référentiel films'!$B$26,""),IF(ISNUMBER(SEARCH(SUBSTITUTE('Référentiel films'!$A$27,"’","'"),SUBSTITUTE(F13,"’","'"))),'Référentiel films'!$B$27,""),IF(ISNUMBER(SEARCH(SUBSTITUTE('Référentiel films'!$A$28,"’","'"),SUBSTITUTE(F13,"’","'"))),'Référentiel films'!$B$28,""),IF(ISNUMBER(SEARCH(SUBSTITUTE('Référentiel films'!$A$29,"’","'"),SUBSTITUTE(F13,"’","'"))),'Référentiel films'!$B$29,""),IF(ISNUMBER(SEARCH(SUBSTITUTE('Référentiel films'!$A$30,"’","'"),SUBSTITUTE(F13,"’","'"))),'Référentiel films'!$B$30,""),IF(ISNUMBER(SEARCH(SUBSTITUTE('Référentiel films'!$A$31,"’","'"),SUBSTITUTE(F13,"’","'"))),'Référentiel films'!$B$31,""),IF(ISNUMBER(SEARCH(SUBSTITUTE('Référentiel films'!$A$32,"’","'"),SUBSTITUTE(F13,"’","'"))),'Référentiel films'!$B$32,""),IF(ISNUMBER(SEARCH(SUBSTITUTE('Référentiel films'!$A$33,"’","'"),SUBSTITUTE(F13,"’","'"))),'Référentiel films'!$B$33,""),IF(ISNUMBER(SEARCH(SUBSTITUTE('Référentiel films'!$A$34,"’","'"),SUBSTITUTE(F13,"’","'"))),'Référentiel films'!$B$34,""),IF(ISNUMBER(SEARCH(SUBSTITUTE('Référentiel films'!$A$35,"’","'"),SUBSTITUTE(F13,"’","'"))),'Référentiel films'!$B$35,""),IF(ISNUMBER(SEARCH(SUBSTITUTE('Référentiel films'!$A$36,"’","'"),SUBSTITUTE(F13,"’","'"))),'Référentiel films'!$B$36,""),IF(ISNUMBER(SEARCH(SUBSTITUTE('Référentiel films'!$A$37,"’","'"),SUBSTITUTE(F13,"’","'"))),'Référentiel films'!$B$37,""),IF(ISNUMBER(SEARCH(SUBSTITUTE('Référentiel films'!$A$38,"’","'"),SUBSTITUTE(F13,"’","'"))),'Référentiel films'!$B$38,""),IF(ISNUMBER(SEARCH(SUBSTITUTE('Référentiel films'!$A$39,"’","'"),SUBSTITUTE(F13,"’","'"))),'Référentiel films'!$B$39,""),IF(ISNUMBER(SEARCH(SUBSTITUTE('Référentiel films'!$A$40,"’","'"),SUBSTITUTE(F13,"’","'"))),'Référentiel films'!$B$40,""),IF(ISNUMBER(SEARCH(SUBSTITUTE('Référentiel films'!$A$41,"’","'"),SUBSTITUTE(F13,"’","'"))),'Référentiel films'!$B$41,"")))</f>
        <v/>
      </c>
    </row>
    <row r="14" spans="1:21" ht="409.5" customHeight="1" x14ac:dyDescent="0.2">
      <c r="A14" s="1">
        <v>1957</v>
      </c>
      <c r="B14" s="1" t="s">
        <v>25</v>
      </c>
      <c r="C14" s="1" t="s">
        <v>138</v>
      </c>
      <c r="D14" s="13" t="s">
        <v>139</v>
      </c>
      <c r="E14" s="1"/>
      <c r="F14" s="1"/>
      <c r="G14" s="11"/>
      <c r="H14" s="12"/>
      <c r="I14" s="11"/>
      <c r="J14" s="11"/>
      <c r="K14" s="11"/>
      <c r="L14" s="11"/>
      <c r="M14" s="11" t="s">
        <v>107</v>
      </c>
      <c r="N14" s="11" t="s">
        <v>108</v>
      </c>
      <c r="O14" s="11"/>
      <c r="P14" s="11"/>
      <c r="Q14" s="11"/>
      <c r="R14" s="11"/>
      <c r="S14" s="11"/>
      <c r="T14" s="11"/>
      <c r="U14" s="28" t="str">
        <f>IF(F14="","",_xlfn.TEXTJOIN("; ",TRUE(),IF(ISNUMBER(SEARCH(SUBSTITUTE('Référentiel films'!$A$2,"’","'"),SUBSTITUTE(F14,"’","'"))),'Référentiel films'!$B$2,""),IF(ISNUMBER(SEARCH(SUBSTITUTE('Référentiel films'!$A$3,"’","'"),SUBSTITUTE(F14,"’","'"))),'Référentiel films'!$B$3,""),IF(ISNUMBER(SEARCH(SUBSTITUTE('Référentiel films'!$A$4,"’","'"),SUBSTITUTE(F14,"’","'"))),'Référentiel films'!$B$4,""),IF(ISNUMBER(SEARCH(SUBSTITUTE('Référentiel films'!$A$5,"’","'"),SUBSTITUTE(F14,"’","'"))),'Référentiel films'!$B$5,""),IF(ISNUMBER(SEARCH(SUBSTITUTE('Référentiel films'!$A$6,"’","'"),SUBSTITUTE(F14,"’","'"))),'Référentiel films'!$B$6,""),IF(ISNUMBER(SEARCH(SUBSTITUTE('Référentiel films'!$A$7,"’","'"),SUBSTITUTE(F14,"’","'"))),'Référentiel films'!$B$7,""),IF(ISNUMBER(SEARCH(SUBSTITUTE('Référentiel films'!$A$8,"’","'"),SUBSTITUTE(F14,"’","'"))),'Référentiel films'!$B$8,""),IF(ISNUMBER(SEARCH(SUBSTITUTE('Référentiel films'!$A$9,"’","'"),SUBSTITUTE(F14,"’","'"))),'Référentiel films'!$B$9,""),IF(ISNUMBER(SEARCH(SUBSTITUTE('Référentiel films'!$A$10,"’","'"),SUBSTITUTE(F14,"’","'"))),'Référentiel films'!$B$10,""),IF(ISNUMBER(SEARCH(SUBSTITUTE('Référentiel films'!$A$11,"’","'"),SUBSTITUTE(F14,"’","'"))),'Référentiel films'!$B$11,""),IF(ISNUMBER(SEARCH(SUBSTITUTE('Référentiel films'!$A$12,"’","'"),SUBSTITUTE(F14,"’","'"))),'Référentiel films'!$B$12,""),IF(ISNUMBER(SEARCH(SUBSTITUTE('Référentiel films'!$A$13,"’","'"),SUBSTITUTE(F14,"’","'"))),'Référentiel films'!$B$13,""),IF(ISNUMBER(SEARCH(SUBSTITUTE('Référentiel films'!$A$14,"’","'"),SUBSTITUTE(F14,"’","'"))),'Référentiel films'!$B$14,""),IF(ISNUMBER(SEARCH(SUBSTITUTE('Référentiel films'!$A$15,"’","'"),SUBSTITUTE(F14,"’","'"))),'Référentiel films'!$B$15,""),IF(ISNUMBER(SEARCH(SUBSTITUTE('Référentiel films'!$A$16,"’","'"),SUBSTITUTE(F14,"’","'"))),'Référentiel films'!$B$16,""),IF(ISNUMBER(SEARCH(SUBSTITUTE('Référentiel films'!$A$17,"’","'"),SUBSTITUTE(F14,"’","'"))),'Référentiel films'!$B$17,""),IF(ISNUMBER(SEARCH(SUBSTITUTE('Référentiel films'!$A$18,"’","'"),SUBSTITUTE(F14,"’","'"))),'Référentiel films'!$B$18,""),IF(ISNUMBER(SEARCH(SUBSTITUTE('Référentiel films'!$A$19,"’","'"),SUBSTITUTE(F14,"’","'"))),'Référentiel films'!$B$19,""),IF(ISNUMBER(SEARCH(SUBSTITUTE('Référentiel films'!$A$20,"’","'"),SUBSTITUTE(F14,"’","'"))),'Référentiel films'!$B$20,""),IF(ISNUMBER(SEARCH(SUBSTITUTE('Référentiel films'!$A$21,"’","'"),SUBSTITUTE(F14,"’","'"))),'Référentiel films'!$B$21,""),IF(ISNUMBER(SEARCH(SUBSTITUTE('Référentiel films'!$A$22,"’","'"),SUBSTITUTE(F14,"’","'"))),'Référentiel films'!$B$22,""),IF(ISNUMBER(SEARCH(SUBSTITUTE('Référentiel films'!$A$23,"’","'"),SUBSTITUTE(F14,"’","'"))),'Référentiel films'!$B$23,""),IF(ISNUMBER(SEARCH(SUBSTITUTE('Référentiel films'!$A$24,"’","'"),SUBSTITUTE(F14,"’","'"))),'Référentiel films'!$B$24,""),IF(ISNUMBER(SEARCH(SUBSTITUTE('Référentiel films'!$A$25,"’","'"),SUBSTITUTE(F14,"’","'"))),'Référentiel films'!$B$25,""),IF(ISNUMBER(SEARCH(SUBSTITUTE('Référentiel films'!$A$26,"’","'"),SUBSTITUTE(F14,"’","'"))),'Référentiel films'!$B$26,""),IF(ISNUMBER(SEARCH(SUBSTITUTE('Référentiel films'!$A$27,"’","'"),SUBSTITUTE(F14,"’","'"))),'Référentiel films'!$B$27,""),IF(ISNUMBER(SEARCH(SUBSTITUTE('Référentiel films'!$A$28,"’","'"),SUBSTITUTE(F14,"’","'"))),'Référentiel films'!$B$28,""),IF(ISNUMBER(SEARCH(SUBSTITUTE('Référentiel films'!$A$29,"’","'"),SUBSTITUTE(F14,"’","'"))),'Référentiel films'!$B$29,""),IF(ISNUMBER(SEARCH(SUBSTITUTE('Référentiel films'!$A$30,"’","'"),SUBSTITUTE(F14,"’","'"))),'Référentiel films'!$B$30,""),IF(ISNUMBER(SEARCH(SUBSTITUTE('Référentiel films'!$A$31,"’","'"),SUBSTITUTE(F14,"’","'"))),'Référentiel films'!$B$31,""),IF(ISNUMBER(SEARCH(SUBSTITUTE('Référentiel films'!$A$32,"’","'"),SUBSTITUTE(F14,"’","'"))),'Référentiel films'!$B$32,""),IF(ISNUMBER(SEARCH(SUBSTITUTE('Référentiel films'!$A$33,"’","'"),SUBSTITUTE(F14,"’","'"))),'Référentiel films'!$B$33,""),IF(ISNUMBER(SEARCH(SUBSTITUTE('Référentiel films'!$A$34,"’","'"),SUBSTITUTE(F14,"’","'"))),'Référentiel films'!$B$34,""),IF(ISNUMBER(SEARCH(SUBSTITUTE('Référentiel films'!$A$35,"’","'"),SUBSTITUTE(F14,"’","'"))),'Référentiel films'!$B$35,""),IF(ISNUMBER(SEARCH(SUBSTITUTE('Référentiel films'!$A$36,"’","'"),SUBSTITUTE(F14,"’","'"))),'Référentiel films'!$B$36,""),IF(ISNUMBER(SEARCH(SUBSTITUTE('Référentiel films'!$A$37,"’","'"),SUBSTITUTE(F14,"’","'"))),'Référentiel films'!$B$37,""),IF(ISNUMBER(SEARCH(SUBSTITUTE('Référentiel films'!$A$38,"’","'"),SUBSTITUTE(F14,"’","'"))),'Référentiel films'!$B$38,""),IF(ISNUMBER(SEARCH(SUBSTITUTE('Référentiel films'!$A$39,"’","'"),SUBSTITUTE(F14,"’","'"))),'Référentiel films'!$B$39,""),IF(ISNUMBER(SEARCH(SUBSTITUTE('Référentiel films'!$A$40,"’","'"),SUBSTITUTE(F14,"’","'"))),'Référentiel films'!$B$40,""),IF(ISNUMBER(SEARCH(SUBSTITUTE('Référentiel films'!$A$41,"’","'"),SUBSTITUTE(F14,"’","'"))),'Référentiel films'!$B$41,"")))</f>
        <v/>
      </c>
    </row>
    <row r="15" spans="1:21" ht="409.5" customHeight="1" x14ac:dyDescent="0.2">
      <c r="A15" s="1">
        <v>1959</v>
      </c>
      <c r="B15" s="1" t="s">
        <v>25</v>
      </c>
      <c r="C15" s="1" t="s">
        <v>140</v>
      </c>
      <c r="D15" s="1" t="s">
        <v>141</v>
      </c>
      <c r="E15" s="13" t="s">
        <v>142</v>
      </c>
      <c r="F15" s="1"/>
      <c r="G15" s="11" t="s">
        <v>143</v>
      </c>
      <c r="H15" s="11"/>
      <c r="I15" s="11"/>
      <c r="J15" s="11"/>
      <c r="K15" s="11"/>
      <c r="L15" s="11"/>
      <c r="M15" s="11" t="s">
        <v>107</v>
      </c>
      <c r="N15" s="11" t="s">
        <v>108</v>
      </c>
      <c r="O15" s="11"/>
      <c r="P15" s="11"/>
      <c r="Q15" s="11"/>
      <c r="R15" s="11"/>
      <c r="S15" s="11"/>
      <c r="T15" s="11"/>
      <c r="U15" s="28" t="str">
        <f>IF(F15="","",_xlfn.TEXTJOIN("; ",TRUE(),IF(ISNUMBER(SEARCH(SUBSTITUTE('Référentiel films'!$A$2,"’","'"),SUBSTITUTE(F15,"’","'"))),'Référentiel films'!$B$2,""),IF(ISNUMBER(SEARCH(SUBSTITUTE('Référentiel films'!$A$3,"’","'"),SUBSTITUTE(F15,"’","'"))),'Référentiel films'!$B$3,""),IF(ISNUMBER(SEARCH(SUBSTITUTE('Référentiel films'!$A$4,"’","'"),SUBSTITUTE(F15,"’","'"))),'Référentiel films'!$B$4,""),IF(ISNUMBER(SEARCH(SUBSTITUTE('Référentiel films'!$A$5,"’","'"),SUBSTITUTE(F15,"’","'"))),'Référentiel films'!$B$5,""),IF(ISNUMBER(SEARCH(SUBSTITUTE('Référentiel films'!$A$6,"’","'"),SUBSTITUTE(F15,"’","'"))),'Référentiel films'!$B$6,""),IF(ISNUMBER(SEARCH(SUBSTITUTE('Référentiel films'!$A$7,"’","'"),SUBSTITUTE(F15,"’","'"))),'Référentiel films'!$B$7,""),IF(ISNUMBER(SEARCH(SUBSTITUTE('Référentiel films'!$A$8,"’","'"),SUBSTITUTE(F15,"’","'"))),'Référentiel films'!$B$8,""),IF(ISNUMBER(SEARCH(SUBSTITUTE('Référentiel films'!$A$9,"’","'"),SUBSTITUTE(F15,"’","'"))),'Référentiel films'!$B$9,""),IF(ISNUMBER(SEARCH(SUBSTITUTE('Référentiel films'!$A$10,"’","'"),SUBSTITUTE(F15,"’","'"))),'Référentiel films'!$B$10,""),IF(ISNUMBER(SEARCH(SUBSTITUTE('Référentiel films'!$A$11,"’","'"),SUBSTITUTE(F15,"’","'"))),'Référentiel films'!$B$11,""),IF(ISNUMBER(SEARCH(SUBSTITUTE('Référentiel films'!$A$12,"’","'"),SUBSTITUTE(F15,"’","'"))),'Référentiel films'!$B$12,""),IF(ISNUMBER(SEARCH(SUBSTITUTE('Référentiel films'!$A$13,"’","'"),SUBSTITUTE(F15,"’","'"))),'Référentiel films'!$B$13,""),IF(ISNUMBER(SEARCH(SUBSTITUTE('Référentiel films'!$A$14,"’","'"),SUBSTITUTE(F15,"’","'"))),'Référentiel films'!$B$14,""),IF(ISNUMBER(SEARCH(SUBSTITUTE('Référentiel films'!$A$15,"’","'"),SUBSTITUTE(F15,"’","'"))),'Référentiel films'!$B$15,""),IF(ISNUMBER(SEARCH(SUBSTITUTE('Référentiel films'!$A$16,"’","'"),SUBSTITUTE(F15,"’","'"))),'Référentiel films'!$B$16,""),IF(ISNUMBER(SEARCH(SUBSTITUTE('Référentiel films'!$A$17,"’","'"),SUBSTITUTE(F15,"’","'"))),'Référentiel films'!$B$17,""),IF(ISNUMBER(SEARCH(SUBSTITUTE('Référentiel films'!$A$18,"’","'"),SUBSTITUTE(F15,"’","'"))),'Référentiel films'!$B$18,""),IF(ISNUMBER(SEARCH(SUBSTITUTE('Référentiel films'!$A$19,"’","'"),SUBSTITUTE(F15,"’","'"))),'Référentiel films'!$B$19,""),IF(ISNUMBER(SEARCH(SUBSTITUTE('Référentiel films'!$A$20,"’","'"),SUBSTITUTE(F15,"’","'"))),'Référentiel films'!$B$20,""),IF(ISNUMBER(SEARCH(SUBSTITUTE('Référentiel films'!$A$21,"’","'"),SUBSTITUTE(F15,"’","'"))),'Référentiel films'!$B$21,""),IF(ISNUMBER(SEARCH(SUBSTITUTE('Référentiel films'!$A$22,"’","'"),SUBSTITUTE(F15,"’","'"))),'Référentiel films'!$B$22,""),IF(ISNUMBER(SEARCH(SUBSTITUTE('Référentiel films'!$A$23,"’","'"),SUBSTITUTE(F15,"’","'"))),'Référentiel films'!$B$23,""),IF(ISNUMBER(SEARCH(SUBSTITUTE('Référentiel films'!$A$24,"’","'"),SUBSTITUTE(F15,"’","'"))),'Référentiel films'!$B$24,""),IF(ISNUMBER(SEARCH(SUBSTITUTE('Référentiel films'!$A$25,"’","'"),SUBSTITUTE(F15,"’","'"))),'Référentiel films'!$B$25,""),IF(ISNUMBER(SEARCH(SUBSTITUTE('Référentiel films'!$A$26,"’","'"),SUBSTITUTE(F15,"’","'"))),'Référentiel films'!$B$26,""),IF(ISNUMBER(SEARCH(SUBSTITUTE('Référentiel films'!$A$27,"’","'"),SUBSTITUTE(F15,"’","'"))),'Référentiel films'!$B$27,""),IF(ISNUMBER(SEARCH(SUBSTITUTE('Référentiel films'!$A$28,"’","'"),SUBSTITUTE(F15,"’","'"))),'Référentiel films'!$B$28,""),IF(ISNUMBER(SEARCH(SUBSTITUTE('Référentiel films'!$A$29,"’","'"),SUBSTITUTE(F15,"’","'"))),'Référentiel films'!$B$29,""),IF(ISNUMBER(SEARCH(SUBSTITUTE('Référentiel films'!$A$30,"’","'"),SUBSTITUTE(F15,"’","'"))),'Référentiel films'!$B$30,""),IF(ISNUMBER(SEARCH(SUBSTITUTE('Référentiel films'!$A$31,"’","'"),SUBSTITUTE(F15,"’","'"))),'Référentiel films'!$B$31,""),IF(ISNUMBER(SEARCH(SUBSTITUTE('Référentiel films'!$A$32,"’","'"),SUBSTITUTE(F15,"’","'"))),'Référentiel films'!$B$32,""),IF(ISNUMBER(SEARCH(SUBSTITUTE('Référentiel films'!$A$33,"’","'"),SUBSTITUTE(F15,"’","'"))),'Référentiel films'!$B$33,""),IF(ISNUMBER(SEARCH(SUBSTITUTE('Référentiel films'!$A$34,"’","'"),SUBSTITUTE(F15,"’","'"))),'Référentiel films'!$B$34,""),IF(ISNUMBER(SEARCH(SUBSTITUTE('Référentiel films'!$A$35,"’","'"),SUBSTITUTE(F15,"’","'"))),'Référentiel films'!$B$35,""),IF(ISNUMBER(SEARCH(SUBSTITUTE('Référentiel films'!$A$36,"’","'"),SUBSTITUTE(F15,"’","'"))),'Référentiel films'!$B$36,""),IF(ISNUMBER(SEARCH(SUBSTITUTE('Référentiel films'!$A$37,"’","'"),SUBSTITUTE(F15,"’","'"))),'Référentiel films'!$B$37,""),IF(ISNUMBER(SEARCH(SUBSTITUTE('Référentiel films'!$A$38,"’","'"),SUBSTITUTE(F15,"’","'"))),'Référentiel films'!$B$38,""),IF(ISNUMBER(SEARCH(SUBSTITUTE('Référentiel films'!$A$39,"’","'"),SUBSTITUTE(F15,"’","'"))),'Référentiel films'!$B$39,""),IF(ISNUMBER(SEARCH(SUBSTITUTE('Référentiel films'!$A$40,"’","'"),SUBSTITUTE(F15,"’","'"))),'Référentiel films'!$B$40,""),IF(ISNUMBER(SEARCH(SUBSTITUTE('Référentiel films'!$A$41,"’","'"),SUBSTITUTE(F15,"’","'"))),'Référentiel films'!$B$41,"")))</f>
        <v/>
      </c>
    </row>
    <row r="16" spans="1:21" ht="409.5" customHeight="1" x14ac:dyDescent="0.2">
      <c r="A16" s="1">
        <v>1960</v>
      </c>
      <c r="B16" s="1" t="s">
        <v>25</v>
      </c>
      <c r="C16" s="1" t="s">
        <v>144</v>
      </c>
      <c r="D16" s="1" t="s">
        <v>145</v>
      </c>
      <c r="E16" s="1"/>
      <c r="F16" s="1"/>
      <c r="G16" s="11"/>
      <c r="H16" s="11"/>
      <c r="I16" s="11"/>
      <c r="J16" s="11"/>
      <c r="K16" s="11"/>
      <c r="L16" s="11"/>
      <c r="M16" s="11" t="s">
        <v>107</v>
      </c>
      <c r="N16" s="11" t="s">
        <v>108</v>
      </c>
      <c r="O16" s="11"/>
      <c r="P16" s="11"/>
      <c r="Q16" s="11"/>
      <c r="R16" s="11"/>
      <c r="S16" s="11"/>
      <c r="T16" s="11"/>
      <c r="U16" s="28" t="str">
        <f>IF(F16="","",_xlfn.TEXTJOIN("; ",TRUE(),IF(ISNUMBER(SEARCH(SUBSTITUTE('Référentiel films'!$A$2,"’","'"),SUBSTITUTE(F16,"’","'"))),'Référentiel films'!$B$2,""),IF(ISNUMBER(SEARCH(SUBSTITUTE('Référentiel films'!$A$3,"’","'"),SUBSTITUTE(F16,"’","'"))),'Référentiel films'!$B$3,""),IF(ISNUMBER(SEARCH(SUBSTITUTE('Référentiel films'!$A$4,"’","'"),SUBSTITUTE(F16,"’","'"))),'Référentiel films'!$B$4,""),IF(ISNUMBER(SEARCH(SUBSTITUTE('Référentiel films'!$A$5,"’","'"),SUBSTITUTE(F16,"’","'"))),'Référentiel films'!$B$5,""),IF(ISNUMBER(SEARCH(SUBSTITUTE('Référentiel films'!$A$6,"’","'"),SUBSTITUTE(F16,"’","'"))),'Référentiel films'!$B$6,""),IF(ISNUMBER(SEARCH(SUBSTITUTE('Référentiel films'!$A$7,"’","'"),SUBSTITUTE(F16,"’","'"))),'Référentiel films'!$B$7,""),IF(ISNUMBER(SEARCH(SUBSTITUTE('Référentiel films'!$A$8,"’","'"),SUBSTITUTE(F16,"’","'"))),'Référentiel films'!$B$8,""),IF(ISNUMBER(SEARCH(SUBSTITUTE('Référentiel films'!$A$9,"’","'"),SUBSTITUTE(F16,"’","'"))),'Référentiel films'!$B$9,""),IF(ISNUMBER(SEARCH(SUBSTITUTE('Référentiel films'!$A$10,"’","'"),SUBSTITUTE(F16,"’","'"))),'Référentiel films'!$B$10,""),IF(ISNUMBER(SEARCH(SUBSTITUTE('Référentiel films'!$A$11,"’","'"),SUBSTITUTE(F16,"’","'"))),'Référentiel films'!$B$11,""),IF(ISNUMBER(SEARCH(SUBSTITUTE('Référentiel films'!$A$12,"’","'"),SUBSTITUTE(F16,"’","'"))),'Référentiel films'!$B$12,""),IF(ISNUMBER(SEARCH(SUBSTITUTE('Référentiel films'!$A$13,"’","'"),SUBSTITUTE(F16,"’","'"))),'Référentiel films'!$B$13,""),IF(ISNUMBER(SEARCH(SUBSTITUTE('Référentiel films'!$A$14,"’","'"),SUBSTITUTE(F16,"’","'"))),'Référentiel films'!$B$14,""),IF(ISNUMBER(SEARCH(SUBSTITUTE('Référentiel films'!$A$15,"’","'"),SUBSTITUTE(F16,"’","'"))),'Référentiel films'!$B$15,""),IF(ISNUMBER(SEARCH(SUBSTITUTE('Référentiel films'!$A$16,"’","'"),SUBSTITUTE(F16,"’","'"))),'Référentiel films'!$B$16,""),IF(ISNUMBER(SEARCH(SUBSTITUTE('Référentiel films'!$A$17,"’","'"),SUBSTITUTE(F16,"’","'"))),'Référentiel films'!$B$17,""),IF(ISNUMBER(SEARCH(SUBSTITUTE('Référentiel films'!$A$18,"’","'"),SUBSTITUTE(F16,"’","'"))),'Référentiel films'!$B$18,""),IF(ISNUMBER(SEARCH(SUBSTITUTE('Référentiel films'!$A$19,"’","'"),SUBSTITUTE(F16,"’","'"))),'Référentiel films'!$B$19,""),IF(ISNUMBER(SEARCH(SUBSTITUTE('Référentiel films'!$A$20,"’","'"),SUBSTITUTE(F16,"’","'"))),'Référentiel films'!$B$20,""),IF(ISNUMBER(SEARCH(SUBSTITUTE('Référentiel films'!$A$21,"’","'"),SUBSTITUTE(F16,"’","'"))),'Référentiel films'!$B$21,""),IF(ISNUMBER(SEARCH(SUBSTITUTE('Référentiel films'!$A$22,"’","'"),SUBSTITUTE(F16,"’","'"))),'Référentiel films'!$B$22,""),IF(ISNUMBER(SEARCH(SUBSTITUTE('Référentiel films'!$A$23,"’","'"),SUBSTITUTE(F16,"’","'"))),'Référentiel films'!$B$23,""),IF(ISNUMBER(SEARCH(SUBSTITUTE('Référentiel films'!$A$24,"’","'"),SUBSTITUTE(F16,"’","'"))),'Référentiel films'!$B$24,""),IF(ISNUMBER(SEARCH(SUBSTITUTE('Référentiel films'!$A$25,"’","'"),SUBSTITUTE(F16,"’","'"))),'Référentiel films'!$B$25,""),IF(ISNUMBER(SEARCH(SUBSTITUTE('Référentiel films'!$A$26,"’","'"),SUBSTITUTE(F16,"’","'"))),'Référentiel films'!$B$26,""),IF(ISNUMBER(SEARCH(SUBSTITUTE('Référentiel films'!$A$27,"’","'"),SUBSTITUTE(F16,"’","'"))),'Référentiel films'!$B$27,""),IF(ISNUMBER(SEARCH(SUBSTITUTE('Référentiel films'!$A$28,"’","'"),SUBSTITUTE(F16,"’","'"))),'Référentiel films'!$B$28,""),IF(ISNUMBER(SEARCH(SUBSTITUTE('Référentiel films'!$A$29,"’","'"),SUBSTITUTE(F16,"’","'"))),'Référentiel films'!$B$29,""),IF(ISNUMBER(SEARCH(SUBSTITUTE('Référentiel films'!$A$30,"’","'"),SUBSTITUTE(F16,"’","'"))),'Référentiel films'!$B$30,""),IF(ISNUMBER(SEARCH(SUBSTITUTE('Référentiel films'!$A$31,"’","'"),SUBSTITUTE(F16,"’","'"))),'Référentiel films'!$B$31,""),IF(ISNUMBER(SEARCH(SUBSTITUTE('Référentiel films'!$A$32,"’","'"),SUBSTITUTE(F16,"’","'"))),'Référentiel films'!$B$32,""),IF(ISNUMBER(SEARCH(SUBSTITUTE('Référentiel films'!$A$33,"’","'"),SUBSTITUTE(F16,"’","'"))),'Référentiel films'!$B$33,""),IF(ISNUMBER(SEARCH(SUBSTITUTE('Référentiel films'!$A$34,"’","'"),SUBSTITUTE(F16,"’","'"))),'Référentiel films'!$B$34,""),IF(ISNUMBER(SEARCH(SUBSTITUTE('Référentiel films'!$A$35,"’","'"),SUBSTITUTE(F16,"’","'"))),'Référentiel films'!$B$35,""),IF(ISNUMBER(SEARCH(SUBSTITUTE('Référentiel films'!$A$36,"’","'"),SUBSTITUTE(F16,"’","'"))),'Référentiel films'!$B$36,""),IF(ISNUMBER(SEARCH(SUBSTITUTE('Référentiel films'!$A$37,"’","'"),SUBSTITUTE(F16,"’","'"))),'Référentiel films'!$B$37,""),IF(ISNUMBER(SEARCH(SUBSTITUTE('Référentiel films'!$A$38,"’","'"),SUBSTITUTE(F16,"’","'"))),'Référentiel films'!$B$38,""),IF(ISNUMBER(SEARCH(SUBSTITUTE('Référentiel films'!$A$39,"’","'"),SUBSTITUTE(F16,"’","'"))),'Référentiel films'!$B$39,""),IF(ISNUMBER(SEARCH(SUBSTITUTE('Référentiel films'!$A$40,"’","'"),SUBSTITUTE(F16,"’","'"))),'Référentiel films'!$B$40,""),IF(ISNUMBER(SEARCH(SUBSTITUTE('Référentiel films'!$A$41,"’","'"),SUBSTITUTE(F16,"’","'"))),'Référentiel films'!$B$41,"")))</f>
        <v/>
      </c>
    </row>
    <row r="17" spans="1:21" ht="409.5" customHeight="1" x14ac:dyDescent="0.2">
      <c r="A17" s="1">
        <v>1961</v>
      </c>
      <c r="B17" s="1" t="s">
        <v>35</v>
      </c>
      <c r="C17" s="1" t="s">
        <v>146</v>
      </c>
      <c r="D17" s="11"/>
      <c r="E17" s="1" t="s">
        <v>147</v>
      </c>
      <c r="F17" s="11"/>
      <c r="G17" s="11"/>
      <c r="H17" s="11"/>
      <c r="I17" s="11"/>
      <c r="J17" s="11"/>
      <c r="K17" s="11"/>
      <c r="L17" s="11"/>
      <c r="M17" s="11" t="s">
        <v>107</v>
      </c>
      <c r="N17" s="11" t="s">
        <v>108</v>
      </c>
      <c r="O17" s="11" t="s">
        <v>148</v>
      </c>
      <c r="P17" s="11" t="s">
        <v>149</v>
      </c>
      <c r="Q17" s="11"/>
      <c r="R17" s="11"/>
      <c r="S17" s="11"/>
      <c r="T17" s="11"/>
      <c r="U17" s="28" t="str">
        <f>IF(F17="","",_xlfn.TEXTJOIN("; ",TRUE(),IF(ISNUMBER(SEARCH(SUBSTITUTE('Référentiel films'!$A$2,"’","'"),SUBSTITUTE(F17,"’","'"))),'Référentiel films'!$B$2,""),IF(ISNUMBER(SEARCH(SUBSTITUTE('Référentiel films'!$A$3,"’","'"),SUBSTITUTE(F17,"’","'"))),'Référentiel films'!$B$3,""),IF(ISNUMBER(SEARCH(SUBSTITUTE('Référentiel films'!$A$4,"’","'"),SUBSTITUTE(F17,"’","'"))),'Référentiel films'!$B$4,""),IF(ISNUMBER(SEARCH(SUBSTITUTE('Référentiel films'!$A$5,"’","'"),SUBSTITUTE(F17,"’","'"))),'Référentiel films'!$B$5,""),IF(ISNUMBER(SEARCH(SUBSTITUTE('Référentiel films'!$A$6,"’","'"),SUBSTITUTE(F17,"’","'"))),'Référentiel films'!$B$6,""),IF(ISNUMBER(SEARCH(SUBSTITUTE('Référentiel films'!$A$7,"’","'"),SUBSTITUTE(F17,"’","'"))),'Référentiel films'!$B$7,""),IF(ISNUMBER(SEARCH(SUBSTITUTE('Référentiel films'!$A$8,"’","'"),SUBSTITUTE(F17,"’","'"))),'Référentiel films'!$B$8,""),IF(ISNUMBER(SEARCH(SUBSTITUTE('Référentiel films'!$A$9,"’","'"),SUBSTITUTE(F17,"’","'"))),'Référentiel films'!$B$9,""),IF(ISNUMBER(SEARCH(SUBSTITUTE('Référentiel films'!$A$10,"’","'"),SUBSTITUTE(F17,"’","'"))),'Référentiel films'!$B$10,""),IF(ISNUMBER(SEARCH(SUBSTITUTE('Référentiel films'!$A$11,"’","'"),SUBSTITUTE(F17,"’","'"))),'Référentiel films'!$B$11,""),IF(ISNUMBER(SEARCH(SUBSTITUTE('Référentiel films'!$A$12,"’","'"),SUBSTITUTE(F17,"’","'"))),'Référentiel films'!$B$12,""),IF(ISNUMBER(SEARCH(SUBSTITUTE('Référentiel films'!$A$13,"’","'"),SUBSTITUTE(F17,"’","'"))),'Référentiel films'!$B$13,""),IF(ISNUMBER(SEARCH(SUBSTITUTE('Référentiel films'!$A$14,"’","'"),SUBSTITUTE(F17,"’","'"))),'Référentiel films'!$B$14,""),IF(ISNUMBER(SEARCH(SUBSTITUTE('Référentiel films'!$A$15,"’","'"),SUBSTITUTE(F17,"’","'"))),'Référentiel films'!$B$15,""),IF(ISNUMBER(SEARCH(SUBSTITUTE('Référentiel films'!$A$16,"’","'"),SUBSTITUTE(F17,"’","'"))),'Référentiel films'!$B$16,""),IF(ISNUMBER(SEARCH(SUBSTITUTE('Référentiel films'!$A$17,"’","'"),SUBSTITUTE(F17,"’","'"))),'Référentiel films'!$B$17,""),IF(ISNUMBER(SEARCH(SUBSTITUTE('Référentiel films'!$A$18,"’","'"),SUBSTITUTE(F17,"’","'"))),'Référentiel films'!$B$18,""),IF(ISNUMBER(SEARCH(SUBSTITUTE('Référentiel films'!$A$19,"’","'"),SUBSTITUTE(F17,"’","'"))),'Référentiel films'!$B$19,""),IF(ISNUMBER(SEARCH(SUBSTITUTE('Référentiel films'!$A$20,"’","'"),SUBSTITUTE(F17,"’","'"))),'Référentiel films'!$B$20,""),IF(ISNUMBER(SEARCH(SUBSTITUTE('Référentiel films'!$A$21,"’","'"),SUBSTITUTE(F17,"’","'"))),'Référentiel films'!$B$21,""),IF(ISNUMBER(SEARCH(SUBSTITUTE('Référentiel films'!$A$22,"’","'"),SUBSTITUTE(F17,"’","'"))),'Référentiel films'!$B$22,""),IF(ISNUMBER(SEARCH(SUBSTITUTE('Référentiel films'!$A$23,"’","'"),SUBSTITUTE(F17,"’","'"))),'Référentiel films'!$B$23,""),IF(ISNUMBER(SEARCH(SUBSTITUTE('Référentiel films'!$A$24,"’","'"),SUBSTITUTE(F17,"’","'"))),'Référentiel films'!$B$24,""),IF(ISNUMBER(SEARCH(SUBSTITUTE('Référentiel films'!$A$25,"’","'"),SUBSTITUTE(F17,"’","'"))),'Référentiel films'!$B$25,""),IF(ISNUMBER(SEARCH(SUBSTITUTE('Référentiel films'!$A$26,"’","'"),SUBSTITUTE(F17,"’","'"))),'Référentiel films'!$B$26,""),IF(ISNUMBER(SEARCH(SUBSTITUTE('Référentiel films'!$A$27,"’","'"),SUBSTITUTE(F17,"’","'"))),'Référentiel films'!$B$27,""),IF(ISNUMBER(SEARCH(SUBSTITUTE('Référentiel films'!$A$28,"’","'"),SUBSTITUTE(F17,"’","'"))),'Référentiel films'!$B$28,""),IF(ISNUMBER(SEARCH(SUBSTITUTE('Référentiel films'!$A$29,"’","'"),SUBSTITUTE(F17,"’","'"))),'Référentiel films'!$B$29,""),IF(ISNUMBER(SEARCH(SUBSTITUTE('Référentiel films'!$A$30,"’","'"),SUBSTITUTE(F17,"’","'"))),'Référentiel films'!$B$30,""),IF(ISNUMBER(SEARCH(SUBSTITUTE('Référentiel films'!$A$31,"’","'"),SUBSTITUTE(F17,"’","'"))),'Référentiel films'!$B$31,""),IF(ISNUMBER(SEARCH(SUBSTITUTE('Référentiel films'!$A$32,"’","'"),SUBSTITUTE(F17,"’","'"))),'Référentiel films'!$B$32,""),IF(ISNUMBER(SEARCH(SUBSTITUTE('Référentiel films'!$A$33,"’","'"),SUBSTITUTE(F17,"’","'"))),'Référentiel films'!$B$33,""),IF(ISNUMBER(SEARCH(SUBSTITUTE('Référentiel films'!$A$34,"’","'"),SUBSTITUTE(F17,"’","'"))),'Référentiel films'!$B$34,""),IF(ISNUMBER(SEARCH(SUBSTITUTE('Référentiel films'!$A$35,"’","'"),SUBSTITUTE(F17,"’","'"))),'Référentiel films'!$B$35,""),IF(ISNUMBER(SEARCH(SUBSTITUTE('Référentiel films'!$A$36,"’","'"),SUBSTITUTE(F17,"’","'"))),'Référentiel films'!$B$36,""),IF(ISNUMBER(SEARCH(SUBSTITUTE('Référentiel films'!$A$37,"’","'"),SUBSTITUTE(F17,"’","'"))),'Référentiel films'!$B$37,""),IF(ISNUMBER(SEARCH(SUBSTITUTE('Référentiel films'!$A$38,"’","'"),SUBSTITUTE(F17,"’","'"))),'Référentiel films'!$B$38,""),IF(ISNUMBER(SEARCH(SUBSTITUTE('Référentiel films'!$A$39,"’","'"),SUBSTITUTE(F17,"’","'"))),'Référentiel films'!$B$39,""),IF(ISNUMBER(SEARCH(SUBSTITUTE('Référentiel films'!$A$40,"’","'"),SUBSTITUTE(F17,"’","'"))),'Référentiel films'!$B$40,""),IF(ISNUMBER(SEARCH(SUBSTITUTE('Référentiel films'!$A$41,"’","'"),SUBSTITUTE(F17,"’","'"))),'Référentiel films'!$B$41,"")))</f>
        <v/>
      </c>
    </row>
    <row r="18" spans="1:21" ht="199" customHeight="1" x14ac:dyDescent="0.2">
      <c r="A18" s="1">
        <v>1962</v>
      </c>
      <c r="B18" s="1" t="s">
        <v>35</v>
      </c>
      <c r="C18" s="1"/>
      <c r="D18" s="1" t="s">
        <v>150</v>
      </c>
      <c r="E18" s="1"/>
      <c r="F18" s="1"/>
      <c r="G18" s="11"/>
      <c r="H18" s="11"/>
      <c r="I18" s="11"/>
      <c r="J18" s="11"/>
      <c r="K18" s="11"/>
      <c r="L18" s="11" t="s">
        <v>151</v>
      </c>
      <c r="O18" s="11"/>
      <c r="P18" s="11"/>
      <c r="Q18" s="11"/>
      <c r="R18" s="11"/>
      <c r="S18" s="11"/>
      <c r="T18" s="11"/>
      <c r="U18" s="28" t="str">
        <f>IF(F18="","",_xlfn.TEXTJOIN("; ",TRUE(),IF(ISNUMBER(SEARCH(SUBSTITUTE('Référentiel films'!$A$2,"’","'"),SUBSTITUTE(F18,"’","'"))),'Référentiel films'!$B$2,""),IF(ISNUMBER(SEARCH(SUBSTITUTE('Référentiel films'!$A$3,"’","'"),SUBSTITUTE(F18,"’","'"))),'Référentiel films'!$B$3,""),IF(ISNUMBER(SEARCH(SUBSTITUTE('Référentiel films'!$A$4,"’","'"),SUBSTITUTE(F18,"’","'"))),'Référentiel films'!$B$4,""),IF(ISNUMBER(SEARCH(SUBSTITUTE('Référentiel films'!$A$5,"’","'"),SUBSTITUTE(F18,"’","'"))),'Référentiel films'!$B$5,""),IF(ISNUMBER(SEARCH(SUBSTITUTE('Référentiel films'!$A$6,"’","'"),SUBSTITUTE(F18,"’","'"))),'Référentiel films'!$B$6,""),IF(ISNUMBER(SEARCH(SUBSTITUTE('Référentiel films'!$A$7,"’","'"),SUBSTITUTE(F18,"’","'"))),'Référentiel films'!$B$7,""),IF(ISNUMBER(SEARCH(SUBSTITUTE('Référentiel films'!$A$8,"’","'"),SUBSTITUTE(F18,"’","'"))),'Référentiel films'!$B$8,""),IF(ISNUMBER(SEARCH(SUBSTITUTE('Référentiel films'!$A$9,"’","'"),SUBSTITUTE(F18,"’","'"))),'Référentiel films'!$B$9,""),IF(ISNUMBER(SEARCH(SUBSTITUTE('Référentiel films'!$A$10,"’","'"),SUBSTITUTE(F18,"’","'"))),'Référentiel films'!$B$10,""),IF(ISNUMBER(SEARCH(SUBSTITUTE('Référentiel films'!$A$11,"’","'"),SUBSTITUTE(F18,"’","'"))),'Référentiel films'!$B$11,""),IF(ISNUMBER(SEARCH(SUBSTITUTE('Référentiel films'!$A$12,"’","'"),SUBSTITUTE(F18,"’","'"))),'Référentiel films'!$B$12,""),IF(ISNUMBER(SEARCH(SUBSTITUTE('Référentiel films'!$A$13,"’","'"),SUBSTITUTE(F18,"’","'"))),'Référentiel films'!$B$13,""),IF(ISNUMBER(SEARCH(SUBSTITUTE('Référentiel films'!$A$14,"’","'"),SUBSTITUTE(F18,"’","'"))),'Référentiel films'!$B$14,""),IF(ISNUMBER(SEARCH(SUBSTITUTE('Référentiel films'!$A$15,"’","'"),SUBSTITUTE(F18,"’","'"))),'Référentiel films'!$B$15,""),IF(ISNUMBER(SEARCH(SUBSTITUTE('Référentiel films'!$A$16,"’","'"),SUBSTITUTE(F18,"’","'"))),'Référentiel films'!$B$16,""),IF(ISNUMBER(SEARCH(SUBSTITUTE('Référentiel films'!$A$17,"’","'"),SUBSTITUTE(F18,"’","'"))),'Référentiel films'!$B$17,""),IF(ISNUMBER(SEARCH(SUBSTITUTE('Référentiel films'!$A$18,"’","'"),SUBSTITUTE(F18,"’","'"))),'Référentiel films'!$B$18,""),IF(ISNUMBER(SEARCH(SUBSTITUTE('Référentiel films'!$A$19,"’","'"),SUBSTITUTE(F18,"’","'"))),'Référentiel films'!$B$19,""),IF(ISNUMBER(SEARCH(SUBSTITUTE('Référentiel films'!$A$20,"’","'"),SUBSTITUTE(F18,"’","'"))),'Référentiel films'!$B$20,""),IF(ISNUMBER(SEARCH(SUBSTITUTE('Référentiel films'!$A$21,"’","'"),SUBSTITUTE(F18,"’","'"))),'Référentiel films'!$B$21,""),IF(ISNUMBER(SEARCH(SUBSTITUTE('Référentiel films'!$A$22,"’","'"),SUBSTITUTE(F18,"’","'"))),'Référentiel films'!$B$22,""),IF(ISNUMBER(SEARCH(SUBSTITUTE('Référentiel films'!$A$23,"’","'"),SUBSTITUTE(F18,"’","'"))),'Référentiel films'!$B$23,""),IF(ISNUMBER(SEARCH(SUBSTITUTE('Référentiel films'!$A$24,"’","'"),SUBSTITUTE(F18,"’","'"))),'Référentiel films'!$B$24,""),IF(ISNUMBER(SEARCH(SUBSTITUTE('Référentiel films'!$A$25,"’","'"),SUBSTITUTE(F18,"’","'"))),'Référentiel films'!$B$25,""),IF(ISNUMBER(SEARCH(SUBSTITUTE('Référentiel films'!$A$26,"’","'"),SUBSTITUTE(F18,"’","'"))),'Référentiel films'!$B$26,""),IF(ISNUMBER(SEARCH(SUBSTITUTE('Référentiel films'!$A$27,"’","'"),SUBSTITUTE(F18,"’","'"))),'Référentiel films'!$B$27,""),IF(ISNUMBER(SEARCH(SUBSTITUTE('Référentiel films'!$A$28,"’","'"),SUBSTITUTE(F18,"’","'"))),'Référentiel films'!$B$28,""),IF(ISNUMBER(SEARCH(SUBSTITUTE('Référentiel films'!$A$29,"’","'"),SUBSTITUTE(F18,"’","'"))),'Référentiel films'!$B$29,""),IF(ISNUMBER(SEARCH(SUBSTITUTE('Référentiel films'!$A$30,"’","'"),SUBSTITUTE(F18,"’","'"))),'Référentiel films'!$B$30,""),IF(ISNUMBER(SEARCH(SUBSTITUTE('Référentiel films'!$A$31,"’","'"),SUBSTITUTE(F18,"’","'"))),'Référentiel films'!$B$31,""),IF(ISNUMBER(SEARCH(SUBSTITUTE('Référentiel films'!$A$32,"’","'"),SUBSTITUTE(F18,"’","'"))),'Référentiel films'!$B$32,""),IF(ISNUMBER(SEARCH(SUBSTITUTE('Référentiel films'!$A$33,"’","'"),SUBSTITUTE(F18,"’","'"))),'Référentiel films'!$B$33,""),IF(ISNUMBER(SEARCH(SUBSTITUTE('Référentiel films'!$A$34,"’","'"),SUBSTITUTE(F18,"’","'"))),'Référentiel films'!$B$34,""),IF(ISNUMBER(SEARCH(SUBSTITUTE('Référentiel films'!$A$35,"’","'"),SUBSTITUTE(F18,"’","'"))),'Référentiel films'!$B$35,""),IF(ISNUMBER(SEARCH(SUBSTITUTE('Référentiel films'!$A$36,"’","'"),SUBSTITUTE(F18,"’","'"))),'Référentiel films'!$B$36,""),IF(ISNUMBER(SEARCH(SUBSTITUTE('Référentiel films'!$A$37,"’","'"),SUBSTITUTE(F18,"’","'"))),'Référentiel films'!$B$37,""),IF(ISNUMBER(SEARCH(SUBSTITUTE('Référentiel films'!$A$38,"’","'"),SUBSTITUTE(F18,"’","'"))),'Référentiel films'!$B$38,""),IF(ISNUMBER(SEARCH(SUBSTITUTE('Référentiel films'!$A$39,"’","'"),SUBSTITUTE(F18,"’","'"))),'Référentiel films'!$B$39,""),IF(ISNUMBER(SEARCH(SUBSTITUTE('Référentiel films'!$A$40,"’","'"),SUBSTITUTE(F18,"’","'"))),'Référentiel films'!$B$40,""),IF(ISNUMBER(SEARCH(SUBSTITUTE('Référentiel films'!$A$41,"’","'"),SUBSTITUTE(F18,"’","'"))),'Référentiel films'!$B$41,"")))</f>
        <v/>
      </c>
    </row>
    <row r="19" spans="1:21" ht="409.5" customHeight="1" x14ac:dyDescent="0.2">
      <c r="A19" s="1">
        <v>1963</v>
      </c>
      <c r="B19" s="1" t="s">
        <v>35</v>
      </c>
      <c r="C19" s="1" t="s">
        <v>152</v>
      </c>
      <c r="D19" s="13" t="s">
        <v>153</v>
      </c>
      <c r="E19" s="1" t="s">
        <v>154</v>
      </c>
      <c r="F19" s="1"/>
      <c r="G19" s="11"/>
      <c r="H19" s="12" t="s">
        <v>155</v>
      </c>
      <c r="I19" s="12" t="s">
        <v>156</v>
      </c>
      <c r="J19" s="11" t="s">
        <v>157</v>
      </c>
      <c r="K19" s="11"/>
      <c r="L19" s="11"/>
      <c r="M19" s="11" t="s">
        <v>158</v>
      </c>
      <c r="N19" s="11" t="s">
        <v>159</v>
      </c>
      <c r="O19" s="11" t="s">
        <v>107</v>
      </c>
      <c r="P19" s="11" t="s">
        <v>108</v>
      </c>
      <c r="Q19" s="11" t="s">
        <v>160</v>
      </c>
      <c r="R19" s="11" t="s">
        <v>161</v>
      </c>
      <c r="S19" s="11"/>
      <c r="T19" s="11"/>
      <c r="U19" s="28" t="str">
        <f>IF(F19="","",_xlfn.TEXTJOIN("; ",TRUE(),IF(ISNUMBER(SEARCH(SUBSTITUTE('Référentiel films'!$A$2,"’","'"),SUBSTITUTE(F19,"’","'"))),'Référentiel films'!$B$2,""),IF(ISNUMBER(SEARCH(SUBSTITUTE('Référentiel films'!$A$3,"’","'"),SUBSTITUTE(F19,"’","'"))),'Référentiel films'!$B$3,""),IF(ISNUMBER(SEARCH(SUBSTITUTE('Référentiel films'!$A$4,"’","'"),SUBSTITUTE(F19,"’","'"))),'Référentiel films'!$B$4,""),IF(ISNUMBER(SEARCH(SUBSTITUTE('Référentiel films'!$A$5,"’","'"),SUBSTITUTE(F19,"’","'"))),'Référentiel films'!$B$5,""),IF(ISNUMBER(SEARCH(SUBSTITUTE('Référentiel films'!$A$6,"’","'"),SUBSTITUTE(F19,"’","'"))),'Référentiel films'!$B$6,""),IF(ISNUMBER(SEARCH(SUBSTITUTE('Référentiel films'!$A$7,"’","'"),SUBSTITUTE(F19,"’","'"))),'Référentiel films'!$B$7,""),IF(ISNUMBER(SEARCH(SUBSTITUTE('Référentiel films'!$A$8,"’","'"),SUBSTITUTE(F19,"’","'"))),'Référentiel films'!$B$8,""),IF(ISNUMBER(SEARCH(SUBSTITUTE('Référentiel films'!$A$9,"’","'"),SUBSTITUTE(F19,"’","'"))),'Référentiel films'!$B$9,""),IF(ISNUMBER(SEARCH(SUBSTITUTE('Référentiel films'!$A$10,"’","'"),SUBSTITUTE(F19,"’","'"))),'Référentiel films'!$B$10,""),IF(ISNUMBER(SEARCH(SUBSTITUTE('Référentiel films'!$A$11,"’","'"),SUBSTITUTE(F19,"’","'"))),'Référentiel films'!$B$11,""),IF(ISNUMBER(SEARCH(SUBSTITUTE('Référentiel films'!$A$12,"’","'"),SUBSTITUTE(F19,"’","'"))),'Référentiel films'!$B$12,""),IF(ISNUMBER(SEARCH(SUBSTITUTE('Référentiel films'!$A$13,"’","'"),SUBSTITUTE(F19,"’","'"))),'Référentiel films'!$B$13,""),IF(ISNUMBER(SEARCH(SUBSTITUTE('Référentiel films'!$A$14,"’","'"),SUBSTITUTE(F19,"’","'"))),'Référentiel films'!$B$14,""),IF(ISNUMBER(SEARCH(SUBSTITUTE('Référentiel films'!$A$15,"’","'"),SUBSTITUTE(F19,"’","'"))),'Référentiel films'!$B$15,""),IF(ISNUMBER(SEARCH(SUBSTITUTE('Référentiel films'!$A$16,"’","'"),SUBSTITUTE(F19,"’","'"))),'Référentiel films'!$B$16,""),IF(ISNUMBER(SEARCH(SUBSTITUTE('Référentiel films'!$A$17,"’","'"),SUBSTITUTE(F19,"’","'"))),'Référentiel films'!$B$17,""),IF(ISNUMBER(SEARCH(SUBSTITUTE('Référentiel films'!$A$18,"’","'"),SUBSTITUTE(F19,"’","'"))),'Référentiel films'!$B$18,""),IF(ISNUMBER(SEARCH(SUBSTITUTE('Référentiel films'!$A$19,"’","'"),SUBSTITUTE(F19,"’","'"))),'Référentiel films'!$B$19,""),IF(ISNUMBER(SEARCH(SUBSTITUTE('Référentiel films'!$A$20,"’","'"),SUBSTITUTE(F19,"’","'"))),'Référentiel films'!$B$20,""),IF(ISNUMBER(SEARCH(SUBSTITUTE('Référentiel films'!$A$21,"’","'"),SUBSTITUTE(F19,"’","'"))),'Référentiel films'!$B$21,""),IF(ISNUMBER(SEARCH(SUBSTITUTE('Référentiel films'!$A$22,"’","'"),SUBSTITUTE(F19,"’","'"))),'Référentiel films'!$B$22,""),IF(ISNUMBER(SEARCH(SUBSTITUTE('Référentiel films'!$A$23,"’","'"),SUBSTITUTE(F19,"’","'"))),'Référentiel films'!$B$23,""),IF(ISNUMBER(SEARCH(SUBSTITUTE('Référentiel films'!$A$24,"’","'"),SUBSTITUTE(F19,"’","'"))),'Référentiel films'!$B$24,""),IF(ISNUMBER(SEARCH(SUBSTITUTE('Référentiel films'!$A$25,"’","'"),SUBSTITUTE(F19,"’","'"))),'Référentiel films'!$B$25,""),IF(ISNUMBER(SEARCH(SUBSTITUTE('Référentiel films'!$A$26,"’","'"),SUBSTITUTE(F19,"’","'"))),'Référentiel films'!$B$26,""),IF(ISNUMBER(SEARCH(SUBSTITUTE('Référentiel films'!$A$27,"’","'"),SUBSTITUTE(F19,"’","'"))),'Référentiel films'!$B$27,""),IF(ISNUMBER(SEARCH(SUBSTITUTE('Référentiel films'!$A$28,"’","'"),SUBSTITUTE(F19,"’","'"))),'Référentiel films'!$B$28,""),IF(ISNUMBER(SEARCH(SUBSTITUTE('Référentiel films'!$A$29,"’","'"),SUBSTITUTE(F19,"’","'"))),'Référentiel films'!$B$29,""),IF(ISNUMBER(SEARCH(SUBSTITUTE('Référentiel films'!$A$30,"’","'"),SUBSTITUTE(F19,"’","'"))),'Référentiel films'!$B$30,""),IF(ISNUMBER(SEARCH(SUBSTITUTE('Référentiel films'!$A$31,"’","'"),SUBSTITUTE(F19,"’","'"))),'Référentiel films'!$B$31,""),IF(ISNUMBER(SEARCH(SUBSTITUTE('Référentiel films'!$A$32,"’","'"),SUBSTITUTE(F19,"’","'"))),'Référentiel films'!$B$32,""),IF(ISNUMBER(SEARCH(SUBSTITUTE('Référentiel films'!$A$33,"’","'"),SUBSTITUTE(F19,"’","'"))),'Référentiel films'!$B$33,""),IF(ISNUMBER(SEARCH(SUBSTITUTE('Référentiel films'!$A$34,"’","'"),SUBSTITUTE(F19,"’","'"))),'Référentiel films'!$B$34,""),IF(ISNUMBER(SEARCH(SUBSTITUTE('Référentiel films'!$A$35,"’","'"),SUBSTITUTE(F19,"’","'"))),'Référentiel films'!$B$35,""),IF(ISNUMBER(SEARCH(SUBSTITUTE('Référentiel films'!$A$36,"’","'"),SUBSTITUTE(F19,"’","'"))),'Référentiel films'!$B$36,""),IF(ISNUMBER(SEARCH(SUBSTITUTE('Référentiel films'!$A$37,"’","'"),SUBSTITUTE(F19,"’","'"))),'Référentiel films'!$B$37,""),IF(ISNUMBER(SEARCH(SUBSTITUTE('Référentiel films'!$A$38,"’","'"),SUBSTITUTE(F19,"’","'"))),'Référentiel films'!$B$38,""),IF(ISNUMBER(SEARCH(SUBSTITUTE('Référentiel films'!$A$39,"’","'"),SUBSTITUTE(F19,"’","'"))),'Référentiel films'!$B$39,""),IF(ISNUMBER(SEARCH(SUBSTITUTE('Référentiel films'!$A$40,"’","'"),SUBSTITUTE(F19,"’","'"))),'Référentiel films'!$B$40,""),IF(ISNUMBER(SEARCH(SUBSTITUTE('Référentiel films'!$A$41,"’","'"),SUBSTITUTE(F19,"’","'"))),'Référentiel films'!$B$41,"")))</f>
        <v/>
      </c>
    </row>
    <row r="20" spans="1:21" ht="256" customHeight="1" x14ac:dyDescent="0.2">
      <c r="A20" s="1">
        <v>1964</v>
      </c>
      <c r="B20" s="1" t="s">
        <v>35</v>
      </c>
      <c r="C20" s="1" t="s">
        <v>162</v>
      </c>
      <c r="D20" s="1"/>
      <c r="E20" s="1" t="s">
        <v>163</v>
      </c>
      <c r="F20" s="1"/>
      <c r="G20" s="11"/>
      <c r="H20" s="12"/>
      <c r="I20" s="11"/>
      <c r="J20" s="11"/>
      <c r="K20" s="11"/>
      <c r="L20" s="11"/>
      <c r="M20" s="11" t="s">
        <v>164</v>
      </c>
      <c r="N20" s="11" t="s">
        <v>165</v>
      </c>
      <c r="O20" s="11" t="s">
        <v>160</v>
      </c>
      <c r="P20" s="11" t="s">
        <v>161</v>
      </c>
      <c r="Q20" s="11"/>
      <c r="R20" s="11"/>
      <c r="S20" s="11"/>
      <c r="T20" s="11"/>
      <c r="U20" s="28" t="str">
        <f>IF(F20="","",_xlfn.TEXTJOIN("; ",TRUE(),IF(ISNUMBER(SEARCH(SUBSTITUTE('Référentiel films'!$A$2,"’","'"),SUBSTITUTE(F20,"’","'"))),'Référentiel films'!$B$2,""),IF(ISNUMBER(SEARCH(SUBSTITUTE('Référentiel films'!$A$3,"’","'"),SUBSTITUTE(F20,"’","'"))),'Référentiel films'!$B$3,""),IF(ISNUMBER(SEARCH(SUBSTITUTE('Référentiel films'!$A$4,"’","'"),SUBSTITUTE(F20,"’","'"))),'Référentiel films'!$B$4,""),IF(ISNUMBER(SEARCH(SUBSTITUTE('Référentiel films'!$A$5,"’","'"),SUBSTITUTE(F20,"’","'"))),'Référentiel films'!$B$5,""),IF(ISNUMBER(SEARCH(SUBSTITUTE('Référentiel films'!$A$6,"’","'"),SUBSTITUTE(F20,"’","'"))),'Référentiel films'!$B$6,""),IF(ISNUMBER(SEARCH(SUBSTITUTE('Référentiel films'!$A$7,"’","'"),SUBSTITUTE(F20,"’","'"))),'Référentiel films'!$B$7,""),IF(ISNUMBER(SEARCH(SUBSTITUTE('Référentiel films'!$A$8,"’","'"),SUBSTITUTE(F20,"’","'"))),'Référentiel films'!$B$8,""),IF(ISNUMBER(SEARCH(SUBSTITUTE('Référentiel films'!$A$9,"’","'"),SUBSTITUTE(F20,"’","'"))),'Référentiel films'!$B$9,""),IF(ISNUMBER(SEARCH(SUBSTITUTE('Référentiel films'!$A$10,"’","'"),SUBSTITUTE(F20,"’","'"))),'Référentiel films'!$B$10,""),IF(ISNUMBER(SEARCH(SUBSTITUTE('Référentiel films'!$A$11,"’","'"),SUBSTITUTE(F20,"’","'"))),'Référentiel films'!$B$11,""),IF(ISNUMBER(SEARCH(SUBSTITUTE('Référentiel films'!$A$12,"’","'"),SUBSTITUTE(F20,"’","'"))),'Référentiel films'!$B$12,""),IF(ISNUMBER(SEARCH(SUBSTITUTE('Référentiel films'!$A$13,"’","'"),SUBSTITUTE(F20,"’","'"))),'Référentiel films'!$B$13,""),IF(ISNUMBER(SEARCH(SUBSTITUTE('Référentiel films'!$A$14,"’","'"),SUBSTITUTE(F20,"’","'"))),'Référentiel films'!$B$14,""),IF(ISNUMBER(SEARCH(SUBSTITUTE('Référentiel films'!$A$15,"’","'"),SUBSTITUTE(F20,"’","'"))),'Référentiel films'!$B$15,""),IF(ISNUMBER(SEARCH(SUBSTITUTE('Référentiel films'!$A$16,"’","'"),SUBSTITUTE(F20,"’","'"))),'Référentiel films'!$B$16,""),IF(ISNUMBER(SEARCH(SUBSTITUTE('Référentiel films'!$A$17,"’","'"),SUBSTITUTE(F20,"’","'"))),'Référentiel films'!$B$17,""),IF(ISNUMBER(SEARCH(SUBSTITUTE('Référentiel films'!$A$18,"’","'"),SUBSTITUTE(F20,"’","'"))),'Référentiel films'!$B$18,""),IF(ISNUMBER(SEARCH(SUBSTITUTE('Référentiel films'!$A$19,"’","'"),SUBSTITUTE(F20,"’","'"))),'Référentiel films'!$B$19,""),IF(ISNUMBER(SEARCH(SUBSTITUTE('Référentiel films'!$A$20,"’","'"),SUBSTITUTE(F20,"’","'"))),'Référentiel films'!$B$20,""),IF(ISNUMBER(SEARCH(SUBSTITUTE('Référentiel films'!$A$21,"’","'"),SUBSTITUTE(F20,"’","'"))),'Référentiel films'!$B$21,""),IF(ISNUMBER(SEARCH(SUBSTITUTE('Référentiel films'!$A$22,"’","'"),SUBSTITUTE(F20,"’","'"))),'Référentiel films'!$B$22,""),IF(ISNUMBER(SEARCH(SUBSTITUTE('Référentiel films'!$A$23,"’","'"),SUBSTITUTE(F20,"’","'"))),'Référentiel films'!$B$23,""),IF(ISNUMBER(SEARCH(SUBSTITUTE('Référentiel films'!$A$24,"’","'"),SUBSTITUTE(F20,"’","'"))),'Référentiel films'!$B$24,""),IF(ISNUMBER(SEARCH(SUBSTITUTE('Référentiel films'!$A$25,"’","'"),SUBSTITUTE(F20,"’","'"))),'Référentiel films'!$B$25,""),IF(ISNUMBER(SEARCH(SUBSTITUTE('Référentiel films'!$A$26,"’","'"),SUBSTITUTE(F20,"’","'"))),'Référentiel films'!$B$26,""),IF(ISNUMBER(SEARCH(SUBSTITUTE('Référentiel films'!$A$27,"’","'"),SUBSTITUTE(F20,"’","'"))),'Référentiel films'!$B$27,""),IF(ISNUMBER(SEARCH(SUBSTITUTE('Référentiel films'!$A$28,"’","'"),SUBSTITUTE(F20,"’","'"))),'Référentiel films'!$B$28,""),IF(ISNUMBER(SEARCH(SUBSTITUTE('Référentiel films'!$A$29,"’","'"),SUBSTITUTE(F20,"’","'"))),'Référentiel films'!$B$29,""),IF(ISNUMBER(SEARCH(SUBSTITUTE('Référentiel films'!$A$30,"’","'"),SUBSTITUTE(F20,"’","'"))),'Référentiel films'!$B$30,""),IF(ISNUMBER(SEARCH(SUBSTITUTE('Référentiel films'!$A$31,"’","'"),SUBSTITUTE(F20,"’","'"))),'Référentiel films'!$B$31,""),IF(ISNUMBER(SEARCH(SUBSTITUTE('Référentiel films'!$A$32,"’","'"),SUBSTITUTE(F20,"’","'"))),'Référentiel films'!$B$32,""),IF(ISNUMBER(SEARCH(SUBSTITUTE('Référentiel films'!$A$33,"’","'"),SUBSTITUTE(F20,"’","'"))),'Référentiel films'!$B$33,""),IF(ISNUMBER(SEARCH(SUBSTITUTE('Référentiel films'!$A$34,"’","'"),SUBSTITUTE(F20,"’","'"))),'Référentiel films'!$B$34,""),IF(ISNUMBER(SEARCH(SUBSTITUTE('Référentiel films'!$A$35,"’","'"),SUBSTITUTE(F20,"’","'"))),'Référentiel films'!$B$35,""),IF(ISNUMBER(SEARCH(SUBSTITUTE('Référentiel films'!$A$36,"’","'"),SUBSTITUTE(F20,"’","'"))),'Référentiel films'!$B$36,""),IF(ISNUMBER(SEARCH(SUBSTITUTE('Référentiel films'!$A$37,"’","'"),SUBSTITUTE(F20,"’","'"))),'Référentiel films'!$B$37,""),IF(ISNUMBER(SEARCH(SUBSTITUTE('Référentiel films'!$A$38,"’","'"),SUBSTITUTE(F20,"’","'"))),'Référentiel films'!$B$38,""),IF(ISNUMBER(SEARCH(SUBSTITUTE('Référentiel films'!$A$39,"’","'"),SUBSTITUTE(F20,"’","'"))),'Référentiel films'!$B$39,""),IF(ISNUMBER(SEARCH(SUBSTITUTE('Référentiel films'!$A$40,"’","'"),SUBSTITUTE(F20,"’","'"))),'Référentiel films'!$B$40,""),IF(ISNUMBER(SEARCH(SUBSTITUTE('Référentiel films'!$A$41,"’","'"),SUBSTITUTE(F20,"’","'"))),'Référentiel films'!$B$41,"")))</f>
        <v/>
      </c>
    </row>
    <row r="21" spans="1:21" ht="273.25" customHeight="1" x14ac:dyDescent="0.2">
      <c r="A21" s="1">
        <v>1965</v>
      </c>
      <c r="B21" s="1"/>
      <c r="C21" s="1"/>
      <c r="D21" s="1"/>
      <c r="E21" s="1" t="s">
        <v>166</v>
      </c>
      <c r="F21" s="1"/>
      <c r="G21" s="11"/>
      <c r="H21" s="12"/>
      <c r="I21" s="11"/>
      <c r="J21" s="11"/>
      <c r="K21" s="11"/>
      <c r="L21" s="11"/>
      <c r="M21" s="11"/>
      <c r="N21" s="11"/>
      <c r="O21" s="11"/>
      <c r="P21" s="11"/>
      <c r="Q21" s="11"/>
      <c r="R21" s="11"/>
      <c r="S21" s="11"/>
      <c r="T21" s="11"/>
      <c r="U21" s="28"/>
    </row>
    <row r="22" spans="1:21" ht="369.75" customHeight="1" x14ac:dyDescent="0.2">
      <c r="A22" s="1">
        <v>1966</v>
      </c>
      <c r="B22" s="1" t="s">
        <v>42</v>
      </c>
      <c r="C22" s="1" t="s">
        <v>167</v>
      </c>
      <c r="D22" s="1" t="s">
        <v>168</v>
      </c>
      <c r="E22" s="1" t="s">
        <v>169</v>
      </c>
      <c r="F22" s="1" t="s">
        <v>170</v>
      </c>
      <c r="G22" s="11"/>
      <c r="H22" s="11"/>
      <c r="I22" s="11"/>
      <c r="J22" s="11"/>
      <c r="K22" s="11"/>
      <c r="L22" s="11"/>
      <c r="M22" s="11" t="s">
        <v>160</v>
      </c>
      <c r="N22" s="11" t="s">
        <v>161</v>
      </c>
      <c r="O22" s="11" t="s">
        <v>171</v>
      </c>
      <c r="P22" s="11" t="s">
        <v>172</v>
      </c>
      <c r="S22" s="11"/>
      <c r="T22" s="11"/>
      <c r="U22" s="29" t="str">
        <f>IF(F22="","",_xlfn.TEXTJOIN("; ",TRUE(),IF(ISNUMBER(SEARCH(SUBSTITUTE('Référentiel films'!$A$2,"’","'"),SUBSTITUTE(F22,"’","'"))),'Référentiel films'!$B$2,""),IF(ISNUMBER(SEARCH(SUBSTITUTE('Référentiel films'!$A$3,"’","'"),SUBSTITUTE(F22,"’","'"))),'Référentiel films'!$B$3,""),IF(ISNUMBER(SEARCH(SUBSTITUTE('Référentiel films'!$A$4,"’","'"),SUBSTITUTE(F22,"’","'"))),'Référentiel films'!$B$4,""),IF(ISNUMBER(SEARCH(SUBSTITUTE('Référentiel films'!$A$5,"’","'"),SUBSTITUTE(F22,"’","'"))),'Référentiel films'!$B$5,""),IF(ISNUMBER(SEARCH(SUBSTITUTE('Référentiel films'!$A$6,"’","'"),SUBSTITUTE(F22,"’","'"))),'Référentiel films'!$B$6,""),IF(ISNUMBER(SEARCH(SUBSTITUTE('Référentiel films'!$A$7,"’","'"),SUBSTITUTE(F22,"’","'"))),'Référentiel films'!$B$7,""),IF(ISNUMBER(SEARCH(SUBSTITUTE('Référentiel films'!$A$8,"’","'"),SUBSTITUTE(F22,"’","'"))),'Référentiel films'!$B$8,""),IF(ISNUMBER(SEARCH(SUBSTITUTE('Référentiel films'!$A$9,"’","'"),SUBSTITUTE(F22,"’","'"))),'Référentiel films'!$B$9,""),IF(ISNUMBER(SEARCH(SUBSTITUTE('Référentiel films'!$A$10,"’","'"),SUBSTITUTE(F22,"’","'"))),'Référentiel films'!$B$10,""),IF(ISNUMBER(SEARCH(SUBSTITUTE('Référentiel films'!$A$11,"’","'"),SUBSTITUTE(F22,"’","'"))),'Référentiel films'!$B$11,""),IF(ISNUMBER(SEARCH(SUBSTITUTE('Référentiel films'!$A$12,"’","'"),SUBSTITUTE(F22,"’","'"))),'Référentiel films'!$B$12,""),IF(ISNUMBER(SEARCH(SUBSTITUTE('Référentiel films'!$A$13,"’","'"),SUBSTITUTE(F22,"’","'"))),'Référentiel films'!$B$13,""),IF(ISNUMBER(SEARCH(SUBSTITUTE('Référentiel films'!$A$14,"’","'"),SUBSTITUTE(F22,"’","'"))),'Référentiel films'!$B$14,""),IF(ISNUMBER(SEARCH(SUBSTITUTE('Référentiel films'!$A$15,"’","'"),SUBSTITUTE(F22,"’","'"))),'Référentiel films'!$B$15,""),IF(ISNUMBER(SEARCH(SUBSTITUTE('Référentiel films'!$A$16,"’","'"),SUBSTITUTE(F22,"’","'"))),'Référentiel films'!$B$16,""),IF(ISNUMBER(SEARCH(SUBSTITUTE('Référentiel films'!$A$17,"’","'"),SUBSTITUTE(F22,"’","'"))),'Référentiel films'!$B$17,""),IF(ISNUMBER(SEARCH(SUBSTITUTE('Référentiel films'!$A$18,"’","'"),SUBSTITUTE(F22,"’","'"))),'Référentiel films'!$B$18,""),IF(ISNUMBER(SEARCH(SUBSTITUTE('Référentiel films'!$A$19,"’","'"),SUBSTITUTE(F22,"’","'"))),'Référentiel films'!$B$19,""),IF(ISNUMBER(SEARCH(SUBSTITUTE('Référentiel films'!$A$20,"’","'"),SUBSTITUTE(F22,"’","'"))),'Référentiel films'!$B$20,""),IF(ISNUMBER(SEARCH(SUBSTITUTE('Référentiel films'!$A$21,"’","'"),SUBSTITUTE(F22,"’","'"))),'Référentiel films'!$B$21,""),IF(ISNUMBER(SEARCH(SUBSTITUTE('Référentiel films'!$A$22,"’","'"),SUBSTITUTE(F22,"’","'"))),'Référentiel films'!$B$22,""),IF(ISNUMBER(SEARCH(SUBSTITUTE('Référentiel films'!$A$23,"’","'"),SUBSTITUTE(F22,"’","'"))),'Référentiel films'!$B$23,""),IF(ISNUMBER(SEARCH(SUBSTITUTE('Référentiel films'!$A$24,"’","'"),SUBSTITUTE(F22,"’","'"))),'Référentiel films'!$B$24,""),IF(ISNUMBER(SEARCH(SUBSTITUTE('Référentiel films'!$A$25,"’","'"),SUBSTITUTE(F22,"’","'"))),'Référentiel films'!$B$25,""),IF(ISNUMBER(SEARCH(SUBSTITUTE('Référentiel films'!$A$26,"’","'"),SUBSTITUTE(F22,"’","'"))),'Référentiel films'!$B$26,""),IF(ISNUMBER(SEARCH(SUBSTITUTE('Référentiel films'!$A$27,"’","'"),SUBSTITUTE(F22,"’","'"))),'Référentiel films'!$B$27,""),IF(ISNUMBER(SEARCH(SUBSTITUTE('Référentiel films'!$A$28,"’","'"),SUBSTITUTE(F22,"’","'"))),'Référentiel films'!$B$28,""),IF(ISNUMBER(SEARCH(SUBSTITUTE('Référentiel films'!$A$29,"’","'"),SUBSTITUTE(F22,"’","'"))),'Référentiel films'!$B$29,""),IF(ISNUMBER(SEARCH(SUBSTITUTE('Référentiel films'!$A$30,"’","'"),SUBSTITUTE(F22,"’","'"))),'Référentiel films'!$B$30,""),IF(ISNUMBER(SEARCH(SUBSTITUTE('Référentiel films'!$A$31,"’","'"),SUBSTITUTE(F22,"’","'"))),'Référentiel films'!$B$31,""),IF(ISNUMBER(SEARCH(SUBSTITUTE('Référentiel films'!$A$32,"’","'"),SUBSTITUTE(F22,"’","'"))),'Référentiel films'!$B$32,""),IF(ISNUMBER(SEARCH(SUBSTITUTE('Référentiel films'!$A$33,"’","'"),SUBSTITUTE(F22,"’","'"))),'Référentiel films'!$B$33,""),IF(ISNUMBER(SEARCH(SUBSTITUTE('Référentiel films'!$A$34,"’","'"),SUBSTITUTE(F22,"’","'"))),'Référentiel films'!$B$34,""),IF(ISNUMBER(SEARCH(SUBSTITUTE('Référentiel films'!$A$35,"’","'"),SUBSTITUTE(F22,"’","'"))),'Référentiel films'!$B$35,""),IF(ISNUMBER(SEARCH(SUBSTITUTE('Référentiel films'!$A$36,"’","'"),SUBSTITUTE(F22,"’","'"))),'Référentiel films'!$B$36,""),IF(ISNUMBER(SEARCH(SUBSTITUTE('Référentiel films'!$A$37,"’","'"),SUBSTITUTE(F22,"’","'"))),'Référentiel films'!$B$37,""),IF(ISNUMBER(SEARCH(SUBSTITUTE('Référentiel films'!$A$38,"’","'"),SUBSTITUTE(F22,"’","'"))),'Référentiel films'!$B$38,""),IF(ISNUMBER(SEARCH(SUBSTITUTE('Référentiel films'!$A$39,"’","'"),SUBSTITUTE(F22,"’","'"))),'Référentiel films'!$B$39,""),IF(ISNUMBER(SEARCH(SUBSTITUTE('Référentiel films'!$A$40,"’","'"),SUBSTITUTE(F22,"’","'"))),'Référentiel films'!$B$40,""),IF(ISNUMBER(SEARCH(SUBSTITUTE('Référentiel films'!$A$41,"’","'"),SUBSTITUTE(F22,"’","'"))),'Référentiel films'!$B$41,"")))</f>
        <v/>
      </c>
    </row>
    <row r="23" spans="1:21" ht="409.5" customHeight="1" x14ac:dyDescent="0.2">
      <c r="A23" s="1">
        <v>1967</v>
      </c>
      <c r="B23" s="1" t="s">
        <v>42</v>
      </c>
      <c r="C23" s="1" t="s">
        <v>173</v>
      </c>
      <c r="D23" s="13" t="s">
        <v>174</v>
      </c>
      <c r="E23" s="1" t="s">
        <v>175</v>
      </c>
      <c r="F23" s="16" t="s">
        <v>176</v>
      </c>
      <c r="G23" s="11"/>
      <c r="H23" s="11"/>
      <c r="I23" s="11"/>
      <c r="J23" s="11"/>
      <c r="K23" s="11"/>
      <c r="L23" s="11"/>
      <c r="M23" s="11" t="s">
        <v>171</v>
      </c>
      <c r="N23" s="11" t="s">
        <v>172</v>
      </c>
      <c r="P23" s="11"/>
      <c r="Q23" s="11"/>
      <c r="R23" s="11"/>
      <c r="S23" s="11"/>
      <c r="T23" s="11"/>
      <c r="U23" s="29" t="str">
        <f>IF(F23="","",_xlfn.TEXTJOIN("; ",TRUE(),IF(ISNUMBER(SEARCH(SUBSTITUTE('Référentiel films'!$A$2,"’","'"),SUBSTITUTE(F23,"’","'"))),'Référentiel films'!$B$2,""),IF(ISNUMBER(SEARCH(SUBSTITUTE('Référentiel films'!$A$3,"’","'"),SUBSTITUTE(F23,"’","'"))),'Référentiel films'!$B$3,""),IF(ISNUMBER(SEARCH(SUBSTITUTE('Référentiel films'!$A$4,"’","'"),SUBSTITUTE(F23,"’","'"))),'Référentiel films'!$B$4,""),IF(ISNUMBER(SEARCH(SUBSTITUTE('Référentiel films'!$A$5,"’","'"),SUBSTITUTE(F23,"’","'"))),'Référentiel films'!$B$5,""),IF(ISNUMBER(SEARCH(SUBSTITUTE('Référentiel films'!$A$6,"’","'"),SUBSTITUTE(F23,"’","'"))),'Référentiel films'!$B$6,""),IF(ISNUMBER(SEARCH(SUBSTITUTE('Référentiel films'!$A$7,"’","'"),SUBSTITUTE(F23,"’","'"))),'Référentiel films'!$B$7,""),IF(ISNUMBER(SEARCH(SUBSTITUTE('Référentiel films'!$A$8,"’","'"),SUBSTITUTE(F23,"’","'"))),'Référentiel films'!$B$8,""),IF(ISNUMBER(SEARCH(SUBSTITUTE('Référentiel films'!$A$9,"’","'"),SUBSTITUTE(F23,"’","'"))),'Référentiel films'!$B$9,""),IF(ISNUMBER(SEARCH(SUBSTITUTE('Référentiel films'!$A$10,"’","'"),SUBSTITUTE(F23,"’","'"))),'Référentiel films'!$B$10,""),IF(ISNUMBER(SEARCH(SUBSTITUTE('Référentiel films'!$A$11,"’","'"),SUBSTITUTE(F23,"’","'"))),'Référentiel films'!$B$11,""),IF(ISNUMBER(SEARCH(SUBSTITUTE('Référentiel films'!$A$12,"’","'"),SUBSTITUTE(F23,"’","'"))),'Référentiel films'!$B$12,""),IF(ISNUMBER(SEARCH(SUBSTITUTE('Référentiel films'!$A$13,"’","'"),SUBSTITUTE(F23,"’","'"))),'Référentiel films'!$B$13,""),IF(ISNUMBER(SEARCH(SUBSTITUTE('Référentiel films'!$A$14,"’","'"),SUBSTITUTE(F23,"’","'"))),'Référentiel films'!$B$14,""),IF(ISNUMBER(SEARCH(SUBSTITUTE('Référentiel films'!$A$15,"’","'"),SUBSTITUTE(F23,"’","'"))),'Référentiel films'!$B$15,""),IF(ISNUMBER(SEARCH(SUBSTITUTE('Référentiel films'!$A$16,"’","'"),SUBSTITUTE(F23,"’","'"))),'Référentiel films'!$B$16,""),IF(ISNUMBER(SEARCH(SUBSTITUTE('Référentiel films'!$A$17,"’","'"),SUBSTITUTE(F23,"’","'"))),'Référentiel films'!$B$17,""),IF(ISNUMBER(SEARCH(SUBSTITUTE('Référentiel films'!$A$18,"’","'"),SUBSTITUTE(F23,"’","'"))),'Référentiel films'!$B$18,""),IF(ISNUMBER(SEARCH(SUBSTITUTE('Référentiel films'!$A$19,"’","'"),SUBSTITUTE(F23,"’","'"))),'Référentiel films'!$B$19,""),IF(ISNUMBER(SEARCH(SUBSTITUTE('Référentiel films'!$A$20,"’","'"),SUBSTITUTE(F23,"’","'"))),'Référentiel films'!$B$20,""),IF(ISNUMBER(SEARCH(SUBSTITUTE('Référentiel films'!$A$21,"’","'"),SUBSTITUTE(F23,"’","'"))),'Référentiel films'!$B$21,""),IF(ISNUMBER(SEARCH(SUBSTITUTE('Référentiel films'!$A$22,"’","'"),SUBSTITUTE(F23,"’","'"))),'Référentiel films'!$B$22,""),IF(ISNUMBER(SEARCH(SUBSTITUTE('Référentiel films'!$A$23,"’","'"),SUBSTITUTE(F23,"’","'"))),'Référentiel films'!$B$23,""),IF(ISNUMBER(SEARCH(SUBSTITUTE('Référentiel films'!$A$24,"’","'"),SUBSTITUTE(F23,"’","'"))),'Référentiel films'!$B$24,""),IF(ISNUMBER(SEARCH(SUBSTITUTE('Référentiel films'!$A$25,"’","'"),SUBSTITUTE(F23,"’","'"))),'Référentiel films'!$B$25,""),IF(ISNUMBER(SEARCH(SUBSTITUTE('Référentiel films'!$A$26,"’","'"),SUBSTITUTE(F23,"’","'"))),'Référentiel films'!$B$26,""),IF(ISNUMBER(SEARCH(SUBSTITUTE('Référentiel films'!$A$27,"’","'"),SUBSTITUTE(F23,"’","'"))),'Référentiel films'!$B$27,""),IF(ISNUMBER(SEARCH(SUBSTITUTE('Référentiel films'!$A$28,"’","'"),SUBSTITUTE(F23,"’","'"))),'Référentiel films'!$B$28,""),IF(ISNUMBER(SEARCH(SUBSTITUTE('Référentiel films'!$A$29,"’","'"),SUBSTITUTE(F23,"’","'"))),'Référentiel films'!$B$29,""),IF(ISNUMBER(SEARCH(SUBSTITUTE('Référentiel films'!$A$30,"’","'"),SUBSTITUTE(F23,"’","'"))),'Référentiel films'!$B$30,""),IF(ISNUMBER(SEARCH(SUBSTITUTE('Référentiel films'!$A$31,"’","'"),SUBSTITUTE(F23,"’","'"))),'Référentiel films'!$B$31,""),IF(ISNUMBER(SEARCH(SUBSTITUTE('Référentiel films'!$A$32,"’","'"),SUBSTITUTE(F23,"’","'"))),'Référentiel films'!$B$32,""),IF(ISNUMBER(SEARCH(SUBSTITUTE('Référentiel films'!$A$33,"’","'"),SUBSTITUTE(F23,"’","'"))),'Référentiel films'!$B$33,""),IF(ISNUMBER(SEARCH(SUBSTITUTE('Référentiel films'!$A$34,"’","'"),SUBSTITUTE(F23,"’","'"))),'Référentiel films'!$B$34,""),IF(ISNUMBER(SEARCH(SUBSTITUTE('Référentiel films'!$A$35,"’","'"),SUBSTITUTE(F23,"’","'"))),'Référentiel films'!$B$35,""),IF(ISNUMBER(SEARCH(SUBSTITUTE('Référentiel films'!$A$36,"’","'"),SUBSTITUTE(F23,"’","'"))),'Référentiel films'!$B$36,""),IF(ISNUMBER(SEARCH(SUBSTITUTE('Référentiel films'!$A$37,"’","'"),SUBSTITUTE(F23,"’","'"))),'Référentiel films'!$B$37,""),IF(ISNUMBER(SEARCH(SUBSTITUTE('Référentiel films'!$A$38,"’","'"),SUBSTITUTE(F23,"’","'"))),'Référentiel films'!$B$38,""),IF(ISNUMBER(SEARCH(SUBSTITUTE('Référentiel films'!$A$39,"’","'"),SUBSTITUTE(F23,"’","'"))),'Référentiel films'!$B$39,""),IF(ISNUMBER(SEARCH(SUBSTITUTE('Référentiel films'!$A$40,"’","'"),SUBSTITUTE(F23,"’","'"))),'Référentiel films'!$B$40,""),IF(ISNUMBER(SEARCH(SUBSTITUTE('Référentiel films'!$A$41,"’","'"),SUBSTITUTE(F23,"’","'"))),'Référentiel films'!$B$41,"")))</f>
        <v/>
      </c>
    </row>
    <row r="24" spans="1:21" ht="409.5" customHeight="1" x14ac:dyDescent="0.2">
      <c r="A24" s="1">
        <v>1968</v>
      </c>
      <c r="B24" s="1" t="s">
        <v>42</v>
      </c>
      <c r="C24" s="1" t="s">
        <v>177</v>
      </c>
      <c r="D24" s="1" t="s">
        <v>178</v>
      </c>
      <c r="E24" s="1" t="s">
        <v>179</v>
      </c>
      <c r="F24" s="11"/>
      <c r="G24" s="15" t="s">
        <v>180</v>
      </c>
      <c r="H24" s="11" t="s">
        <v>181</v>
      </c>
      <c r="I24" s="11"/>
      <c r="J24" s="11"/>
      <c r="K24" s="11"/>
      <c r="L24" s="11"/>
      <c r="M24" s="22" t="s">
        <v>171</v>
      </c>
      <c r="N24" s="22" t="s">
        <v>172</v>
      </c>
      <c r="O24" s="11"/>
      <c r="P24" s="11"/>
      <c r="Q24" s="11"/>
      <c r="R24" s="11"/>
      <c r="S24" s="11"/>
      <c r="T24" s="11"/>
      <c r="U24" s="29" t="str">
        <f>IF(F24="","",_xlfn.TEXTJOIN("; ",TRUE(),IF(ISNUMBER(SEARCH(SUBSTITUTE('Référentiel films'!$A$2,"’","'"),SUBSTITUTE(F24,"’","'"))),'Référentiel films'!$B$2,""),IF(ISNUMBER(SEARCH(SUBSTITUTE('Référentiel films'!$A$3,"’","'"),SUBSTITUTE(F24,"’","'"))),'Référentiel films'!$B$3,""),IF(ISNUMBER(SEARCH(SUBSTITUTE('Référentiel films'!$A$4,"’","'"),SUBSTITUTE(F24,"’","'"))),'Référentiel films'!$B$4,""),IF(ISNUMBER(SEARCH(SUBSTITUTE('Référentiel films'!$A$5,"’","'"),SUBSTITUTE(F24,"’","'"))),'Référentiel films'!$B$5,""),IF(ISNUMBER(SEARCH(SUBSTITUTE('Référentiel films'!$A$6,"’","'"),SUBSTITUTE(F24,"’","'"))),'Référentiel films'!$B$6,""),IF(ISNUMBER(SEARCH(SUBSTITUTE('Référentiel films'!$A$7,"’","'"),SUBSTITUTE(F24,"’","'"))),'Référentiel films'!$B$7,""),IF(ISNUMBER(SEARCH(SUBSTITUTE('Référentiel films'!$A$8,"’","'"),SUBSTITUTE(F24,"’","'"))),'Référentiel films'!$B$8,""),IF(ISNUMBER(SEARCH(SUBSTITUTE('Référentiel films'!$A$9,"’","'"),SUBSTITUTE(F24,"’","'"))),'Référentiel films'!$B$9,""),IF(ISNUMBER(SEARCH(SUBSTITUTE('Référentiel films'!$A$10,"’","'"),SUBSTITUTE(F24,"’","'"))),'Référentiel films'!$B$10,""),IF(ISNUMBER(SEARCH(SUBSTITUTE('Référentiel films'!$A$11,"’","'"),SUBSTITUTE(F24,"’","'"))),'Référentiel films'!$B$11,""),IF(ISNUMBER(SEARCH(SUBSTITUTE('Référentiel films'!$A$12,"’","'"),SUBSTITUTE(F24,"’","'"))),'Référentiel films'!$B$12,""),IF(ISNUMBER(SEARCH(SUBSTITUTE('Référentiel films'!$A$13,"’","'"),SUBSTITUTE(F24,"’","'"))),'Référentiel films'!$B$13,""),IF(ISNUMBER(SEARCH(SUBSTITUTE('Référentiel films'!$A$14,"’","'"),SUBSTITUTE(F24,"’","'"))),'Référentiel films'!$B$14,""),IF(ISNUMBER(SEARCH(SUBSTITUTE('Référentiel films'!$A$15,"’","'"),SUBSTITUTE(F24,"’","'"))),'Référentiel films'!$B$15,""),IF(ISNUMBER(SEARCH(SUBSTITUTE('Référentiel films'!$A$16,"’","'"),SUBSTITUTE(F24,"’","'"))),'Référentiel films'!$B$16,""),IF(ISNUMBER(SEARCH(SUBSTITUTE('Référentiel films'!$A$17,"’","'"),SUBSTITUTE(F24,"’","'"))),'Référentiel films'!$B$17,""),IF(ISNUMBER(SEARCH(SUBSTITUTE('Référentiel films'!$A$18,"’","'"),SUBSTITUTE(F24,"’","'"))),'Référentiel films'!$B$18,""),IF(ISNUMBER(SEARCH(SUBSTITUTE('Référentiel films'!$A$19,"’","'"),SUBSTITUTE(F24,"’","'"))),'Référentiel films'!$B$19,""),IF(ISNUMBER(SEARCH(SUBSTITUTE('Référentiel films'!$A$20,"’","'"),SUBSTITUTE(F24,"’","'"))),'Référentiel films'!$B$20,""),IF(ISNUMBER(SEARCH(SUBSTITUTE('Référentiel films'!$A$21,"’","'"),SUBSTITUTE(F24,"’","'"))),'Référentiel films'!$B$21,""),IF(ISNUMBER(SEARCH(SUBSTITUTE('Référentiel films'!$A$22,"’","'"),SUBSTITUTE(F24,"’","'"))),'Référentiel films'!$B$22,""),IF(ISNUMBER(SEARCH(SUBSTITUTE('Référentiel films'!$A$23,"’","'"),SUBSTITUTE(F24,"’","'"))),'Référentiel films'!$B$23,""),IF(ISNUMBER(SEARCH(SUBSTITUTE('Référentiel films'!$A$24,"’","'"),SUBSTITUTE(F24,"’","'"))),'Référentiel films'!$B$24,""),IF(ISNUMBER(SEARCH(SUBSTITUTE('Référentiel films'!$A$25,"’","'"),SUBSTITUTE(F24,"’","'"))),'Référentiel films'!$B$25,""),IF(ISNUMBER(SEARCH(SUBSTITUTE('Référentiel films'!$A$26,"’","'"),SUBSTITUTE(F24,"’","'"))),'Référentiel films'!$B$26,""),IF(ISNUMBER(SEARCH(SUBSTITUTE('Référentiel films'!$A$27,"’","'"),SUBSTITUTE(F24,"’","'"))),'Référentiel films'!$B$27,""),IF(ISNUMBER(SEARCH(SUBSTITUTE('Référentiel films'!$A$28,"’","'"),SUBSTITUTE(F24,"’","'"))),'Référentiel films'!$B$28,""),IF(ISNUMBER(SEARCH(SUBSTITUTE('Référentiel films'!$A$29,"’","'"),SUBSTITUTE(F24,"’","'"))),'Référentiel films'!$B$29,""),IF(ISNUMBER(SEARCH(SUBSTITUTE('Référentiel films'!$A$30,"’","'"),SUBSTITUTE(F24,"’","'"))),'Référentiel films'!$B$30,""),IF(ISNUMBER(SEARCH(SUBSTITUTE('Référentiel films'!$A$31,"’","'"),SUBSTITUTE(F24,"’","'"))),'Référentiel films'!$B$31,""),IF(ISNUMBER(SEARCH(SUBSTITUTE('Référentiel films'!$A$32,"’","'"),SUBSTITUTE(F24,"’","'"))),'Référentiel films'!$B$32,""),IF(ISNUMBER(SEARCH(SUBSTITUTE('Référentiel films'!$A$33,"’","'"),SUBSTITUTE(F24,"’","'"))),'Référentiel films'!$B$33,""),IF(ISNUMBER(SEARCH(SUBSTITUTE('Référentiel films'!$A$34,"’","'"),SUBSTITUTE(F24,"’","'"))),'Référentiel films'!$B$34,""),IF(ISNUMBER(SEARCH(SUBSTITUTE('Référentiel films'!$A$35,"’","'"),SUBSTITUTE(F24,"’","'"))),'Référentiel films'!$B$35,""),IF(ISNUMBER(SEARCH(SUBSTITUTE('Référentiel films'!$A$36,"’","'"),SUBSTITUTE(F24,"’","'"))),'Référentiel films'!$B$36,""),IF(ISNUMBER(SEARCH(SUBSTITUTE('Référentiel films'!$A$37,"’","'"),SUBSTITUTE(F24,"’","'"))),'Référentiel films'!$B$37,""),IF(ISNUMBER(SEARCH(SUBSTITUTE('Référentiel films'!$A$38,"’","'"),SUBSTITUTE(F24,"’","'"))),'Référentiel films'!$B$38,""),IF(ISNUMBER(SEARCH(SUBSTITUTE('Référentiel films'!$A$39,"’","'"),SUBSTITUTE(F24,"’","'"))),'Référentiel films'!$B$39,""),IF(ISNUMBER(SEARCH(SUBSTITUTE('Référentiel films'!$A$40,"’","'"),SUBSTITUTE(F24,"’","'"))),'Référentiel films'!$B$40,""),IF(ISNUMBER(SEARCH(SUBSTITUTE('Référentiel films'!$A$41,"’","'"),SUBSTITUTE(F24,"’","'"))),'Référentiel films'!$B$41,"")))</f>
        <v/>
      </c>
    </row>
    <row r="25" spans="1:21" ht="409.5" customHeight="1" x14ac:dyDescent="0.2">
      <c r="A25" s="1">
        <v>1969</v>
      </c>
      <c r="B25" s="1" t="s">
        <v>42</v>
      </c>
      <c r="C25" s="1" t="s">
        <v>182</v>
      </c>
      <c r="D25" s="13" t="s">
        <v>183</v>
      </c>
      <c r="E25" s="1" t="s">
        <v>184</v>
      </c>
      <c r="F25" s="14" t="s">
        <v>185</v>
      </c>
      <c r="G25" s="15"/>
      <c r="H25" s="11"/>
      <c r="I25" s="11"/>
      <c r="J25" s="11"/>
      <c r="K25" s="11"/>
      <c r="L25" s="11"/>
      <c r="M25" s="11" t="s">
        <v>186</v>
      </c>
      <c r="N25" s="11" t="s">
        <v>187</v>
      </c>
      <c r="O25" s="11"/>
      <c r="P25" s="11"/>
      <c r="Q25" s="11"/>
      <c r="R25" s="11"/>
      <c r="S25" s="11"/>
      <c r="T25" s="11"/>
      <c r="U25" s="29" t="str">
        <f>IF(F25="","",_xlfn.TEXTJOIN("; ",TRUE(),IF(ISNUMBER(SEARCH(SUBSTITUTE('Référentiel films'!$A$2,"’","'"),SUBSTITUTE(F25,"’","'"))),'Référentiel films'!$B$2,""),IF(ISNUMBER(SEARCH(SUBSTITUTE('Référentiel films'!$A$3,"’","'"),SUBSTITUTE(F25,"’","'"))),'Référentiel films'!$B$3,""),IF(ISNUMBER(SEARCH(SUBSTITUTE('Référentiel films'!$A$4,"’","'"),SUBSTITUTE(F25,"’","'"))),'Référentiel films'!$B$4,""),IF(ISNUMBER(SEARCH(SUBSTITUTE('Référentiel films'!$A$5,"’","'"),SUBSTITUTE(F25,"’","'"))),'Référentiel films'!$B$5,""),IF(ISNUMBER(SEARCH(SUBSTITUTE('Référentiel films'!$A$6,"’","'"),SUBSTITUTE(F25,"’","'"))),'Référentiel films'!$B$6,""),IF(ISNUMBER(SEARCH(SUBSTITUTE('Référentiel films'!$A$7,"’","'"),SUBSTITUTE(F25,"’","'"))),'Référentiel films'!$B$7,""),IF(ISNUMBER(SEARCH(SUBSTITUTE('Référentiel films'!$A$8,"’","'"),SUBSTITUTE(F25,"’","'"))),'Référentiel films'!$B$8,""),IF(ISNUMBER(SEARCH(SUBSTITUTE('Référentiel films'!$A$9,"’","'"),SUBSTITUTE(F25,"’","'"))),'Référentiel films'!$B$9,""),IF(ISNUMBER(SEARCH(SUBSTITUTE('Référentiel films'!$A$10,"’","'"),SUBSTITUTE(F25,"’","'"))),'Référentiel films'!$B$10,""),IF(ISNUMBER(SEARCH(SUBSTITUTE('Référentiel films'!$A$11,"’","'"),SUBSTITUTE(F25,"’","'"))),'Référentiel films'!$B$11,""),IF(ISNUMBER(SEARCH(SUBSTITUTE('Référentiel films'!$A$12,"’","'"),SUBSTITUTE(F25,"’","'"))),'Référentiel films'!$B$12,""),IF(ISNUMBER(SEARCH(SUBSTITUTE('Référentiel films'!$A$13,"’","'"),SUBSTITUTE(F25,"’","'"))),'Référentiel films'!$B$13,""),IF(ISNUMBER(SEARCH(SUBSTITUTE('Référentiel films'!$A$14,"’","'"),SUBSTITUTE(F25,"’","'"))),'Référentiel films'!$B$14,""),IF(ISNUMBER(SEARCH(SUBSTITUTE('Référentiel films'!$A$15,"’","'"),SUBSTITUTE(F25,"’","'"))),'Référentiel films'!$B$15,""),IF(ISNUMBER(SEARCH(SUBSTITUTE('Référentiel films'!$A$16,"’","'"),SUBSTITUTE(F25,"’","'"))),'Référentiel films'!$B$16,""),IF(ISNUMBER(SEARCH(SUBSTITUTE('Référentiel films'!$A$17,"’","'"),SUBSTITUTE(F25,"’","'"))),'Référentiel films'!$B$17,""),IF(ISNUMBER(SEARCH(SUBSTITUTE('Référentiel films'!$A$18,"’","'"),SUBSTITUTE(F25,"’","'"))),'Référentiel films'!$B$18,""),IF(ISNUMBER(SEARCH(SUBSTITUTE('Référentiel films'!$A$19,"’","'"),SUBSTITUTE(F25,"’","'"))),'Référentiel films'!$B$19,""),IF(ISNUMBER(SEARCH(SUBSTITUTE('Référentiel films'!$A$20,"’","'"),SUBSTITUTE(F25,"’","'"))),'Référentiel films'!$B$20,""),IF(ISNUMBER(SEARCH(SUBSTITUTE('Référentiel films'!$A$21,"’","'"),SUBSTITUTE(F25,"’","'"))),'Référentiel films'!$B$21,""),IF(ISNUMBER(SEARCH(SUBSTITUTE('Référentiel films'!$A$22,"’","'"),SUBSTITUTE(F25,"’","'"))),'Référentiel films'!$B$22,""),IF(ISNUMBER(SEARCH(SUBSTITUTE('Référentiel films'!$A$23,"’","'"),SUBSTITUTE(F25,"’","'"))),'Référentiel films'!$B$23,""),IF(ISNUMBER(SEARCH(SUBSTITUTE('Référentiel films'!$A$24,"’","'"),SUBSTITUTE(F25,"’","'"))),'Référentiel films'!$B$24,""),IF(ISNUMBER(SEARCH(SUBSTITUTE('Référentiel films'!$A$25,"’","'"),SUBSTITUTE(F25,"’","'"))),'Référentiel films'!$B$25,""),IF(ISNUMBER(SEARCH(SUBSTITUTE('Référentiel films'!$A$26,"’","'"),SUBSTITUTE(F25,"’","'"))),'Référentiel films'!$B$26,""),IF(ISNUMBER(SEARCH(SUBSTITUTE('Référentiel films'!$A$27,"’","'"),SUBSTITUTE(F25,"’","'"))),'Référentiel films'!$B$27,""),IF(ISNUMBER(SEARCH(SUBSTITUTE('Référentiel films'!$A$28,"’","'"),SUBSTITUTE(F25,"’","'"))),'Référentiel films'!$B$28,""),IF(ISNUMBER(SEARCH(SUBSTITUTE('Référentiel films'!$A$29,"’","'"),SUBSTITUTE(F25,"’","'"))),'Référentiel films'!$B$29,""),IF(ISNUMBER(SEARCH(SUBSTITUTE('Référentiel films'!$A$30,"’","'"),SUBSTITUTE(F25,"’","'"))),'Référentiel films'!$B$30,""),IF(ISNUMBER(SEARCH(SUBSTITUTE('Référentiel films'!$A$31,"’","'"),SUBSTITUTE(F25,"’","'"))),'Référentiel films'!$B$31,""),IF(ISNUMBER(SEARCH(SUBSTITUTE('Référentiel films'!$A$32,"’","'"),SUBSTITUTE(F25,"’","'"))),'Référentiel films'!$B$32,""),IF(ISNUMBER(SEARCH(SUBSTITUTE('Référentiel films'!$A$33,"’","'"),SUBSTITUTE(F25,"’","'"))),'Référentiel films'!$B$33,""),IF(ISNUMBER(SEARCH(SUBSTITUTE('Référentiel films'!$A$34,"’","'"),SUBSTITUTE(F25,"’","'"))),'Référentiel films'!$B$34,""),IF(ISNUMBER(SEARCH(SUBSTITUTE('Référentiel films'!$A$35,"’","'"),SUBSTITUTE(F25,"’","'"))),'Référentiel films'!$B$35,""),IF(ISNUMBER(SEARCH(SUBSTITUTE('Référentiel films'!$A$36,"’","'"),SUBSTITUTE(F25,"’","'"))),'Référentiel films'!$B$36,""),IF(ISNUMBER(SEARCH(SUBSTITUTE('Référentiel films'!$A$37,"’","'"),SUBSTITUTE(F25,"’","'"))),'Référentiel films'!$B$37,""),IF(ISNUMBER(SEARCH(SUBSTITUTE('Référentiel films'!$A$38,"’","'"),SUBSTITUTE(F25,"’","'"))),'Référentiel films'!$B$38,""),IF(ISNUMBER(SEARCH(SUBSTITUTE('Référentiel films'!$A$39,"’","'"),SUBSTITUTE(F25,"’","'"))),'Référentiel films'!$B$39,""),IF(ISNUMBER(SEARCH(SUBSTITUTE('Référentiel films'!$A$40,"’","'"),SUBSTITUTE(F25,"’","'"))),'Référentiel films'!$B$40,""),IF(ISNUMBER(SEARCH(SUBSTITUTE('Référentiel films'!$A$41,"’","'"),SUBSTITUTE(F25,"’","'"))),'Référentiel films'!$B$41,"")))</f>
        <v>film-1969-l-amour-est-plus-froid-que-la-mort; film-1969-le-bouc</v>
      </c>
    </row>
    <row r="26" spans="1:21" ht="409.5" customHeight="1" x14ac:dyDescent="0.2">
      <c r="A26" s="1">
        <v>1970</v>
      </c>
      <c r="B26" s="1" t="s">
        <v>42</v>
      </c>
      <c r="C26" s="1" t="s">
        <v>188</v>
      </c>
      <c r="D26" s="19"/>
      <c r="E26" s="1" t="s">
        <v>189</v>
      </c>
      <c r="F26" s="13" t="s">
        <v>190</v>
      </c>
      <c r="G26" s="15" t="s">
        <v>191</v>
      </c>
      <c r="H26" s="11"/>
      <c r="I26" s="11"/>
      <c r="J26" s="11"/>
      <c r="K26" s="11"/>
      <c r="L26" s="11" t="s">
        <v>192</v>
      </c>
      <c r="M26" s="11" t="s">
        <v>186</v>
      </c>
      <c r="N26" s="11" t="s">
        <v>187</v>
      </c>
      <c r="O26" s="11"/>
      <c r="P26" s="11"/>
      <c r="Q26" s="11"/>
      <c r="R26" s="11"/>
      <c r="S26" s="11"/>
      <c r="T26" s="11"/>
      <c r="U26" s="28" t="str">
        <f>IF(F26="","",_xlfn.TEXTJOIN("; ",TRUE(),IF(ISNUMBER(SEARCH(SUBSTITUTE('Référentiel films'!$A$2,"’","'"),SUBSTITUTE(F26,"’","'"))),'Référentiel films'!$B$2,""),IF(ISNUMBER(SEARCH(SUBSTITUTE('Référentiel films'!$A$3,"’","'"),SUBSTITUTE(F26,"’","'"))),'Référentiel films'!$B$3,""),IF(ISNUMBER(SEARCH(SUBSTITUTE('Référentiel films'!$A$4,"’","'"),SUBSTITUTE(F26,"’","'"))),'Référentiel films'!$B$4,""),IF(ISNUMBER(SEARCH(SUBSTITUTE('Référentiel films'!$A$5,"’","'"),SUBSTITUTE(F26,"’","'"))),'Référentiel films'!$B$5,""),IF(ISNUMBER(SEARCH(SUBSTITUTE('Référentiel films'!$A$6,"’","'"),SUBSTITUTE(F26,"’","'"))),'Référentiel films'!$B$6,""),IF(ISNUMBER(SEARCH(SUBSTITUTE('Référentiel films'!$A$7,"’","'"),SUBSTITUTE(F26,"’","'"))),'Référentiel films'!$B$7,""),IF(ISNUMBER(SEARCH(SUBSTITUTE('Référentiel films'!$A$8,"’","'"),SUBSTITUTE(F26,"’","'"))),'Référentiel films'!$B$8,""),IF(ISNUMBER(SEARCH(SUBSTITUTE('Référentiel films'!$A$9,"’","'"),SUBSTITUTE(F26,"’","'"))),'Référentiel films'!$B$9,""),IF(ISNUMBER(SEARCH(SUBSTITUTE('Référentiel films'!$A$10,"’","'"),SUBSTITUTE(F26,"’","'"))),'Référentiel films'!$B$10,""),IF(ISNUMBER(SEARCH(SUBSTITUTE('Référentiel films'!$A$11,"’","'"),SUBSTITUTE(F26,"’","'"))),'Référentiel films'!$B$11,""),IF(ISNUMBER(SEARCH(SUBSTITUTE('Référentiel films'!$A$12,"’","'"),SUBSTITUTE(F26,"’","'"))),'Référentiel films'!$B$12,""),IF(ISNUMBER(SEARCH(SUBSTITUTE('Référentiel films'!$A$13,"’","'"),SUBSTITUTE(F26,"’","'"))),'Référentiel films'!$B$13,""),IF(ISNUMBER(SEARCH(SUBSTITUTE('Référentiel films'!$A$14,"’","'"),SUBSTITUTE(F26,"’","'"))),'Référentiel films'!$B$14,""),IF(ISNUMBER(SEARCH(SUBSTITUTE('Référentiel films'!$A$15,"’","'"),SUBSTITUTE(F26,"’","'"))),'Référentiel films'!$B$15,""),IF(ISNUMBER(SEARCH(SUBSTITUTE('Référentiel films'!$A$16,"’","'"),SUBSTITUTE(F26,"’","'"))),'Référentiel films'!$B$16,""),IF(ISNUMBER(SEARCH(SUBSTITUTE('Référentiel films'!$A$17,"’","'"),SUBSTITUTE(F26,"’","'"))),'Référentiel films'!$B$17,""),IF(ISNUMBER(SEARCH(SUBSTITUTE('Référentiel films'!$A$18,"’","'"),SUBSTITUTE(F26,"’","'"))),'Référentiel films'!$B$18,""),IF(ISNUMBER(SEARCH(SUBSTITUTE('Référentiel films'!$A$19,"’","'"),SUBSTITUTE(F26,"’","'"))),'Référentiel films'!$B$19,""),IF(ISNUMBER(SEARCH(SUBSTITUTE('Référentiel films'!$A$20,"’","'"),SUBSTITUTE(F26,"’","'"))),'Référentiel films'!$B$20,""),IF(ISNUMBER(SEARCH(SUBSTITUTE('Référentiel films'!$A$21,"’","'"),SUBSTITUTE(F26,"’","'"))),'Référentiel films'!$B$21,""),IF(ISNUMBER(SEARCH(SUBSTITUTE('Référentiel films'!$A$22,"’","'"),SUBSTITUTE(F26,"’","'"))),'Référentiel films'!$B$22,""),IF(ISNUMBER(SEARCH(SUBSTITUTE('Référentiel films'!$A$23,"’","'"),SUBSTITUTE(F26,"’","'"))),'Référentiel films'!$B$23,""),IF(ISNUMBER(SEARCH(SUBSTITUTE('Référentiel films'!$A$24,"’","'"),SUBSTITUTE(F26,"’","'"))),'Référentiel films'!$B$24,""),IF(ISNUMBER(SEARCH(SUBSTITUTE('Référentiel films'!$A$25,"’","'"),SUBSTITUTE(F26,"’","'"))),'Référentiel films'!$B$25,""),IF(ISNUMBER(SEARCH(SUBSTITUTE('Référentiel films'!$A$26,"’","'"),SUBSTITUTE(F26,"’","'"))),'Référentiel films'!$B$26,""),IF(ISNUMBER(SEARCH(SUBSTITUTE('Référentiel films'!$A$27,"’","'"),SUBSTITUTE(F26,"’","'"))),'Référentiel films'!$B$27,""),IF(ISNUMBER(SEARCH(SUBSTITUTE('Référentiel films'!$A$28,"’","'"),SUBSTITUTE(F26,"’","'"))),'Référentiel films'!$B$28,""),IF(ISNUMBER(SEARCH(SUBSTITUTE('Référentiel films'!$A$29,"’","'"),SUBSTITUTE(F26,"’","'"))),'Référentiel films'!$B$29,""),IF(ISNUMBER(SEARCH(SUBSTITUTE('Référentiel films'!$A$30,"’","'"),SUBSTITUTE(F26,"’","'"))),'Référentiel films'!$B$30,""),IF(ISNUMBER(SEARCH(SUBSTITUTE('Référentiel films'!$A$31,"’","'"),SUBSTITUTE(F26,"’","'"))),'Référentiel films'!$B$31,""),IF(ISNUMBER(SEARCH(SUBSTITUTE('Référentiel films'!$A$32,"’","'"),SUBSTITUTE(F26,"’","'"))),'Référentiel films'!$B$32,""),IF(ISNUMBER(SEARCH(SUBSTITUTE('Référentiel films'!$A$33,"’","'"),SUBSTITUTE(F26,"’","'"))),'Référentiel films'!$B$33,""),IF(ISNUMBER(SEARCH(SUBSTITUTE('Référentiel films'!$A$34,"’","'"),SUBSTITUTE(F26,"’","'"))),'Référentiel films'!$B$34,""),IF(ISNUMBER(SEARCH(SUBSTITUTE('Référentiel films'!$A$35,"’","'"),SUBSTITUTE(F26,"’","'"))),'Référentiel films'!$B$35,""),IF(ISNUMBER(SEARCH(SUBSTITUTE('Référentiel films'!$A$36,"’","'"),SUBSTITUTE(F26,"’","'"))),'Référentiel films'!$B$36,""),IF(ISNUMBER(SEARCH(SUBSTITUTE('Référentiel films'!$A$37,"’","'"),SUBSTITUTE(F26,"’","'"))),'Référentiel films'!$B$37,""),IF(ISNUMBER(SEARCH(SUBSTITUTE('Référentiel films'!$A$38,"’","'"),SUBSTITUTE(F26,"’","'"))),'Référentiel films'!$B$38,""),IF(ISNUMBER(SEARCH(SUBSTITUTE('Référentiel films'!$A$39,"’","'"),SUBSTITUTE(F26,"’","'"))),'Référentiel films'!$B$39,""),IF(ISNUMBER(SEARCH(SUBSTITUTE('Référentiel films'!$A$40,"’","'"),SUBSTITUTE(F26,"’","'"))),'Référentiel films'!$B$40,""),IF(ISNUMBER(SEARCH(SUBSTITUTE('Référentiel films'!$A$41,"’","'"),SUBSTITUTE(F26,"’","'"))),'Référentiel films'!$B$41,"")))</f>
        <v>film-1970-les-dieux-de-la-peste; film-1970-pourquoi-m-r-est-il-atteint-de-folie-meurtriere; film-1970-le-soldat-americain; film-1970-le-voyage-a-niklashausen; film-1971-prenez-garde-a-la-sainte-putain; film-1971-pionniers-a-ingolstadt</v>
      </c>
    </row>
    <row r="27" spans="1:21" ht="409.5" customHeight="1" x14ac:dyDescent="0.2">
      <c r="A27" s="1">
        <v>1971</v>
      </c>
      <c r="B27" s="1" t="s">
        <v>42</v>
      </c>
      <c r="C27" s="1" t="s">
        <v>193</v>
      </c>
      <c r="D27" s="1" t="s">
        <v>194</v>
      </c>
      <c r="E27" s="1" t="s">
        <v>195</v>
      </c>
      <c r="F27" s="16" t="s">
        <v>196</v>
      </c>
      <c r="G27" s="11" t="s">
        <v>197</v>
      </c>
      <c r="H27" s="11"/>
      <c r="I27" s="11"/>
      <c r="J27" s="11"/>
      <c r="K27" s="11"/>
      <c r="L27" s="11" t="s">
        <v>198</v>
      </c>
      <c r="M27" s="1" t="s">
        <v>199</v>
      </c>
      <c r="N27" s="13" t="s">
        <v>200</v>
      </c>
      <c r="O27" s="11" t="s">
        <v>186</v>
      </c>
      <c r="P27" s="11" t="s">
        <v>187</v>
      </c>
      <c r="Q27" s="1"/>
      <c r="R27" s="1"/>
      <c r="S27" s="1" t="s">
        <v>201</v>
      </c>
      <c r="T27" s="11"/>
      <c r="U27" s="28" t="str">
        <f>IF(F27="","",_xlfn.TEXTJOIN("; ",TRUE(),IF(ISNUMBER(SEARCH(SUBSTITUTE('Référentiel films'!$A$2,"’","'"),SUBSTITUTE(F27,"’","'"))),'Référentiel films'!$B$2,""),IF(ISNUMBER(SEARCH(SUBSTITUTE('Référentiel films'!$A$3,"’","'"),SUBSTITUTE(F27,"’","'"))),'Référentiel films'!$B$3,""),IF(ISNUMBER(SEARCH(SUBSTITUTE('Référentiel films'!$A$4,"’","'"),SUBSTITUTE(F27,"’","'"))),'Référentiel films'!$B$4,""),IF(ISNUMBER(SEARCH(SUBSTITUTE('Référentiel films'!$A$5,"’","'"),SUBSTITUTE(F27,"’","'"))),'Référentiel films'!$B$5,""),IF(ISNUMBER(SEARCH(SUBSTITUTE('Référentiel films'!$A$6,"’","'"),SUBSTITUTE(F27,"’","'"))),'Référentiel films'!$B$6,""),IF(ISNUMBER(SEARCH(SUBSTITUTE('Référentiel films'!$A$7,"’","'"),SUBSTITUTE(F27,"’","'"))),'Référentiel films'!$B$7,""),IF(ISNUMBER(SEARCH(SUBSTITUTE('Référentiel films'!$A$8,"’","'"),SUBSTITUTE(F27,"’","'"))),'Référentiel films'!$B$8,""),IF(ISNUMBER(SEARCH(SUBSTITUTE('Référentiel films'!$A$9,"’","'"),SUBSTITUTE(F27,"’","'"))),'Référentiel films'!$B$9,""),IF(ISNUMBER(SEARCH(SUBSTITUTE('Référentiel films'!$A$10,"’","'"),SUBSTITUTE(F27,"’","'"))),'Référentiel films'!$B$10,""),IF(ISNUMBER(SEARCH(SUBSTITUTE('Référentiel films'!$A$11,"’","'"),SUBSTITUTE(F27,"’","'"))),'Référentiel films'!$B$11,""),IF(ISNUMBER(SEARCH(SUBSTITUTE('Référentiel films'!$A$12,"’","'"),SUBSTITUTE(F27,"’","'"))),'Référentiel films'!$B$12,""),IF(ISNUMBER(SEARCH(SUBSTITUTE('Référentiel films'!$A$13,"’","'"),SUBSTITUTE(F27,"’","'"))),'Référentiel films'!$B$13,""),IF(ISNUMBER(SEARCH(SUBSTITUTE('Référentiel films'!$A$14,"’","'"),SUBSTITUTE(F27,"’","'"))),'Référentiel films'!$B$14,""),IF(ISNUMBER(SEARCH(SUBSTITUTE('Référentiel films'!$A$15,"’","'"),SUBSTITUTE(F27,"’","'"))),'Référentiel films'!$B$15,""),IF(ISNUMBER(SEARCH(SUBSTITUTE('Référentiel films'!$A$16,"’","'"),SUBSTITUTE(F27,"’","'"))),'Référentiel films'!$B$16,""),IF(ISNUMBER(SEARCH(SUBSTITUTE('Référentiel films'!$A$17,"’","'"),SUBSTITUTE(F27,"’","'"))),'Référentiel films'!$B$17,""),IF(ISNUMBER(SEARCH(SUBSTITUTE('Référentiel films'!$A$18,"’","'"),SUBSTITUTE(F27,"’","'"))),'Référentiel films'!$B$18,""),IF(ISNUMBER(SEARCH(SUBSTITUTE('Référentiel films'!$A$19,"’","'"),SUBSTITUTE(F27,"’","'"))),'Référentiel films'!$B$19,""),IF(ISNUMBER(SEARCH(SUBSTITUTE('Référentiel films'!$A$20,"’","'"),SUBSTITUTE(F27,"’","'"))),'Référentiel films'!$B$20,""),IF(ISNUMBER(SEARCH(SUBSTITUTE('Référentiel films'!$A$21,"’","'"),SUBSTITUTE(F27,"’","'"))),'Référentiel films'!$B$21,""),IF(ISNUMBER(SEARCH(SUBSTITUTE('Référentiel films'!$A$22,"’","'"),SUBSTITUTE(F27,"’","'"))),'Référentiel films'!$B$22,""),IF(ISNUMBER(SEARCH(SUBSTITUTE('Référentiel films'!$A$23,"’","'"),SUBSTITUTE(F27,"’","'"))),'Référentiel films'!$B$23,""),IF(ISNUMBER(SEARCH(SUBSTITUTE('Référentiel films'!$A$24,"’","'"),SUBSTITUTE(F27,"’","'"))),'Référentiel films'!$B$24,""),IF(ISNUMBER(SEARCH(SUBSTITUTE('Référentiel films'!$A$25,"’","'"),SUBSTITUTE(F27,"’","'"))),'Référentiel films'!$B$25,""),IF(ISNUMBER(SEARCH(SUBSTITUTE('Référentiel films'!$A$26,"’","'"),SUBSTITUTE(F27,"’","'"))),'Référentiel films'!$B$26,""),IF(ISNUMBER(SEARCH(SUBSTITUTE('Référentiel films'!$A$27,"’","'"),SUBSTITUTE(F27,"’","'"))),'Référentiel films'!$B$27,""),IF(ISNUMBER(SEARCH(SUBSTITUTE('Référentiel films'!$A$28,"’","'"),SUBSTITUTE(F27,"’","'"))),'Référentiel films'!$B$28,""),IF(ISNUMBER(SEARCH(SUBSTITUTE('Référentiel films'!$A$29,"’","'"),SUBSTITUTE(F27,"’","'"))),'Référentiel films'!$B$29,""),IF(ISNUMBER(SEARCH(SUBSTITUTE('Référentiel films'!$A$30,"’","'"),SUBSTITUTE(F27,"’","'"))),'Référentiel films'!$B$30,""),IF(ISNUMBER(SEARCH(SUBSTITUTE('Référentiel films'!$A$31,"’","'"),SUBSTITUTE(F27,"’","'"))),'Référentiel films'!$B$31,""),IF(ISNUMBER(SEARCH(SUBSTITUTE('Référentiel films'!$A$32,"’","'"),SUBSTITUTE(F27,"’","'"))),'Référentiel films'!$B$32,""),IF(ISNUMBER(SEARCH(SUBSTITUTE('Référentiel films'!$A$33,"’","'"),SUBSTITUTE(F27,"’","'"))),'Référentiel films'!$B$33,""),IF(ISNUMBER(SEARCH(SUBSTITUTE('Référentiel films'!$A$34,"’","'"),SUBSTITUTE(F27,"’","'"))),'Référentiel films'!$B$34,""),IF(ISNUMBER(SEARCH(SUBSTITUTE('Référentiel films'!$A$35,"’","'"),SUBSTITUTE(F27,"’","'"))),'Référentiel films'!$B$35,""),IF(ISNUMBER(SEARCH(SUBSTITUTE('Référentiel films'!$A$36,"’","'"),SUBSTITUTE(F27,"’","'"))),'Référentiel films'!$B$36,""),IF(ISNUMBER(SEARCH(SUBSTITUTE('Référentiel films'!$A$37,"’","'"),SUBSTITUTE(F27,"’","'"))),'Référentiel films'!$B$37,""),IF(ISNUMBER(SEARCH(SUBSTITUTE('Référentiel films'!$A$38,"’","'"),SUBSTITUTE(F27,"’","'"))),'Référentiel films'!$B$38,""),IF(ISNUMBER(SEARCH(SUBSTITUTE('Référentiel films'!$A$39,"’","'"),SUBSTITUTE(F27,"’","'"))),'Référentiel films'!$B$39,""),IF(ISNUMBER(SEARCH(SUBSTITUTE('Référentiel films'!$A$40,"’","'"),SUBSTITUTE(F27,"’","'"))),'Référentiel films'!$B$40,""),IF(ISNUMBER(SEARCH(SUBSTITUTE('Référentiel films'!$A$41,"’","'"),SUBSTITUTE(F27,"’","'"))),'Référentiel films'!$B$41,"")))</f>
        <v>film-1971-whity; film-1971-prenez-garde-a-la-sainte-putain; film-1971-pionniers-a-ingolstadt</v>
      </c>
    </row>
    <row r="28" spans="1:21" ht="409.5" customHeight="1" x14ac:dyDescent="0.2">
      <c r="A28" s="1">
        <v>1972</v>
      </c>
      <c r="B28" s="1" t="s">
        <v>42</v>
      </c>
      <c r="C28" s="1" t="s">
        <v>202</v>
      </c>
      <c r="D28" s="13" t="s">
        <v>203</v>
      </c>
      <c r="E28" s="1" t="s">
        <v>369</v>
      </c>
      <c r="F28" s="14" t="s">
        <v>204</v>
      </c>
      <c r="G28" s="26" t="s">
        <v>205</v>
      </c>
      <c r="H28" s="20" t="s">
        <v>206</v>
      </c>
      <c r="I28" s="11"/>
      <c r="J28" s="11"/>
      <c r="K28" s="11"/>
      <c r="L28" s="11"/>
      <c r="M28" s="11" t="s">
        <v>186</v>
      </c>
      <c r="N28" s="11" t="s">
        <v>187</v>
      </c>
      <c r="O28" s="1"/>
      <c r="P28" s="1"/>
      <c r="Q28" s="1"/>
      <c r="R28" s="1"/>
      <c r="S28" s="1"/>
      <c r="T28" s="11"/>
      <c r="U28" s="28" t="str">
        <f>IF(F28="","",_xlfn.TEXTJOIN("; ",TRUE(),IF(ISNUMBER(SEARCH(SUBSTITUTE('Référentiel films'!$A$2,"’","'"),SUBSTITUTE(F28,"’","'"))),'Référentiel films'!$B$2,""),IF(ISNUMBER(SEARCH(SUBSTITUTE('Référentiel films'!$A$3,"’","'"),SUBSTITUTE(F28,"’","'"))),'Référentiel films'!$B$3,""),IF(ISNUMBER(SEARCH(SUBSTITUTE('Référentiel films'!$A$4,"’","'"),SUBSTITUTE(F28,"’","'"))),'Référentiel films'!$B$4,""),IF(ISNUMBER(SEARCH(SUBSTITUTE('Référentiel films'!$A$5,"’","'"),SUBSTITUTE(F28,"’","'"))),'Référentiel films'!$B$5,""),IF(ISNUMBER(SEARCH(SUBSTITUTE('Référentiel films'!$A$6,"’","'"),SUBSTITUTE(F28,"’","'"))),'Référentiel films'!$B$6,""),IF(ISNUMBER(SEARCH(SUBSTITUTE('Référentiel films'!$A$7,"’","'"),SUBSTITUTE(F28,"’","'"))),'Référentiel films'!$B$7,""),IF(ISNUMBER(SEARCH(SUBSTITUTE('Référentiel films'!$A$8,"’","'"),SUBSTITUTE(F28,"’","'"))),'Référentiel films'!$B$8,""),IF(ISNUMBER(SEARCH(SUBSTITUTE('Référentiel films'!$A$9,"’","'"),SUBSTITUTE(F28,"’","'"))),'Référentiel films'!$B$9,""),IF(ISNUMBER(SEARCH(SUBSTITUTE('Référentiel films'!$A$10,"’","'"),SUBSTITUTE(F28,"’","'"))),'Référentiel films'!$B$10,""),IF(ISNUMBER(SEARCH(SUBSTITUTE('Référentiel films'!$A$11,"’","'"),SUBSTITUTE(F28,"’","'"))),'Référentiel films'!$B$11,""),IF(ISNUMBER(SEARCH(SUBSTITUTE('Référentiel films'!$A$12,"’","'"),SUBSTITUTE(F28,"’","'"))),'Référentiel films'!$B$12,""),IF(ISNUMBER(SEARCH(SUBSTITUTE('Référentiel films'!$A$13,"’","'"),SUBSTITUTE(F28,"’","'"))),'Référentiel films'!$B$13,""),IF(ISNUMBER(SEARCH(SUBSTITUTE('Référentiel films'!$A$14,"’","'"),SUBSTITUTE(F28,"’","'"))),'Référentiel films'!$B$14,""),IF(ISNUMBER(SEARCH(SUBSTITUTE('Référentiel films'!$A$15,"’","'"),SUBSTITUTE(F28,"’","'"))),'Référentiel films'!$B$15,""),IF(ISNUMBER(SEARCH(SUBSTITUTE('Référentiel films'!$A$16,"’","'"),SUBSTITUTE(F28,"’","'"))),'Référentiel films'!$B$16,""),IF(ISNUMBER(SEARCH(SUBSTITUTE('Référentiel films'!$A$17,"’","'"),SUBSTITUTE(F28,"’","'"))),'Référentiel films'!$B$17,""),IF(ISNUMBER(SEARCH(SUBSTITUTE('Référentiel films'!$A$18,"’","'"),SUBSTITUTE(F28,"’","'"))),'Référentiel films'!$B$18,""),IF(ISNUMBER(SEARCH(SUBSTITUTE('Référentiel films'!$A$19,"’","'"),SUBSTITUTE(F28,"’","'"))),'Référentiel films'!$B$19,""),IF(ISNUMBER(SEARCH(SUBSTITUTE('Référentiel films'!$A$20,"’","'"),SUBSTITUTE(F28,"’","'"))),'Référentiel films'!$B$20,""),IF(ISNUMBER(SEARCH(SUBSTITUTE('Référentiel films'!$A$21,"’","'"),SUBSTITUTE(F28,"’","'"))),'Référentiel films'!$B$21,""),IF(ISNUMBER(SEARCH(SUBSTITUTE('Référentiel films'!$A$22,"’","'"),SUBSTITUTE(F28,"’","'"))),'Référentiel films'!$B$22,""),IF(ISNUMBER(SEARCH(SUBSTITUTE('Référentiel films'!$A$23,"’","'"),SUBSTITUTE(F28,"’","'"))),'Référentiel films'!$B$23,""),IF(ISNUMBER(SEARCH(SUBSTITUTE('Référentiel films'!$A$24,"’","'"),SUBSTITUTE(F28,"’","'"))),'Référentiel films'!$B$24,""),IF(ISNUMBER(SEARCH(SUBSTITUTE('Référentiel films'!$A$25,"’","'"),SUBSTITUTE(F28,"’","'"))),'Référentiel films'!$B$25,""),IF(ISNUMBER(SEARCH(SUBSTITUTE('Référentiel films'!$A$26,"’","'"),SUBSTITUTE(F28,"’","'"))),'Référentiel films'!$B$26,""),IF(ISNUMBER(SEARCH(SUBSTITUTE('Référentiel films'!$A$27,"’","'"),SUBSTITUTE(F28,"’","'"))),'Référentiel films'!$B$27,""),IF(ISNUMBER(SEARCH(SUBSTITUTE('Référentiel films'!$A$28,"’","'"),SUBSTITUTE(F28,"’","'"))),'Référentiel films'!$B$28,""),IF(ISNUMBER(SEARCH(SUBSTITUTE('Référentiel films'!$A$29,"’","'"),SUBSTITUTE(F28,"’","'"))),'Référentiel films'!$B$29,""),IF(ISNUMBER(SEARCH(SUBSTITUTE('Référentiel films'!$A$30,"’","'"),SUBSTITUTE(F28,"’","'"))),'Référentiel films'!$B$30,""),IF(ISNUMBER(SEARCH(SUBSTITUTE('Référentiel films'!$A$31,"’","'"),SUBSTITUTE(F28,"’","'"))),'Référentiel films'!$B$31,""),IF(ISNUMBER(SEARCH(SUBSTITUTE('Référentiel films'!$A$32,"’","'"),SUBSTITUTE(F28,"’","'"))),'Référentiel films'!$B$32,""),IF(ISNUMBER(SEARCH(SUBSTITUTE('Référentiel films'!$A$33,"’","'"),SUBSTITUTE(F28,"’","'"))),'Référentiel films'!$B$33,""),IF(ISNUMBER(SEARCH(SUBSTITUTE('Référentiel films'!$A$34,"’","'"),SUBSTITUTE(F28,"’","'"))),'Référentiel films'!$B$34,""),IF(ISNUMBER(SEARCH(SUBSTITUTE('Référentiel films'!$A$35,"’","'"),SUBSTITUTE(F28,"’","'"))),'Référentiel films'!$B$35,""),IF(ISNUMBER(SEARCH(SUBSTITUTE('Référentiel films'!$A$36,"’","'"),SUBSTITUTE(F28,"’","'"))),'Référentiel films'!$B$36,""),IF(ISNUMBER(SEARCH(SUBSTITUTE('Référentiel films'!$A$37,"’","'"),SUBSTITUTE(F28,"’","'"))),'Référentiel films'!$B$37,""),IF(ISNUMBER(SEARCH(SUBSTITUTE('Référentiel films'!$A$38,"’","'"),SUBSTITUTE(F28,"’","'"))),'Référentiel films'!$B$38,""),IF(ISNUMBER(SEARCH(SUBSTITUTE('Référentiel films'!$A$39,"’","'"),SUBSTITUTE(F28,"’","'"))),'Référentiel films'!$B$39,""),IF(ISNUMBER(SEARCH(SUBSTITUTE('Référentiel films'!$A$40,"’","'"),SUBSTITUTE(F28,"’","'"))),'Référentiel films'!$B$40,""),IF(ISNUMBER(SEARCH(SUBSTITUTE('Référentiel films'!$A$41,"’","'"),SUBSTITUTE(F28,"’","'"))),'Référentiel films'!$B$41,"")))</f>
        <v>film-1972-le-marchand-des-quatre-saisons; film-1972-les-larmes-ameres-de-petra-von-kant; film-1972-liberte-a-breme; film-1972-huit-heures-ne-font-pas-un-jour</v>
      </c>
    </row>
    <row r="29" spans="1:21" ht="364" customHeight="1" x14ac:dyDescent="0.2">
      <c r="A29" s="1">
        <v>1973</v>
      </c>
      <c r="B29" s="1" t="s">
        <v>42</v>
      </c>
      <c r="C29" s="1" t="s">
        <v>207</v>
      </c>
      <c r="D29" s="22" t="s">
        <v>208</v>
      </c>
      <c r="E29" s="13" t="s">
        <v>368</v>
      </c>
      <c r="F29" s="16" t="s">
        <v>209</v>
      </c>
      <c r="G29" s="1"/>
      <c r="I29" s="11"/>
      <c r="J29" s="11"/>
      <c r="K29" s="11"/>
      <c r="L29" s="11"/>
      <c r="M29" s="11" t="s">
        <v>186</v>
      </c>
      <c r="N29" s="11" t="s">
        <v>187</v>
      </c>
      <c r="O29" s="1"/>
      <c r="P29" s="1"/>
      <c r="Q29" s="1"/>
      <c r="R29" s="1"/>
      <c r="S29" s="1"/>
      <c r="T29" s="11"/>
      <c r="U29" s="28" t="str">
        <f>IF(F29="","",_xlfn.TEXTJOIN("; ",TRUE(),IF(ISNUMBER(SEARCH(SUBSTITUTE('Référentiel films'!$A$2,"’","'"),SUBSTITUTE(F29,"’","'"))),'Référentiel films'!$B$2,""),IF(ISNUMBER(SEARCH(SUBSTITUTE('Référentiel films'!$A$3,"’","'"),SUBSTITUTE(F29,"’","'"))),'Référentiel films'!$B$3,""),IF(ISNUMBER(SEARCH(SUBSTITUTE('Référentiel films'!$A$4,"’","'"),SUBSTITUTE(F29,"’","'"))),'Référentiel films'!$B$4,""),IF(ISNUMBER(SEARCH(SUBSTITUTE('Référentiel films'!$A$5,"’","'"),SUBSTITUTE(F29,"’","'"))),'Référentiel films'!$B$5,""),IF(ISNUMBER(SEARCH(SUBSTITUTE('Référentiel films'!$A$6,"’","'"),SUBSTITUTE(F29,"’","'"))),'Référentiel films'!$B$6,""),IF(ISNUMBER(SEARCH(SUBSTITUTE('Référentiel films'!$A$7,"’","'"),SUBSTITUTE(F29,"’","'"))),'Référentiel films'!$B$7,""),IF(ISNUMBER(SEARCH(SUBSTITUTE('Référentiel films'!$A$8,"’","'"),SUBSTITUTE(F29,"’","'"))),'Référentiel films'!$B$8,""),IF(ISNUMBER(SEARCH(SUBSTITUTE('Référentiel films'!$A$9,"’","'"),SUBSTITUTE(F29,"’","'"))),'Référentiel films'!$B$9,""),IF(ISNUMBER(SEARCH(SUBSTITUTE('Référentiel films'!$A$10,"’","'"),SUBSTITUTE(F29,"’","'"))),'Référentiel films'!$B$10,""),IF(ISNUMBER(SEARCH(SUBSTITUTE('Référentiel films'!$A$11,"’","'"),SUBSTITUTE(F29,"’","'"))),'Référentiel films'!$B$11,""),IF(ISNUMBER(SEARCH(SUBSTITUTE('Référentiel films'!$A$12,"’","'"),SUBSTITUTE(F29,"’","'"))),'Référentiel films'!$B$12,""),IF(ISNUMBER(SEARCH(SUBSTITUTE('Référentiel films'!$A$13,"’","'"),SUBSTITUTE(F29,"’","'"))),'Référentiel films'!$B$13,""),IF(ISNUMBER(SEARCH(SUBSTITUTE('Référentiel films'!$A$14,"’","'"),SUBSTITUTE(F29,"’","'"))),'Référentiel films'!$B$14,""),IF(ISNUMBER(SEARCH(SUBSTITUTE('Référentiel films'!$A$15,"’","'"),SUBSTITUTE(F29,"’","'"))),'Référentiel films'!$B$15,""),IF(ISNUMBER(SEARCH(SUBSTITUTE('Référentiel films'!$A$16,"’","'"),SUBSTITUTE(F29,"’","'"))),'Référentiel films'!$B$16,""),IF(ISNUMBER(SEARCH(SUBSTITUTE('Référentiel films'!$A$17,"’","'"),SUBSTITUTE(F29,"’","'"))),'Référentiel films'!$B$17,""),IF(ISNUMBER(SEARCH(SUBSTITUTE('Référentiel films'!$A$18,"’","'"),SUBSTITUTE(F29,"’","'"))),'Référentiel films'!$B$18,""),IF(ISNUMBER(SEARCH(SUBSTITUTE('Référentiel films'!$A$19,"’","'"),SUBSTITUTE(F29,"’","'"))),'Référentiel films'!$B$19,""),IF(ISNUMBER(SEARCH(SUBSTITUTE('Référentiel films'!$A$20,"’","'"),SUBSTITUTE(F29,"’","'"))),'Référentiel films'!$B$20,""),IF(ISNUMBER(SEARCH(SUBSTITUTE('Référentiel films'!$A$21,"’","'"),SUBSTITUTE(F29,"’","'"))),'Référentiel films'!$B$21,""),IF(ISNUMBER(SEARCH(SUBSTITUTE('Référentiel films'!$A$22,"’","'"),SUBSTITUTE(F29,"’","'"))),'Référentiel films'!$B$22,""),IF(ISNUMBER(SEARCH(SUBSTITUTE('Référentiel films'!$A$23,"’","'"),SUBSTITUTE(F29,"’","'"))),'Référentiel films'!$B$23,""),IF(ISNUMBER(SEARCH(SUBSTITUTE('Référentiel films'!$A$24,"’","'"),SUBSTITUTE(F29,"’","'"))),'Référentiel films'!$B$24,""),IF(ISNUMBER(SEARCH(SUBSTITUTE('Référentiel films'!$A$25,"’","'"),SUBSTITUTE(F29,"’","'"))),'Référentiel films'!$B$25,""),IF(ISNUMBER(SEARCH(SUBSTITUTE('Référentiel films'!$A$26,"’","'"),SUBSTITUTE(F29,"’","'"))),'Référentiel films'!$B$26,""),IF(ISNUMBER(SEARCH(SUBSTITUTE('Référentiel films'!$A$27,"’","'"),SUBSTITUTE(F29,"’","'"))),'Référentiel films'!$B$27,""),IF(ISNUMBER(SEARCH(SUBSTITUTE('Référentiel films'!$A$28,"’","'"),SUBSTITUTE(F29,"’","'"))),'Référentiel films'!$B$28,""),IF(ISNUMBER(SEARCH(SUBSTITUTE('Référentiel films'!$A$29,"’","'"),SUBSTITUTE(F29,"’","'"))),'Référentiel films'!$B$29,""),IF(ISNUMBER(SEARCH(SUBSTITUTE('Référentiel films'!$A$30,"’","'"),SUBSTITUTE(F29,"’","'"))),'Référentiel films'!$B$30,""),IF(ISNUMBER(SEARCH(SUBSTITUTE('Référentiel films'!$A$31,"’","'"),SUBSTITUTE(F29,"’","'"))),'Référentiel films'!$B$31,""),IF(ISNUMBER(SEARCH(SUBSTITUTE('Référentiel films'!$A$32,"’","'"),SUBSTITUTE(F29,"’","'"))),'Référentiel films'!$B$32,""),IF(ISNUMBER(SEARCH(SUBSTITUTE('Référentiel films'!$A$33,"’","'"),SUBSTITUTE(F29,"’","'"))),'Référentiel films'!$B$33,""),IF(ISNUMBER(SEARCH(SUBSTITUTE('Référentiel films'!$A$34,"’","'"),SUBSTITUTE(F29,"’","'"))),'Référentiel films'!$B$34,""),IF(ISNUMBER(SEARCH(SUBSTITUTE('Référentiel films'!$A$35,"’","'"),SUBSTITUTE(F29,"’","'"))),'Référentiel films'!$B$35,""),IF(ISNUMBER(SEARCH(SUBSTITUTE('Référentiel films'!$A$36,"’","'"),SUBSTITUTE(F29,"’","'"))),'Référentiel films'!$B$36,""),IF(ISNUMBER(SEARCH(SUBSTITUTE('Référentiel films'!$A$37,"’","'"),SUBSTITUTE(F29,"’","'"))),'Référentiel films'!$B$37,""),IF(ISNUMBER(SEARCH(SUBSTITUTE('Référentiel films'!$A$38,"’","'"),SUBSTITUTE(F29,"’","'"))),'Référentiel films'!$B$38,""),IF(ISNUMBER(SEARCH(SUBSTITUTE('Référentiel films'!$A$39,"’","'"),SUBSTITUTE(F29,"’","'"))),'Référentiel films'!$B$39,""),IF(ISNUMBER(SEARCH(SUBSTITUTE('Référentiel films'!$A$40,"’","'"),SUBSTITUTE(F29,"’","'"))),'Référentiel films'!$B$40,""),IF(ISNUMBER(SEARCH(SUBSTITUTE('Référentiel films'!$A$41,"’","'"),SUBSTITUTE(F29,"’","'"))),'Référentiel films'!$B$41,"")))</f>
        <v>film-1973-gibier-de-passage; film-1973-le-monde-sur-un-fil</v>
      </c>
    </row>
    <row r="30" spans="1:21" ht="398.25" customHeight="1" x14ac:dyDescent="0.2">
      <c r="A30" s="1">
        <v>1974</v>
      </c>
      <c r="B30" s="1" t="s">
        <v>52</v>
      </c>
      <c r="C30" s="1" t="s">
        <v>210</v>
      </c>
      <c r="D30" s="1" t="s">
        <v>211</v>
      </c>
      <c r="E30" s="1" t="s">
        <v>212</v>
      </c>
      <c r="F30" s="14" t="s">
        <v>213</v>
      </c>
      <c r="G30" s="1" t="s">
        <v>214</v>
      </c>
      <c r="H30" s="11"/>
      <c r="I30" s="11"/>
      <c r="J30" s="11"/>
      <c r="K30" s="11"/>
      <c r="L30" s="11" t="s">
        <v>367</v>
      </c>
      <c r="M30" s="11" t="s">
        <v>186</v>
      </c>
      <c r="N30" s="11" t="s">
        <v>187</v>
      </c>
      <c r="O30" s="1" t="s">
        <v>215</v>
      </c>
      <c r="P30" s="1" t="s">
        <v>216</v>
      </c>
      <c r="Q30" s="1"/>
      <c r="R30" s="1"/>
      <c r="S30" s="1"/>
      <c r="T30" s="11"/>
      <c r="U30" s="28" t="str">
        <f>IF(F30="","",_xlfn.TEXTJOIN("; ",TRUE(),IF(ISNUMBER(SEARCH(SUBSTITUTE('Référentiel films'!$A$2,"’","'"),SUBSTITUTE(F30,"’","'"))),'Référentiel films'!$B$2,""),IF(ISNUMBER(SEARCH(SUBSTITUTE('Référentiel films'!$A$3,"’","'"),SUBSTITUTE(F30,"’","'"))),'Référentiel films'!$B$3,""),IF(ISNUMBER(SEARCH(SUBSTITUTE('Référentiel films'!$A$4,"’","'"),SUBSTITUTE(F30,"’","'"))),'Référentiel films'!$B$4,""),IF(ISNUMBER(SEARCH(SUBSTITUTE('Référentiel films'!$A$5,"’","'"),SUBSTITUTE(F30,"’","'"))),'Référentiel films'!$B$5,""),IF(ISNUMBER(SEARCH(SUBSTITUTE('Référentiel films'!$A$6,"’","'"),SUBSTITUTE(F30,"’","'"))),'Référentiel films'!$B$6,""),IF(ISNUMBER(SEARCH(SUBSTITUTE('Référentiel films'!$A$7,"’","'"),SUBSTITUTE(F30,"’","'"))),'Référentiel films'!$B$7,""),IF(ISNUMBER(SEARCH(SUBSTITUTE('Référentiel films'!$A$8,"’","'"),SUBSTITUTE(F30,"’","'"))),'Référentiel films'!$B$8,""),IF(ISNUMBER(SEARCH(SUBSTITUTE('Référentiel films'!$A$9,"’","'"),SUBSTITUTE(F30,"’","'"))),'Référentiel films'!$B$9,""),IF(ISNUMBER(SEARCH(SUBSTITUTE('Référentiel films'!$A$10,"’","'"),SUBSTITUTE(F30,"’","'"))),'Référentiel films'!$B$10,""),IF(ISNUMBER(SEARCH(SUBSTITUTE('Référentiel films'!$A$11,"’","'"),SUBSTITUTE(F30,"’","'"))),'Référentiel films'!$B$11,""),IF(ISNUMBER(SEARCH(SUBSTITUTE('Référentiel films'!$A$12,"’","'"),SUBSTITUTE(F30,"’","'"))),'Référentiel films'!$B$12,""),IF(ISNUMBER(SEARCH(SUBSTITUTE('Référentiel films'!$A$13,"’","'"),SUBSTITUTE(F30,"’","'"))),'Référentiel films'!$B$13,""),IF(ISNUMBER(SEARCH(SUBSTITUTE('Référentiel films'!$A$14,"’","'"),SUBSTITUTE(F30,"’","'"))),'Référentiel films'!$B$14,""),IF(ISNUMBER(SEARCH(SUBSTITUTE('Référentiel films'!$A$15,"’","'"),SUBSTITUTE(F30,"’","'"))),'Référentiel films'!$B$15,""),IF(ISNUMBER(SEARCH(SUBSTITUTE('Référentiel films'!$A$16,"’","'"),SUBSTITUTE(F30,"’","'"))),'Référentiel films'!$B$16,""),IF(ISNUMBER(SEARCH(SUBSTITUTE('Référentiel films'!$A$17,"’","'"),SUBSTITUTE(F30,"’","'"))),'Référentiel films'!$B$17,""),IF(ISNUMBER(SEARCH(SUBSTITUTE('Référentiel films'!$A$18,"’","'"),SUBSTITUTE(F30,"’","'"))),'Référentiel films'!$B$18,""),IF(ISNUMBER(SEARCH(SUBSTITUTE('Référentiel films'!$A$19,"’","'"),SUBSTITUTE(F30,"’","'"))),'Référentiel films'!$B$19,""),IF(ISNUMBER(SEARCH(SUBSTITUTE('Référentiel films'!$A$20,"’","'"),SUBSTITUTE(F30,"’","'"))),'Référentiel films'!$B$20,""),IF(ISNUMBER(SEARCH(SUBSTITUTE('Référentiel films'!$A$21,"’","'"),SUBSTITUTE(F30,"’","'"))),'Référentiel films'!$B$21,""),IF(ISNUMBER(SEARCH(SUBSTITUTE('Référentiel films'!$A$22,"’","'"),SUBSTITUTE(F30,"’","'"))),'Référentiel films'!$B$22,""),IF(ISNUMBER(SEARCH(SUBSTITUTE('Référentiel films'!$A$23,"’","'"),SUBSTITUTE(F30,"’","'"))),'Référentiel films'!$B$23,""),IF(ISNUMBER(SEARCH(SUBSTITUTE('Référentiel films'!$A$24,"’","'"),SUBSTITUTE(F30,"’","'"))),'Référentiel films'!$B$24,""),IF(ISNUMBER(SEARCH(SUBSTITUTE('Référentiel films'!$A$25,"’","'"),SUBSTITUTE(F30,"’","'"))),'Référentiel films'!$B$25,""),IF(ISNUMBER(SEARCH(SUBSTITUTE('Référentiel films'!$A$26,"’","'"),SUBSTITUTE(F30,"’","'"))),'Référentiel films'!$B$26,""),IF(ISNUMBER(SEARCH(SUBSTITUTE('Référentiel films'!$A$27,"’","'"),SUBSTITUTE(F30,"’","'"))),'Référentiel films'!$B$27,""),IF(ISNUMBER(SEARCH(SUBSTITUTE('Référentiel films'!$A$28,"’","'"),SUBSTITUTE(F30,"’","'"))),'Référentiel films'!$B$28,""),IF(ISNUMBER(SEARCH(SUBSTITUTE('Référentiel films'!$A$29,"’","'"),SUBSTITUTE(F30,"’","'"))),'Référentiel films'!$B$29,""),IF(ISNUMBER(SEARCH(SUBSTITUTE('Référentiel films'!$A$30,"’","'"),SUBSTITUTE(F30,"’","'"))),'Référentiel films'!$B$30,""),IF(ISNUMBER(SEARCH(SUBSTITUTE('Référentiel films'!$A$31,"’","'"),SUBSTITUTE(F30,"’","'"))),'Référentiel films'!$B$31,""),IF(ISNUMBER(SEARCH(SUBSTITUTE('Référentiel films'!$A$32,"’","'"),SUBSTITUTE(F30,"’","'"))),'Référentiel films'!$B$32,""),IF(ISNUMBER(SEARCH(SUBSTITUTE('Référentiel films'!$A$33,"’","'"),SUBSTITUTE(F30,"’","'"))),'Référentiel films'!$B$33,""),IF(ISNUMBER(SEARCH(SUBSTITUTE('Référentiel films'!$A$34,"’","'"),SUBSTITUTE(F30,"’","'"))),'Référentiel films'!$B$34,""),IF(ISNUMBER(SEARCH(SUBSTITUTE('Référentiel films'!$A$35,"’","'"),SUBSTITUTE(F30,"’","'"))),'Référentiel films'!$B$35,""),IF(ISNUMBER(SEARCH(SUBSTITUTE('Référentiel films'!$A$36,"’","'"),SUBSTITUTE(F30,"’","'"))),'Référentiel films'!$B$36,""),IF(ISNUMBER(SEARCH(SUBSTITUTE('Référentiel films'!$A$37,"’","'"),SUBSTITUTE(F30,"’","'"))),'Référentiel films'!$B$37,""),IF(ISNUMBER(SEARCH(SUBSTITUTE('Référentiel films'!$A$38,"’","'"),SUBSTITUTE(F30,"’","'"))),'Référentiel films'!$B$38,""),IF(ISNUMBER(SEARCH(SUBSTITUTE('Référentiel films'!$A$39,"’","'"),SUBSTITUTE(F30,"’","'"))),'Référentiel films'!$B$39,""),IF(ISNUMBER(SEARCH(SUBSTITUTE('Référentiel films'!$A$40,"’","'"),SUBSTITUTE(F30,"’","'"))),'Référentiel films'!$B$40,""),IF(ISNUMBER(SEARCH(SUBSTITUTE('Référentiel films'!$A$41,"’","'"),SUBSTITUTE(F30,"’","'"))),'Référentiel films'!$B$41,"")))</f>
        <v>film-1974-tous-les-autres-s-appellent-ali; film-1974-effi-briest; film-1974-nora-helmer; film-1974-martha</v>
      </c>
    </row>
    <row r="31" spans="1:21" ht="409.5" customHeight="1" x14ac:dyDescent="0.2">
      <c r="A31" s="1">
        <v>1975</v>
      </c>
      <c r="B31" s="1" t="s">
        <v>52</v>
      </c>
      <c r="C31" s="1" t="s">
        <v>217</v>
      </c>
      <c r="D31" s="1" t="s">
        <v>218</v>
      </c>
      <c r="E31" s="13" t="s">
        <v>219</v>
      </c>
      <c r="F31" s="13" t="s">
        <v>220</v>
      </c>
      <c r="G31" s="13" t="s">
        <v>221</v>
      </c>
      <c r="H31" s="11"/>
      <c r="I31" s="11"/>
      <c r="J31" s="11"/>
      <c r="K31" s="11"/>
      <c r="L31" s="11" t="s">
        <v>222</v>
      </c>
      <c r="M31" s="11" t="s">
        <v>223</v>
      </c>
      <c r="N31" s="11" t="s">
        <v>224</v>
      </c>
      <c r="O31" s="1" t="s">
        <v>215</v>
      </c>
      <c r="P31" s="1" t="s">
        <v>216</v>
      </c>
      <c r="Q31" s="11"/>
      <c r="R31" s="11"/>
      <c r="S31" s="11"/>
      <c r="T31" s="11"/>
      <c r="U31" s="28" t="str">
        <f>IF(F31="","",_xlfn.TEXTJOIN("; ",TRUE(),IF(ISNUMBER(SEARCH(SUBSTITUTE('Référentiel films'!$A$2,"’","'"),SUBSTITUTE(F31,"’","'"))),'Référentiel films'!$B$2,""),IF(ISNUMBER(SEARCH(SUBSTITUTE('Référentiel films'!$A$3,"’","'"),SUBSTITUTE(F31,"’","'"))),'Référentiel films'!$B$3,""),IF(ISNUMBER(SEARCH(SUBSTITUTE('Référentiel films'!$A$4,"’","'"),SUBSTITUTE(F31,"’","'"))),'Référentiel films'!$B$4,""),IF(ISNUMBER(SEARCH(SUBSTITUTE('Référentiel films'!$A$5,"’","'"),SUBSTITUTE(F31,"’","'"))),'Référentiel films'!$B$5,""),IF(ISNUMBER(SEARCH(SUBSTITUTE('Référentiel films'!$A$6,"’","'"),SUBSTITUTE(F31,"’","'"))),'Référentiel films'!$B$6,""),IF(ISNUMBER(SEARCH(SUBSTITUTE('Référentiel films'!$A$7,"’","'"),SUBSTITUTE(F31,"’","'"))),'Référentiel films'!$B$7,""),IF(ISNUMBER(SEARCH(SUBSTITUTE('Référentiel films'!$A$8,"’","'"),SUBSTITUTE(F31,"’","'"))),'Référentiel films'!$B$8,""),IF(ISNUMBER(SEARCH(SUBSTITUTE('Référentiel films'!$A$9,"’","'"),SUBSTITUTE(F31,"’","'"))),'Référentiel films'!$B$9,""),IF(ISNUMBER(SEARCH(SUBSTITUTE('Référentiel films'!$A$10,"’","'"),SUBSTITUTE(F31,"’","'"))),'Référentiel films'!$B$10,""),IF(ISNUMBER(SEARCH(SUBSTITUTE('Référentiel films'!$A$11,"’","'"),SUBSTITUTE(F31,"’","'"))),'Référentiel films'!$B$11,""),IF(ISNUMBER(SEARCH(SUBSTITUTE('Référentiel films'!$A$12,"’","'"),SUBSTITUTE(F31,"’","'"))),'Référentiel films'!$B$12,""),IF(ISNUMBER(SEARCH(SUBSTITUTE('Référentiel films'!$A$13,"’","'"),SUBSTITUTE(F31,"’","'"))),'Référentiel films'!$B$13,""),IF(ISNUMBER(SEARCH(SUBSTITUTE('Référentiel films'!$A$14,"’","'"),SUBSTITUTE(F31,"’","'"))),'Référentiel films'!$B$14,""),IF(ISNUMBER(SEARCH(SUBSTITUTE('Référentiel films'!$A$15,"’","'"),SUBSTITUTE(F31,"’","'"))),'Référentiel films'!$B$15,""),IF(ISNUMBER(SEARCH(SUBSTITUTE('Référentiel films'!$A$16,"’","'"),SUBSTITUTE(F31,"’","'"))),'Référentiel films'!$B$16,""),IF(ISNUMBER(SEARCH(SUBSTITUTE('Référentiel films'!$A$17,"’","'"),SUBSTITUTE(F31,"’","'"))),'Référentiel films'!$B$17,""),IF(ISNUMBER(SEARCH(SUBSTITUTE('Référentiel films'!$A$18,"’","'"),SUBSTITUTE(F31,"’","'"))),'Référentiel films'!$B$18,""),IF(ISNUMBER(SEARCH(SUBSTITUTE('Référentiel films'!$A$19,"’","'"),SUBSTITUTE(F31,"’","'"))),'Référentiel films'!$B$19,""),IF(ISNUMBER(SEARCH(SUBSTITUTE('Référentiel films'!$A$20,"’","'"),SUBSTITUTE(F31,"’","'"))),'Référentiel films'!$B$20,""),IF(ISNUMBER(SEARCH(SUBSTITUTE('Référentiel films'!$A$21,"’","'"),SUBSTITUTE(F31,"’","'"))),'Référentiel films'!$B$21,""),IF(ISNUMBER(SEARCH(SUBSTITUTE('Référentiel films'!$A$22,"’","'"),SUBSTITUTE(F31,"’","'"))),'Référentiel films'!$B$22,""),IF(ISNUMBER(SEARCH(SUBSTITUTE('Référentiel films'!$A$23,"’","'"),SUBSTITUTE(F31,"’","'"))),'Référentiel films'!$B$23,""),IF(ISNUMBER(SEARCH(SUBSTITUTE('Référentiel films'!$A$24,"’","'"),SUBSTITUTE(F31,"’","'"))),'Référentiel films'!$B$24,""),IF(ISNUMBER(SEARCH(SUBSTITUTE('Référentiel films'!$A$25,"’","'"),SUBSTITUTE(F31,"’","'"))),'Référentiel films'!$B$25,""),IF(ISNUMBER(SEARCH(SUBSTITUTE('Référentiel films'!$A$26,"’","'"),SUBSTITUTE(F31,"’","'"))),'Référentiel films'!$B$26,""),IF(ISNUMBER(SEARCH(SUBSTITUTE('Référentiel films'!$A$27,"’","'"),SUBSTITUTE(F31,"’","'"))),'Référentiel films'!$B$27,""),IF(ISNUMBER(SEARCH(SUBSTITUTE('Référentiel films'!$A$28,"’","'"),SUBSTITUTE(F31,"’","'"))),'Référentiel films'!$B$28,""),IF(ISNUMBER(SEARCH(SUBSTITUTE('Référentiel films'!$A$29,"’","'"),SUBSTITUTE(F31,"’","'"))),'Référentiel films'!$B$29,""),IF(ISNUMBER(SEARCH(SUBSTITUTE('Référentiel films'!$A$30,"’","'"),SUBSTITUTE(F31,"’","'"))),'Référentiel films'!$B$30,""),IF(ISNUMBER(SEARCH(SUBSTITUTE('Référentiel films'!$A$31,"’","'"),SUBSTITUTE(F31,"’","'"))),'Référentiel films'!$B$31,""),IF(ISNUMBER(SEARCH(SUBSTITUTE('Référentiel films'!$A$32,"’","'"),SUBSTITUTE(F31,"’","'"))),'Référentiel films'!$B$32,""),IF(ISNUMBER(SEARCH(SUBSTITUTE('Référentiel films'!$A$33,"’","'"),SUBSTITUTE(F31,"’","'"))),'Référentiel films'!$B$33,""),IF(ISNUMBER(SEARCH(SUBSTITUTE('Référentiel films'!$A$34,"’","'"),SUBSTITUTE(F31,"’","'"))),'Référentiel films'!$B$34,""),IF(ISNUMBER(SEARCH(SUBSTITUTE('Référentiel films'!$A$35,"’","'"),SUBSTITUTE(F31,"’","'"))),'Référentiel films'!$B$35,""),IF(ISNUMBER(SEARCH(SUBSTITUTE('Référentiel films'!$A$36,"’","'"),SUBSTITUTE(F31,"’","'"))),'Référentiel films'!$B$36,""),IF(ISNUMBER(SEARCH(SUBSTITUTE('Référentiel films'!$A$37,"’","'"),SUBSTITUTE(F31,"’","'"))),'Référentiel films'!$B$37,""),IF(ISNUMBER(SEARCH(SUBSTITUTE('Référentiel films'!$A$38,"’","'"),SUBSTITUTE(F31,"’","'"))),'Référentiel films'!$B$38,""),IF(ISNUMBER(SEARCH(SUBSTITUTE('Référentiel films'!$A$39,"’","'"),SUBSTITUTE(F31,"’","'"))),'Référentiel films'!$B$39,""),IF(ISNUMBER(SEARCH(SUBSTITUTE('Référentiel films'!$A$40,"’","'"),SUBSTITUTE(F31,"’","'"))),'Référentiel films'!$B$40,""),IF(ISNUMBER(SEARCH(SUBSTITUTE('Référentiel films'!$A$41,"’","'"),SUBSTITUTE(F31,"’","'"))),'Référentiel films'!$B$41,"")))</f>
        <v>film-1975-le-droit-du-plus-fort; film-1975-maman-kusters-s-en-va-au-ciel; film-1975-comme-un-oiseau-sur-le-fil; film-1975-peur-de-la-peur</v>
      </c>
    </row>
    <row r="32" spans="1:21" ht="313" customHeight="1" x14ac:dyDescent="0.2">
      <c r="A32" s="1">
        <v>1976</v>
      </c>
      <c r="B32" s="1" t="s">
        <v>52</v>
      </c>
      <c r="C32" s="1" t="s">
        <v>225</v>
      </c>
      <c r="D32" s="1" t="s">
        <v>226</v>
      </c>
      <c r="E32" s="13" t="s">
        <v>370</v>
      </c>
      <c r="F32" s="1" t="s">
        <v>227</v>
      </c>
      <c r="G32" s="1" t="s">
        <v>228</v>
      </c>
      <c r="H32" s="11"/>
      <c r="I32" s="11"/>
      <c r="J32" s="11"/>
      <c r="K32" s="11"/>
      <c r="L32" s="11"/>
      <c r="M32" s="1" t="s">
        <v>215</v>
      </c>
      <c r="N32" s="1" t="s">
        <v>216</v>
      </c>
      <c r="O32" s="11"/>
      <c r="P32" s="11"/>
      <c r="Q32" s="11"/>
      <c r="R32" s="11"/>
      <c r="S32" s="11"/>
      <c r="T32" s="11"/>
      <c r="U32" s="28" t="str">
        <f>IF(F32="","",_xlfn.TEXTJOIN("; ",TRUE(),IF(ISNUMBER(SEARCH(SUBSTITUTE('Référentiel films'!$A$2,"’","'"),SUBSTITUTE(F32,"’","'"))),'Référentiel films'!$B$2,""),IF(ISNUMBER(SEARCH(SUBSTITUTE('Référentiel films'!$A$3,"’","'"),SUBSTITUTE(F32,"’","'"))),'Référentiel films'!$B$3,""),IF(ISNUMBER(SEARCH(SUBSTITUTE('Référentiel films'!$A$4,"’","'"),SUBSTITUTE(F32,"’","'"))),'Référentiel films'!$B$4,""),IF(ISNUMBER(SEARCH(SUBSTITUTE('Référentiel films'!$A$5,"’","'"),SUBSTITUTE(F32,"’","'"))),'Référentiel films'!$B$5,""),IF(ISNUMBER(SEARCH(SUBSTITUTE('Référentiel films'!$A$6,"’","'"),SUBSTITUTE(F32,"’","'"))),'Référentiel films'!$B$6,""),IF(ISNUMBER(SEARCH(SUBSTITUTE('Référentiel films'!$A$7,"’","'"),SUBSTITUTE(F32,"’","'"))),'Référentiel films'!$B$7,""),IF(ISNUMBER(SEARCH(SUBSTITUTE('Référentiel films'!$A$8,"’","'"),SUBSTITUTE(F32,"’","'"))),'Référentiel films'!$B$8,""),IF(ISNUMBER(SEARCH(SUBSTITUTE('Référentiel films'!$A$9,"’","'"),SUBSTITUTE(F32,"’","'"))),'Référentiel films'!$B$9,""),IF(ISNUMBER(SEARCH(SUBSTITUTE('Référentiel films'!$A$10,"’","'"),SUBSTITUTE(F32,"’","'"))),'Référentiel films'!$B$10,""),IF(ISNUMBER(SEARCH(SUBSTITUTE('Référentiel films'!$A$11,"’","'"),SUBSTITUTE(F32,"’","'"))),'Référentiel films'!$B$11,""),IF(ISNUMBER(SEARCH(SUBSTITUTE('Référentiel films'!$A$12,"’","'"),SUBSTITUTE(F32,"’","'"))),'Référentiel films'!$B$12,""),IF(ISNUMBER(SEARCH(SUBSTITUTE('Référentiel films'!$A$13,"’","'"),SUBSTITUTE(F32,"’","'"))),'Référentiel films'!$B$13,""),IF(ISNUMBER(SEARCH(SUBSTITUTE('Référentiel films'!$A$14,"’","'"),SUBSTITUTE(F32,"’","'"))),'Référentiel films'!$B$14,""),IF(ISNUMBER(SEARCH(SUBSTITUTE('Référentiel films'!$A$15,"’","'"),SUBSTITUTE(F32,"’","'"))),'Référentiel films'!$B$15,""),IF(ISNUMBER(SEARCH(SUBSTITUTE('Référentiel films'!$A$16,"’","'"),SUBSTITUTE(F32,"’","'"))),'Référentiel films'!$B$16,""),IF(ISNUMBER(SEARCH(SUBSTITUTE('Référentiel films'!$A$17,"’","'"),SUBSTITUTE(F32,"’","'"))),'Référentiel films'!$B$17,""),IF(ISNUMBER(SEARCH(SUBSTITUTE('Référentiel films'!$A$18,"’","'"),SUBSTITUTE(F32,"’","'"))),'Référentiel films'!$B$18,""),IF(ISNUMBER(SEARCH(SUBSTITUTE('Référentiel films'!$A$19,"’","'"),SUBSTITUTE(F32,"’","'"))),'Référentiel films'!$B$19,""),IF(ISNUMBER(SEARCH(SUBSTITUTE('Référentiel films'!$A$20,"’","'"),SUBSTITUTE(F32,"’","'"))),'Référentiel films'!$B$20,""),IF(ISNUMBER(SEARCH(SUBSTITUTE('Référentiel films'!$A$21,"’","'"),SUBSTITUTE(F32,"’","'"))),'Référentiel films'!$B$21,""),IF(ISNUMBER(SEARCH(SUBSTITUTE('Référentiel films'!$A$22,"’","'"),SUBSTITUTE(F32,"’","'"))),'Référentiel films'!$B$22,""),IF(ISNUMBER(SEARCH(SUBSTITUTE('Référentiel films'!$A$23,"’","'"),SUBSTITUTE(F32,"’","'"))),'Référentiel films'!$B$23,""),IF(ISNUMBER(SEARCH(SUBSTITUTE('Référentiel films'!$A$24,"’","'"),SUBSTITUTE(F32,"’","'"))),'Référentiel films'!$B$24,""),IF(ISNUMBER(SEARCH(SUBSTITUTE('Référentiel films'!$A$25,"’","'"),SUBSTITUTE(F32,"’","'"))),'Référentiel films'!$B$25,""),IF(ISNUMBER(SEARCH(SUBSTITUTE('Référentiel films'!$A$26,"’","'"),SUBSTITUTE(F32,"’","'"))),'Référentiel films'!$B$26,""),IF(ISNUMBER(SEARCH(SUBSTITUTE('Référentiel films'!$A$27,"’","'"),SUBSTITUTE(F32,"’","'"))),'Référentiel films'!$B$27,""),IF(ISNUMBER(SEARCH(SUBSTITUTE('Référentiel films'!$A$28,"’","'"),SUBSTITUTE(F32,"’","'"))),'Référentiel films'!$B$28,""),IF(ISNUMBER(SEARCH(SUBSTITUTE('Référentiel films'!$A$29,"’","'"),SUBSTITUTE(F32,"’","'"))),'Référentiel films'!$B$29,""),IF(ISNUMBER(SEARCH(SUBSTITUTE('Référentiel films'!$A$30,"’","'"),SUBSTITUTE(F32,"’","'"))),'Référentiel films'!$B$30,""),IF(ISNUMBER(SEARCH(SUBSTITUTE('Référentiel films'!$A$31,"’","'"),SUBSTITUTE(F32,"’","'"))),'Référentiel films'!$B$31,""),IF(ISNUMBER(SEARCH(SUBSTITUTE('Référentiel films'!$A$32,"’","'"),SUBSTITUTE(F32,"’","'"))),'Référentiel films'!$B$32,""),IF(ISNUMBER(SEARCH(SUBSTITUTE('Référentiel films'!$A$33,"’","'"),SUBSTITUTE(F32,"’","'"))),'Référentiel films'!$B$33,""),IF(ISNUMBER(SEARCH(SUBSTITUTE('Référentiel films'!$A$34,"’","'"),SUBSTITUTE(F32,"’","'"))),'Référentiel films'!$B$34,""),IF(ISNUMBER(SEARCH(SUBSTITUTE('Référentiel films'!$A$35,"’","'"),SUBSTITUTE(F32,"’","'"))),'Référentiel films'!$B$35,""),IF(ISNUMBER(SEARCH(SUBSTITUTE('Référentiel films'!$A$36,"’","'"),SUBSTITUTE(F32,"’","'"))),'Référentiel films'!$B$36,""),IF(ISNUMBER(SEARCH(SUBSTITUTE('Référentiel films'!$A$37,"’","'"),SUBSTITUTE(F32,"’","'"))),'Référentiel films'!$B$37,""),IF(ISNUMBER(SEARCH(SUBSTITUTE('Référentiel films'!$A$38,"’","'"),SUBSTITUTE(F32,"’","'"))),'Référentiel films'!$B$38,""),IF(ISNUMBER(SEARCH(SUBSTITUTE('Référentiel films'!$A$39,"’","'"),SUBSTITUTE(F32,"’","'"))),'Référentiel films'!$B$39,""),IF(ISNUMBER(SEARCH(SUBSTITUTE('Référentiel films'!$A$40,"’","'"),SUBSTITUTE(F32,"’","'"))),'Référentiel films'!$B$40,""),IF(ISNUMBER(SEARCH(SUBSTITUTE('Référentiel films'!$A$41,"’","'"),SUBSTITUTE(F32,"’","'"))),'Référentiel films'!$B$41,"")))</f>
        <v>film-1976-l-ombre-des-anges; film-1976-le-roti-de-satan; film-1976-roulette-chinoise; film-1976-je-veux-seulement-que-vous-m-aimiez</v>
      </c>
    </row>
    <row r="33" spans="1:21" ht="409.5" customHeight="1" x14ac:dyDescent="0.2">
      <c r="A33" s="1">
        <v>1977</v>
      </c>
      <c r="B33" s="1" t="s">
        <v>52</v>
      </c>
      <c r="C33" s="1" t="s">
        <v>229</v>
      </c>
      <c r="D33" s="13" t="s">
        <v>230</v>
      </c>
      <c r="E33" s="13" t="s">
        <v>371</v>
      </c>
      <c r="F33" s="11" t="s">
        <v>231</v>
      </c>
      <c r="G33" s="11" t="s">
        <v>232</v>
      </c>
      <c r="H33" s="11"/>
      <c r="I33" s="11"/>
      <c r="J33" s="11"/>
      <c r="K33" s="11" t="s">
        <v>233</v>
      </c>
      <c r="L33" s="11" t="s">
        <v>234</v>
      </c>
      <c r="M33" s="1" t="s">
        <v>215</v>
      </c>
      <c r="N33" s="1" t="s">
        <v>216</v>
      </c>
      <c r="O33" s="11"/>
      <c r="P33" s="11"/>
      <c r="Q33" s="11"/>
      <c r="R33" s="11"/>
      <c r="S33" s="11"/>
      <c r="T33" s="11"/>
      <c r="U33" s="28" t="str">
        <f>IF(F33="","",_xlfn.TEXTJOIN("; ",TRUE(),IF(ISNUMBER(SEARCH(SUBSTITUTE('Référentiel films'!$A$2,"’","'"),SUBSTITUTE(F33,"’","'"))),'Référentiel films'!$B$2,""),IF(ISNUMBER(SEARCH(SUBSTITUTE('Référentiel films'!$A$3,"’","'"),SUBSTITUTE(F33,"’","'"))),'Référentiel films'!$B$3,""),IF(ISNUMBER(SEARCH(SUBSTITUTE('Référentiel films'!$A$4,"’","'"),SUBSTITUTE(F33,"’","'"))),'Référentiel films'!$B$4,""),IF(ISNUMBER(SEARCH(SUBSTITUTE('Référentiel films'!$A$5,"’","'"),SUBSTITUTE(F33,"’","'"))),'Référentiel films'!$B$5,""),IF(ISNUMBER(SEARCH(SUBSTITUTE('Référentiel films'!$A$6,"’","'"),SUBSTITUTE(F33,"’","'"))),'Référentiel films'!$B$6,""),IF(ISNUMBER(SEARCH(SUBSTITUTE('Référentiel films'!$A$7,"’","'"),SUBSTITUTE(F33,"’","'"))),'Référentiel films'!$B$7,""),IF(ISNUMBER(SEARCH(SUBSTITUTE('Référentiel films'!$A$8,"’","'"),SUBSTITUTE(F33,"’","'"))),'Référentiel films'!$B$8,""),IF(ISNUMBER(SEARCH(SUBSTITUTE('Référentiel films'!$A$9,"’","'"),SUBSTITUTE(F33,"’","'"))),'Référentiel films'!$B$9,""),IF(ISNUMBER(SEARCH(SUBSTITUTE('Référentiel films'!$A$10,"’","'"),SUBSTITUTE(F33,"’","'"))),'Référentiel films'!$B$10,""),IF(ISNUMBER(SEARCH(SUBSTITUTE('Référentiel films'!$A$11,"’","'"),SUBSTITUTE(F33,"’","'"))),'Référentiel films'!$B$11,""),IF(ISNUMBER(SEARCH(SUBSTITUTE('Référentiel films'!$A$12,"’","'"),SUBSTITUTE(F33,"’","'"))),'Référentiel films'!$B$12,""),IF(ISNUMBER(SEARCH(SUBSTITUTE('Référentiel films'!$A$13,"’","'"),SUBSTITUTE(F33,"’","'"))),'Référentiel films'!$B$13,""),IF(ISNUMBER(SEARCH(SUBSTITUTE('Référentiel films'!$A$14,"’","'"),SUBSTITUTE(F33,"’","'"))),'Référentiel films'!$B$14,""),IF(ISNUMBER(SEARCH(SUBSTITUTE('Référentiel films'!$A$15,"’","'"),SUBSTITUTE(F33,"’","'"))),'Référentiel films'!$B$15,""),IF(ISNUMBER(SEARCH(SUBSTITUTE('Référentiel films'!$A$16,"’","'"),SUBSTITUTE(F33,"’","'"))),'Référentiel films'!$B$16,""),IF(ISNUMBER(SEARCH(SUBSTITUTE('Référentiel films'!$A$17,"’","'"),SUBSTITUTE(F33,"’","'"))),'Référentiel films'!$B$17,""),IF(ISNUMBER(SEARCH(SUBSTITUTE('Référentiel films'!$A$18,"’","'"),SUBSTITUTE(F33,"’","'"))),'Référentiel films'!$B$18,""),IF(ISNUMBER(SEARCH(SUBSTITUTE('Référentiel films'!$A$19,"’","'"),SUBSTITUTE(F33,"’","'"))),'Référentiel films'!$B$19,""),IF(ISNUMBER(SEARCH(SUBSTITUTE('Référentiel films'!$A$20,"’","'"),SUBSTITUTE(F33,"’","'"))),'Référentiel films'!$B$20,""),IF(ISNUMBER(SEARCH(SUBSTITUTE('Référentiel films'!$A$21,"’","'"),SUBSTITUTE(F33,"’","'"))),'Référentiel films'!$B$21,""),IF(ISNUMBER(SEARCH(SUBSTITUTE('Référentiel films'!$A$22,"’","'"),SUBSTITUTE(F33,"’","'"))),'Référentiel films'!$B$22,""),IF(ISNUMBER(SEARCH(SUBSTITUTE('Référentiel films'!$A$23,"’","'"),SUBSTITUTE(F33,"’","'"))),'Référentiel films'!$B$23,""),IF(ISNUMBER(SEARCH(SUBSTITUTE('Référentiel films'!$A$24,"’","'"),SUBSTITUTE(F33,"’","'"))),'Référentiel films'!$B$24,""),IF(ISNUMBER(SEARCH(SUBSTITUTE('Référentiel films'!$A$25,"’","'"),SUBSTITUTE(F33,"’","'"))),'Référentiel films'!$B$25,""),IF(ISNUMBER(SEARCH(SUBSTITUTE('Référentiel films'!$A$26,"’","'"),SUBSTITUTE(F33,"’","'"))),'Référentiel films'!$B$26,""),IF(ISNUMBER(SEARCH(SUBSTITUTE('Référentiel films'!$A$27,"’","'"),SUBSTITUTE(F33,"’","'"))),'Référentiel films'!$B$27,""),IF(ISNUMBER(SEARCH(SUBSTITUTE('Référentiel films'!$A$28,"’","'"),SUBSTITUTE(F33,"’","'"))),'Référentiel films'!$B$28,""),IF(ISNUMBER(SEARCH(SUBSTITUTE('Référentiel films'!$A$29,"’","'"),SUBSTITUTE(F33,"’","'"))),'Référentiel films'!$B$29,""),IF(ISNUMBER(SEARCH(SUBSTITUTE('Référentiel films'!$A$30,"’","'"),SUBSTITUTE(F33,"’","'"))),'Référentiel films'!$B$30,""),IF(ISNUMBER(SEARCH(SUBSTITUTE('Référentiel films'!$A$31,"’","'"),SUBSTITUTE(F33,"’","'"))),'Référentiel films'!$B$31,""),IF(ISNUMBER(SEARCH(SUBSTITUTE('Référentiel films'!$A$32,"’","'"),SUBSTITUTE(F33,"’","'"))),'Référentiel films'!$B$32,""),IF(ISNUMBER(SEARCH(SUBSTITUTE('Référentiel films'!$A$33,"’","'"),SUBSTITUTE(F33,"’","'"))),'Référentiel films'!$B$33,""),IF(ISNUMBER(SEARCH(SUBSTITUTE('Référentiel films'!$A$34,"’","'"),SUBSTITUTE(F33,"’","'"))),'Référentiel films'!$B$34,""),IF(ISNUMBER(SEARCH(SUBSTITUTE('Référentiel films'!$A$35,"’","'"),SUBSTITUTE(F33,"’","'"))),'Référentiel films'!$B$35,""),IF(ISNUMBER(SEARCH(SUBSTITUTE('Référentiel films'!$A$36,"’","'"),SUBSTITUTE(F33,"’","'"))),'Référentiel films'!$B$36,""),IF(ISNUMBER(SEARCH(SUBSTITUTE('Référentiel films'!$A$37,"’","'"),SUBSTITUTE(F33,"’","'"))),'Référentiel films'!$B$37,""),IF(ISNUMBER(SEARCH(SUBSTITUTE('Référentiel films'!$A$38,"’","'"),SUBSTITUTE(F33,"’","'"))),'Référentiel films'!$B$38,""),IF(ISNUMBER(SEARCH(SUBSTITUTE('Référentiel films'!$A$39,"’","'"),SUBSTITUTE(F33,"’","'"))),'Référentiel films'!$B$39,""),IF(ISNUMBER(SEARCH(SUBSTITUTE('Référentiel films'!$A$40,"’","'"),SUBSTITUTE(F33,"’","'"))),'Référentiel films'!$B$40,""),IF(ISNUMBER(SEARCH(SUBSTITUTE('Référentiel films'!$A$41,"’","'"),SUBSTITUTE(F33,"’","'"))),'Référentiel films'!$B$41,"")))</f>
        <v>film-1977-femmes-a-new-york; film-1977-la-femme-du-chef-de-gare</v>
      </c>
    </row>
    <row r="34" spans="1:21" ht="409.5" customHeight="1" x14ac:dyDescent="0.2">
      <c r="A34" s="1">
        <v>1978</v>
      </c>
      <c r="B34" s="1" t="s">
        <v>52</v>
      </c>
      <c r="C34" s="1"/>
      <c r="D34" s="16"/>
      <c r="E34" s="13" t="s">
        <v>375</v>
      </c>
      <c r="F34" s="13" t="s">
        <v>376</v>
      </c>
      <c r="G34" s="11" t="s">
        <v>235</v>
      </c>
      <c r="H34" s="11"/>
      <c r="I34" s="11"/>
      <c r="J34" s="11"/>
      <c r="K34" s="11"/>
      <c r="L34" s="11" t="s">
        <v>236</v>
      </c>
      <c r="M34" s="1" t="s">
        <v>215</v>
      </c>
      <c r="N34" s="1" t="s">
        <v>216</v>
      </c>
      <c r="O34" s="11"/>
      <c r="P34" s="11"/>
      <c r="Q34" s="11"/>
      <c r="R34" s="11"/>
      <c r="S34" s="11"/>
      <c r="T34" s="11"/>
      <c r="U34" s="28" t="str">
        <f>IF(F34="","",_xlfn.TEXTJOIN("; ",TRUE(),IF(ISNUMBER(SEARCH(SUBSTITUTE('Référentiel films'!$A$2,"’","'"),SUBSTITUTE(F34,"’","'"))),'Référentiel films'!$B$2,""),IF(ISNUMBER(SEARCH(SUBSTITUTE('Référentiel films'!$A$3,"’","'"),SUBSTITUTE(F34,"’","'"))),'Référentiel films'!$B$3,""),IF(ISNUMBER(SEARCH(SUBSTITUTE('Référentiel films'!$A$4,"’","'"),SUBSTITUTE(F34,"’","'"))),'Référentiel films'!$B$4,""),IF(ISNUMBER(SEARCH(SUBSTITUTE('Référentiel films'!$A$5,"’","'"),SUBSTITUTE(F34,"’","'"))),'Référentiel films'!$B$5,""),IF(ISNUMBER(SEARCH(SUBSTITUTE('Référentiel films'!$A$6,"’","'"),SUBSTITUTE(F34,"’","'"))),'Référentiel films'!$B$6,""),IF(ISNUMBER(SEARCH(SUBSTITUTE('Référentiel films'!$A$7,"’","'"),SUBSTITUTE(F34,"’","'"))),'Référentiel films'!$B$7,""),IF(ISNUMBER(SEARCH(SUBSTITUTE('Référentiel films'!$A$8,"’","'"),SUBSTITUTE(F34,"’","'"))),'Référentiel films'!$B$8,""),IF(ISNUMBER(SEARCH(SUBSTITUTE('Référentiel films'!$A$9,"’","'"),SUBSTITUTE(F34,"’","'"))),'Référentiel films'!$B$9,""),IF(ISNUMBER(SEARCH(SUBSTITUTE('Référentiel films'!$A$10,"’","'"),SUBSTITUTE(F34,"’","'"))),'Référentiel films'!$B$10,""),IF(ISNUMBER(SEARCH(SUBSTITUTE('Référentiel films'!$A$11,"’","'"),SUBSTITUTE(F34,"’","'"))),'Référentiel films'!$B$11,""),IF(ISNUMBER(SEARCH(SUBSTITUTE('Référentiel films'!$A$12,"’","'"),SUBSTITUTE(F34,"’","'"))),'Référentiel films'!$B$12,""),IF(ISNUMBER(SEARCH(SUBSTITUTE('Référentiel films'!$A$13,"’","'"),SUBSTITUTE(F34,"’","'"))),'Référentiel films'!$B$13,""),IF(ISNUMBER(SEARCH(SUBSTITUTE('Référentiel films'!$A$14,"’","'"),SUBSTITUTE(F34,"’","'"))),'Référentiel films'!$B$14,""),IF(ISNUMBER(SEARCH(SUBSTITUTE('Référentiel films'!$A$15,"’","'"),SUBSTITUTE(F34,"’","'"))),'Référentiel films'!$B$15,""),IF(ISNUMBER(SEARCH(SUBSTITUTE('Référentiel films'!$A$16,"’","'"),SUBSTITUTE(F34,"’","'"))),'Référentiel films'!$B$16,""),IF(ISNUMBER(SEARCH(SUBSTITUTE('Référentiel films'!$A$17,"’","'"),SUBSTITUTE(F34,"’","'"))),'Référentiel films'!$B$17,""),IF(ISNUMBER(SEARCH(SUBSTITUTE('Référentiel films'!$A$18,"’","'"),SUBSTITUTE(F34,"’","'"))),'Référentiel films'!$B$18,""),IF(ISNUMBER(SEARCH(SUBSTITUTE('Référentiel films'!$A$19,"’","'"),SUBSTITUTE(F34,"’","'"))),'Référentiel films'!$B$19,""),IF(ISNUMBER(SEARCH(SUBSTITUTE('Référentiel films'!$A$20,"’","'"),SUBSTITUTE(F34,"’","'"))),'Référentiel films'!$B$20,""),IF(ISNUMBER(SEARCH(SUBSTITUTE('Référentiel films'!$A$21,"’","'"),SUBSTITUTE(F34,"’","'"))),'Référentiel films'!$B$21,""),IF(ISNUMBER(SEARCH(SUBSTITUTE('Référentiel films'!$A$22,"’","'"),SUBSTITUTE(F34,"’","'"))),'Référentiel films'!$B$22,""),IF(ISNUMBER(SEARCH(SUBSTITUTE('Référentiel films'!$A$23,"’","'"),SUBSTITUTE(F34,"’","'"))),'Référentiel films'!$B$23,""),IF(ISNUMBER(SEARCH(SUBSTITUTE('Référentiel films'!$A$24,"’","'"),SUBSTITUTE(F34,"’","'"))),'Référentiel films'!$B$24,""),IF(ISNUMBER(SEARCH(SUBSTITUTE('Référentiel films'!$A$25,"’","'"),SUBSTITUTE(F34,"’","'"))),'Référentiel films'!$B$25,""),IF(ISNUMBER(SEARCH(SUBSTITUTE('Référentiel films'!$A$26,"’","'"),SUBSTITUTE(F34,"’","'"))),'Référentiel films'!$B$26,""),IF(ISNUMBER(SEARCH(SUBSTITUTE('Référentiel films'!$A$27,"’","'"),SUBSTITUTE(F34,"’","'"))),'Référentiel films'!$B$27,""),IF(ISNUMBER(SEARCH(SUBSTITUTE('Référentiel films'!$A$28,"’","'"),SUBSTITUTE(F34,"’","'"))),'Référentiel films'!$B$28,""),IF(ISNUMBER(SEARCH(SUBSTITUTE('Référentiel films'!$A$29,"’","'"),SUBSTITUTE(F34,"’","'"))),'Référentiel films'!$B$29,""),IF(ISNUMBER(SEARCH(SUBSTITUTE('Référentiel films'!$A$30,"’","'"),SUBSTITUTE(F34,"’","'"))),'Référentiel films'!$B$30,""),IF(ISNUMBER(SEARCH(SUBSTITUTE('Référentiel films'!$A$31,"’","'"),SUBSTITUTE(F34,"’","'"))),'Référentiel films'!$B$31,""),IF(ISNUMBER(SEARCH(SUBSTITUTE('Référentiel films'!$A$32,"’","'"),SUBSTITUTE(F34,"’","'"))),'Référentiel films'!$B$32,""),IF(ISNUMBER(SEARCH(SUBSTITUTE('Référentiel films'!$A$33,"’","'"),SUBSTITUTE(F34,"’","'"))),'Référentiel films'!$B$33,""),IF(ISNUMBER(SEARCH(SUBSTITUTE('Référentiel films'!$A$34,"’","'"),SUBSTITUTE(F34,"’","'"))),'Référentiel films'!$B$34,""),IF(ISNUMBER(SEARCH(SUBSTITUTE('Référentiel films'!$A$35,"’","'"),SUBSTITUTE(F34,"’","'"))),'Référentiel films'!$B$35,""),IF(ISNUMBER(SEARCH(SUBSTITUTE('Référentiel films'!$A$36,"’","'"),SUBSTITUTE(F34,"’","'"))),'Référentiel films'!$B$36,""),IF(ISNUMBER(SEARCH(SUBSTITUTE('Référentiel films'!$A$37,"’","'"),SUBSTITUTE(F34,"’","'"))),'Référentiel films'!$B$37,""),IF(ISNUMBER(SEARCH(SUBSTITUTE('Référentiel films'!$A$38,"’","'"),SUBSTITUTE(F34,"’","'"))),'Référentiel films'!$B$38,""),IF(ISNUMBER(SEARCH(SUBSTITUTE('Référentiel films'!$A$39,"’","'"),SUBSTITUTE(F34,"’","'"))),'Référentiel films'!$B$39,""),IF(ISNUMBER(SEARCH(SUBSTITUTE('Référentiel films'!$A$40,"’","'"),SUBSTITUTE(F34,"’","'"))),'Référentiel films'!$B$40,""),IF(ISNUMBER(SEARCH(SUBSTITUTE('Référentiel films'!$A$41,"’","'"),SUBSTITUTE(F34,"’","'"))),'Référentiel films'!$B$41,"")))</f>
        <v>film-1978-l-allemagne-en-automne; film-1978-despair; film-1978-l-annee-des-treize-lunes</v>
      </c>
    </row>
    <row r="35" spans="1:21" ht="409.5" customHeight="1" x14ac:dyDescent="0.2">
      <c r="A35" s="1">
        <v>1979</v>
      </c>
      <c r="B35" s="1" t="s">
        <v>52</v>
      </c>
      <c r="C35" s="1" t="s">
        <v>237</v>
      </c>
      <c r="D35" s="13" t="s">
        <v>372</v>
      </c>
      <c r="E35" s="13" t="s">
        <v>238</v>
      </c>
      <c r="F35" s="11" t="s">
        <v>377</v>
      </c>
      <c r="G35" s="11" t="s">
        <v>239</v>
      </c>
      <c r="H35" s="11" t="s">
        <v>373</v>
      </c>
      <c r="I35" s="11"/>
      <c r="J35" s="11"/>
      <c r="K35" s="11"/>
      <c r="M35" s="1" t="s">
        <v>215</v>
      </c>
      <c r="N35" s="1" t="s">
        <v>216</v>
      </c>
      <c r="O35" s="11"/>
      <c r="P35" s="11"/>
      <c r="Q35" s="11"/>
      <c r="R35" s="11"/>
      <c r="S35" s="11"/>
      <c r="T35" s="11"/>
      <c r="U35" s="28" t="str">
        <f>IF(F35="","",_xlfn.TEXTJOIN("; ",TRUE(),IF(ISNUMBER(SEARCH(SUBSTITUTE('Référentiel films'!$A$2,"’","'"),SUBSTITUTE(F35,"’","'"))),'Référentiel films'!$B$2,""),IF(ISNUMBER(SEARCH(SUBSTITUTE('Référentiel films'!$A$3,"’","'"),SUBSTITUTE(F35,"’","'"))),'Référentiel films'!$B$3,""),IF(ISNUMBER(SEARCH(SUBSTITUTE('Référentiel films'!$A$4,"’","'"),SUBSTITUTE(F35,"’","'"))),'Référentiel films'!$B$4,""),IF(ISNUMBER(SEARCH(SUBSTITUTE('Référentiel films'!$A$5,"’","'"),SUBSTITUTE(F35,"’","'"))),'Référentiel films'!$B$5,""),IF(ISNUMBER(SEARCH(SUBSTITUTE('Référentiel films'!$A$6,"’","'"),SUBSTITUTE(F35,"’","'"))),'Référentiel films'!$B$6,""),IF(ISNUMBER(SEARCH(SUBSTITUTE('Référentiel films'!$A$7,"’","'"),SUBSTITUTE(F35,"’","'"))),'Référentiel films'!$B$7,""),IF(ISNUMBER(SEARCH(SUBSTITUTE('Référentiel films'!$A$8,"’","'"),SUBSTITUTE(F35,"’","'"))),'Référentiel films'!$B$8,""),IF(ISNUMBER(SEARCH(SUBSTITUTE('Référentiel films'!$A$9,"’","'"),SUBSTITUTE(F35,"’","'"))),'Référentiel films'!$B$9,""),IF(ISNUMBER(SEARCH(SUBSTITUTE('Référentiel films'!$A$10,"’","'"),SUBSTITUTE(F35,"’","'"))),'Référentiel films'!$B$10,""),IF(ISNUMBER(SEARCH(SUBSTITUTE('Référentiel films'!$A$11,"’","'"),SUBSTITUTE(F35,"’","'"))),'Référentiel films'!$B$11,""),IF(ISNUMBER(SEARCH(SUBSTITUTE('Référentiel films'!$A$12,"’","'"),SUBSTITUTE(F35,"’","'"))),'Référentiel films'!$B$12,""),IF(ISNUMBER(SEARCH(SUBSTITUTE('Référentiel films'!$A$13,"’","'"),SUBSTITUTE(F35,"’","'"))),'Référentiel films'!$B$13,""),IF(ISNUMBER(SEARCH(SUBSTITUTE('Référentiel films'!$A$14,"’","'"),SUBSTITUTE(F35,"’","'"))),'Référentiel films'!$B$14,""),IF(ISNUMBER(SEARCH(SUBSTITUTE('Référentiel films'!$A$15,"’","'"),SUBSTITUTE(F35,"’","'"))),'Référentiel films'!$B$15,""),IF(ISNUMBER(SEARCH(SUBSTITUTE('Référentiel films'!$A$16,"’","'"),SUBSTITUTE(F35,"’","'"))),'Référentiel films'!$B$16,""),IF(ISNUMBER(SEARCH(SUBSTITUTE('Référentiel films'!$A$17,"’","'"),SUBSTITUTE(F35,"’","'"))),'Référentiel films'!$B$17,""),IF(ISNUMBER(SEARCH(SUBSTITUTE('Référentiel films'!$A$18,"’","'"),SUBSTITUTE(F35,"’","'"))),'Référentiel films'!$B$18,""),IF(ISNUMBER(SEARCH(SUBSTITUTE('Référentiel films'!$A$19,"’","'"),SUBSTITUTE(F35,"’","'"))),'Référentiel films'!$B$19,""),IF(ISNUMBER(SEARCH(SUBSTITUTE('Référentiel films'!$A$20,"’","'"),SUBSTITUTE(F35,"’","'"))),'Référentiel films'!$B$20,""),IF(ISNUMBER(SEARCH(SUBSTITUTE('Référentiel films'!$A$21,"’","'"),SUBSTITUTE(F35,"’","'"))),'Référentiel films'!$B$21,""),IF(ISNUMBER(SEARCH(SUBSTITUTE('Référentiel films'!$A$22,"’","'"),SUBSTITUTE(F35,"’","'"))),'Référentiel films'!$B$22,""),IF(ISNUMBER(SEARCH(SUBSTITUTE('Référentiel films'!$A$23,"’","'"),SUBSTITUTE(F35,"’","'"))),'Référentiel films'!$B$23,""),IF(ISNUMBER(SEARCH(SUBSTITUTE('Référentiel films'!$A$24,"’","'"),SUBSTITUTE(F35,"’","'"))),'Référentiel films'!$B$24,""),IF(ISNUMBER(SEARCH(SUBSTITUTE('Référentiel films'!$A$25,"’","'"),SUBSTITUTE(F35,"’","'"))),'Référentiel films'!$B$25,""),IF(ISNUMBER(SEARCH(SUBSTITUTE('Référentiel films'!$A$26,"’","'"),SUBSTITUTE(F35,"’","'"))),'Référentiel films'!$B$26,""),IF(ISNUMBER(SEARCH(SUBSTITUTE('Référentiel films'!$A$27,"’","'"),SUBSTITUTE(F35,"’","'"))),'Référentiel films'!$B$27,""),IF(ISNUMBER(SEARCH(SUBSTITUTE('Référentiel films'!$A$28,"’","'"),SUBSTITUTE(F35,"’","'"))),'Référentiel films'!$B$28,""),IF(ISNUMBER(SEARCH(SUBSTITUTE('Référentiel films'!$A$29,"’","'"),SUBSTITUTE(F35,"’","'"))),'Référentiel films'!$B$29,""),IF(ISNUMBER(SEARCH(SUBSTITUTE('Référentiel films'!$A$30,"’","'"),SUBSTITUTE(F35,"’","'"))),'Référentiel films'!$B$30,""),IF(ISNUMBER(SEARCH(SUBSTITUTE('Référentiel films'!$A$31,"’","'"),SUBSTITUTE(F35,"’","'"))),'Référentiel films'!$B$31,""),IF(ISNUMBER(SEARCH(SUBSTITUTE('Référentiel films'!$A$32,"’","'"),SUBSTITUTE(F35,"’","'"))),'Référentiel films'!$B$32,""),IF(ISNUMBER(SEARCH(SUBSTITUTE('Référentiel films'!$A$33,"’","'"),SUBSTITUTE(F35,"’","'"))),'Référentiel films'!$B$33,""),IF(ISNUMBER(SEARCH(SUBSTITUTE('Référentiel films'!$A$34,"’","'"),SUBSTITUTE(F35,"’","'"))),'Référentiel films'!$B$34,""),IF(ISNUMBER(SEARCH(SUBSTITUTE('Référentiel films'!$A$35,"’","'"),SUBSTITUTE(F35,"’","'"))),'Référentiel films'!$B$35,""),IF(ISNUMBER(SEARCH(SUBSTITUTE('Référentiel films'!$A$36,"’","'"),SUBSTITUTE(F35,"’","'"))),'Référentiel films'!$B$36,""),IF(ISNUMBER(SEARCH(SUBSTITUTE('Référentiel films'!$A$37,"’","'"),SUBSTITUTE(F35,"’","'"))),'Référentiel films'!$B$37,""),IF(ISNUMBER(SEARCH(SUBSTITUTE('Référentiel films'!$A$38,"’","'"),SUBSTITUTE(F35,"’","'"))),'Référentiel films'!$B$38,""),IF(ISNUMBER(SEARCH(SUBSTITUTE('Référentiel films'!$A$39,"’","'"),SUBSTITUTE(F35,"’","'"))),'Référentiel films'!$B$39,""),IF(ISNUMBER(SEARCH(SUBSTITUTE('Référentiel films'!$A$40,"’","'"),SUBSTITUTE(F35,"’","'"))),'Référentiel films'!$B$40,""),IF(ISNUMBER(SEARCH(SUBSTITUTE('Référentiel films'!$A$41,"’","'"),SUBSTITUTE(F35,"’","'"))),'Référentiel films'!$B$41,"")))</f>
        <v>film-1978-le-mariage-de-maria-braun; film-1979-la-troisieme-generation</v>
      </c>
    </row>
    <row r="36" spans="1:21" ht="409.5" customHeight="1" x14ac:dyDescent="0.2">
      <c r="A36" s="1">
        <v>1980</v>
      </c>
      <c r="B36" s="1" t="s">
        <v>63</v>
      </c>
      <c r="C36" s="1" t="s">
        <v>240</v>
      </c>
      <c r="D36" s="14" t="s">
        <v>241</v>
      </c>
      <c r="E36" s="1" t="s">
        <v>242</v>
      </c>
      <c r="F36" s="13" t="s">
        <v>243</v>
      </c>
      <c r="G36" s="1" t="s">
        <v>244</v>
      </c>
      <c r="H36" s="11"/>
      <c r="I36" s="11"/>
      <c r="J36" s="11"/>
      <c r="K36" s="11"/>
      <c r="L36" s="30" t="s">
        <v>245</v>
      </c>
      <c r="M36" s="1" t="s">
        <v>215</v>
      </c>
      <c r="N36" s="1" t="s">
        <v>216</v>
      </c>
      <c r="O36" s="11"/>
      <c r="P36" s="11"/>
      <c r="Q36" s="11"/>
      <c r="R36" s="11"/>
      <c r="S36" s="11"/>
      <c r="T36" s="11"/>
      <c r="U36" s="28" t="str">
        <f>IF(F36="","",_xlfn.TEXTJOIN("; ",TRUE(),IF(ISNUMBER(SEARCH(SUBSTITUTE('Référentiel films'!$A$2,"’","'"),SUBSTITUTE(F36,"’","'"))),'Référentiel films'!$B$2,""),IF(ISNUMBER(SEARCH(SUBSTITUTE('Référentiel films'!$A$3,"’","'"),SUBSTITUTE(F36,"’","'"))),'Référentiel films'!$B$3,""),IF(ISNUMBER(SEARCH(SUBSTITUTE('Référentiel films'!$A$4,"’","'"),SUBSTITUTE(F36,"’","'"))),'Référentiel films'!$B$4,""),IF(ISNUMBER(SEARCH(SUBSTITUTE('Référentiel films'!$A$5,"’","'"),SUBSTITUTE(F36,"’","'"))),'Référentiel films'!$B$5,""),IF(ISNUMBER(SEARCH(SUBSTITUTE('Référentiel films'!$A$6,"’","'"),SUBSTITUTE(F36,"’","'"))),'Référentiel films'!$B$6,""),IF(ISNUMBER(SEARCH(SUBSTITUTE('Référentiel films'!$A$7,"’","'"),SUBSTITUTE(F36,"’","'"))),'Référentiel films'!$B$7,""),IF(ISNUMBER(SEARCH(SUBSTITUTE('Référentiel films'!$A$8,"’","'"),SUBSTITUTE(F36,"’","'"))),'Référentiel films'!$B$8,""),IF(ISNUMBER(SEARCH(SUBSTITUTE('Référentiel films'!$A$9,"’","'"),SUBSTITUTE(F36,"’","'"))),'Référentiel films'!$B$9,""),IF(ISNUMBER(SEARCH(SUBSTITUTE('Référentiel films'!$A$10,"’","'"),SUBSTITUTE(F36,"’","'"))),'Référentiel films'!$B$10,""),IF(ISNUMBER(SEARCH(SUBSTITUTE('Référentiel films'!$A$11,"’","'"),SUBSTITUTE(F36,"’","'"))),'Référentiel films'!$B$11,""),IF(ISNUMBER(SEARCH(SUBSTITUTE('Référentiel films'!$A$12,"’","'"),SUBSTITUTE(F36,"’","'"))),'Référentiel films'!$B$12,""),IF(ISNUMBER(SEARCH(SUBSTITUTE('Référentiel films'!$A$13,"’","'"),SUBSTITUTE(F36,"’","'"))),'Référentiel films'!$B$13,""),IF(ISNUMBER(SEARCH(SUBSTITUTE('Référentiel films'!$A$14,"’","'"),SUBSTITUTE(F36,"’","'"))),'Référentiel films'!$B$14,""),IF(ISNUMBER(SEARCH(SUBSTITUTE('Référentiel films'!$A$15,"’","'"),SUBSTITUTE(F36,"’","'"))),'Référentiel films'!$B$15,""),IF(ISNUMBER(SEARCH(SUBSTITUTE('Référentiel films'!$A$16,"’","'"),SUBSTITUTE(F36,"’","'"))),'Référentiel films'!$B$16,""),IF(ISNUMBER(SEARCH(SUBSTITUTE('Référentiel films'!$A$17,"’","'"),SUBSTITUTE(F36,"’","'"))),'Référentiel films'!$B$17,""),IF(ISNUMBER(SEARCH(SUBSTITUTE('Référentiel films'!$A$18,"’","'"),SUBSTITUTE(F36,"’","'"))),'Référentiel films'!$B$18,""),IF(ISNUMBER(SEARCH(SUBSTITUTE('Référentiel films'!$A$19,"’","'"),SUBSTITUTE(F36,"’","'"))),'Référentiel films'!$B$19,""),IF(ISNUMBER(SEARCH(SUBSTITUTE('Référentiel films'!$A$20,"’","'"),SUBSTITUTE(F36,"’","'"))),'Référentiel films'!$B$20,""),IF(ISNUMBER(SEARCH(SUBSTITUTE('Référentiel films'!$A$21,"’","'"),SUBSTITUTE(F36,"’","'"))),'Référentiel films'!$B$21,""),IF(ISNUMBER(SEARCH(SUBSTITUTE('Référentiel films'!$A$22,"’","'"),SUBSTITUTE(F36,"’","'"))),'Référentiel films'!$B$22,""),IF(ISNUMBER(SEARCH(SUBSTITUTE('Référentiel films'!$A$23,"’","'"),SUBSTITUTE(F36,"’","'"))),'Référentiel films'!$B$23,""),IF(ISNUMBER(SEARCH(SUBSTITUTE('Référentiel films'!$A$24,"’","'"),SUBSTITUTE(F36,"’","'"))),'Référentiel films'!$B$24,""),IF(ISNUMBER(SEARCH(SUBSTITUTE('Référentiel films'!$A$25,"’","'"),SUBSTITUTE(F36,"’","'"))),'Référentiel films'!$B$25,""),IF(ISNUMBER(SEARCH(SUBSTITUTE('Référentiel films'!$A$26,"’","'"),SUBSTITUTE(F36,"’","'"))),'Référentiel films'!$B$26,""),IF(ISNUMBER(SEARCH(SUBSTITUTE('Référentiel films'!$A$27,"’","'"),SUBSTITUTE(F36,"’","'"))),'Référentiel films'!$B$27,""),IF(ISNUMBER(SEARCH(SUBSTITUTE('Référentiel films'!$A$28,"’","'"),SUBSTITUTE(F36,"’","'"))),'Référentiel films'!$B$28,""),IF(ISNUMBER(SEARCH(SUBSTITUTE('Référentiel films'!$A$29,"’","'"),SUBSTITUTE(F36,"’","'"))),'Référentiel films'!$B$29,""),IF(ISNUMBER(SEARCH(SUBSTITUTE('Référentiel films'!$A$30,"’","'"),SUBSTITUTE(F36,"’","'"))),'Référentiel films'!$B$30,""),IF(ISNUMBER(SEARCH(SUBSTITUTE('Référentiel films'!$A$31,"’","'"),SUBSTITUTE(F36,"’","'"))),'Référentiel films'!$B$31,""),IF(ISNUMBER(SEARCH(SUBSTITUTE('Référentiel films'!$A$32,"’","'"),SUBSTITUTE(F36,"’","'"))),'Référentiel films'!$B$32,""),IF(ISNUMBER(SEARCH(SUBSTITUTE('Référentiel films'!$A$33,"’","'"),SUBSTITUTE(F36,"’","'"))),'Référentiel films'!$B$33,""),IF(ISNUMBER(SEARCH(SUBSTITUTE('Référentiel films'!$A$34,"’","'"),SUBSTITUTE(F36,"’","'"))),'Référentiel films'!$B$34,""),IF(ISNUMBER(SEARCH(SUBSTITUTE('Référentiel films'!$A$35,"’","'"),SUBSTITUTE(F36,"’","'"))),'Référentiel films'!$B$35,""),IF(ISNUMBER(SEARCH(SUBSTITUTE('Référentiel films'!$A$36,"’","'"),SUBSTITUTE(F36,"’","'"))),'Référentiel films'!$B$36,""),IF(ISNUMBER(SEARCH(SUBSTITUTE('Référentiel films'!$A$37,"’","'"),SUBSTITUTE(F36,"’","'"))),'Référentiel films'!$B$37,""),IF(ISNUMBER(SEARCH(SUBSTITUTE('Référentiel films'!$A$38,"’","'"),SUBSTITUTE(F36,"’","'"))),'Référentiel films'!$B$38,""),IF(ISNUMBER(SEARCH(SUBSTITUTE('Référentiel films'!$A$39,"’","'"),SUBSTITUTE(F36,"’","'"))),'Référentiel films'!$B$39,""),IF(ISNUMBER(SEARCH(SUBSTITUTE('Référentiel films'!$A$40,"’","'"),SUBSTITUTE(F36,"’","'"))),'Référentiel films'!$B$40,""),IF(ISNUMBER(SEARCH(SUBSTITUTE('Référentiel films'!$A$41,"’","'"),SUBSTITUTE(F36,"’","'"))),'Référentiel films'!$B$41,"")))</f>
        <v>film-1980-berlin-alexanderplatz</v>
      </c>
    </row>
    <row r="37" spans="1:21" ht="313" customHeight="1" x14ac:dyDescent="0.2">
      <c r="A37" s="1">
        <v>1981</v>
      </c>
      <c r="B37" s="1" t="s">
        <v>63</v>
      </c>
      <c r="C37" s="1" t="s">
        <v>246</v>
      </c>
      <c r="D37" s="11"/>
      <c r="E37" s="1" t="s">
        <v>247</v>
      </c>
      <c r="F37" s="1" t="s">
        <v>248</v>
      </c>
      <c r="G37" s="13" t="s">
        <v>249</v>
      </c>
      <c r="H37" s="11"/>
      <c r="I37" s="11"/>
      <c r="J37" s="11"/>
      <c r="K37" s="11"/>
      <c r="L37" s="11" t="s">
        <v>250</v>
      </c>
      <c r="M37" s="1" t="s">
        <v>215</v>
      </c>
      <c r="N37" s="1" t="s">
        <v>216</v>
      </c>
      <c r="O37" s="11"/>
      <c r="P37" s="11"/>
      <c r="Q37" s="11"/>
      <c r="R37" s="11"/>
      <c r="S37" s="11"/>
      <c r="T37" s="11"/>
      <c r="U37" s="28" t="str">
        <f>IF(F37="","",_xlfn.TEXTJOIN("; ",TRUE(),IF(ISNUMBER(SEARCH(SUBSTITUTE('Référentiel films'!$A$2,"’","'"),SUBSTITUTE(F37,"’","'"))),'Référentiel films'!$B$2,""),IF(ISNUMBER(SEARCH(SUBSTITUTE('Référentiel films'!$A$3,"’","'"),SUBSTITUTE(F37,"’","'"))),'Référentiel films'!$B$3,""),IF(ISNUMBER(SEARCH(SUBSTITUTE('Référentiel films'!$A$4,"’","'"),SUBSTITUTE(F37,"’","'"))),'Référentiel films'!$B$4,""),IF(ISNUMBER(SEARCH(SUBSTITUTE('Référentiel films'!$A$5,"’","'"),SUBSTITUTE(F37,"’","'"))),'Référentiel films'!$B$5,""),IF(ISNUMBER(SEARCH(SUBSTITUTE('Référentiel films'!$A$6,"’","'"),SUBSTITUTE(F37,"’","'"))),'Référentiel films'!$B$6,""),IF(ISNUMBER(SEARCH(SUBSTITUTE('Référentiel films'!$A$7,"’","'"),SUBSTITUTE(F37,"’","'"))),'Référentiel films'!$B$7,""),IF(ISNUMBER(SEARCH(SUBSTITUTE('Référentiel films'!$A$8,"’","'"),SUBSTITUTE(F37,"’","'"))),'Référentiel films'!$B$8,""),IF(ISNUMBER(SEARCH(SUBSTITUTE('Référentiel films'!$A$9,"’","'"),SUBSTITUTE(F37,"’","'"))),'Référentiel films'!$B$9,""),IF(ISNUMBER(SEARCH(SUBSTITUTE('Référentiel films'!$A$10,"’","'"),SUBSTITUTE(F37,"’","'"))),'Référentiel films'!$B$10,""),IF(ISNUMBER(SEARCH(SUBSTITUTE('Référentiel films'!$A$11,"’","'"),SUBSTITUTE(F37,"’","'"))),'Référentiel films'!$B$11,""),IF(ISNUMBER(SEARCH(SUBSTITUTE('Référentiel films'!$A$12,"’","'"),SUBSTITUTE(F37,"’","'"))),'Référentiel films'!$B$12,""),IF(ISNUMBER(SEARCH(SUBSTITUTE('Référentiel films'!$A$13,"’","'"),SUBSTITUTE(F37,"’","'"))),'Référentiel films'!$B$13,""),IF(ISNUMBER(SEARCH(SUBSTITUTE('Référentiel films'!$A$14,"’","'"),SUBSTITUTE(F37,"’","'"))),'Référentiel films'!$B$14,""),IF(ISNUMBER(SEARCH(SUBSTITUTE('Référentiel films'!$A$15,"’","'"),SUBSTITUTE(F37,"’","'"))),'Référentiel films'!$B$15,""),IF(ISNUMBER(SEARCH(SUBSTITUTE('Référentiel films'!$A$16,"’","'"),SUBSTITUTE(F37,"’","'"))),'Référentiel films'!$B$16,""),IF(ISNUMBER(SEARCH(SUBSTITUTE('Référentiel films'!$A$17,"’","'"),SUBSTITUTE(F37,"’","'"))),'Référentiel films'!$B$17,""),IF(ISNUMBER(SEARCH(SUBSTITUTE('Référentiel films'!$A$18,"’","'"),SUBSTITUTE(F37,"’","'"))),'Référentiel films'!$B$18,""),IF(ISNUMBER(SEARCH(SUBSTITUTE('Référentiel films'!$A$19,"’","'"),SUBSTITUTE(F37,"’","'"))),'Référentiel films'!$B$19,""),IF(ISNUMBER(SEARCH(SUBSTITUTE('Référentiel films'!$A$20,"’","'"),SUBSTITUTE(F37,"’","'"))),'Référentiel films'!$B$20,""),IF(ISNUMBER(SEARCH(SUBSTITUTE('Référentiel films'!$A$21,"’","'"),SUBSTITUTE(F37,"’","'"))),'Référentiel films'!$B$21,""),IF(ISNUMBER(SEARCH(SUBSTITUTE('Référentiel films'!$A$22,"’","'"),SUBSTITUTE(F37,"’","'"))),'Référentiel films'!$B$22,""),IF(ISNUMBER(SEARCH(SUBSTITUTE('Référentiel films'!$A$23,"’","'"),SUBSTITUTE(F37,"’","'"))),'Référentiel films'!$B$23,""),IF(ISNUMBER(SEARCH(SUBSTITUTE('Référentiel films'!$A$24,"’","'"),SUBSTITUTE(F37,"’","'"))),'Référentiel films'!$B$24,""),IF(ISNUMBER(SEARCH(SUBSTITUTE('Référentiel films'!$A$25,"’","'"),SUBSTITUTE(F37,"’","'"))),'Référentiel films'!$B$25,""),IF(ISNUMBER(SEARCH(SUBSTITUTE('Référentiel films'!$A$26,"’","'"),SUBSTITUTE(F37,"’","'"))),'Référentiel films'!$B$26,""),IF(ISNUMBER(SEARCH(SUBSTITUTE('Référentiel films'!$A$27,"’","'"),SUBSTITUTE(F37,"’","'"))),'Référentiel films'!$B$27,""),IF(ISNUMBER(SEARCH(SUBSTITUTE('Référentiel films'!$A$28,"’","'"),SUBSTITUTE(F37,"’","'"))),'Référentiel films'!$B$28,""),IF(ISNUMBER(SEARCH(SUBSTITUTE('Référentiel films'!$A$29,"’","'"),SUBSTITUTE(F37,"’","'"))),'Référentiel films'!$B$29,""),IF(ISNUMBER(SEARCH(SUBSTITUTE('Référentiel films'!$A$30,"’","'"),SUBSTITUTE(F37,"’","'"))),'Référentiel films'!$B$30,""),IF(ISNUMBER(SEARCH(SUBSTITUTE('Référentiel films'!$A$31,"’","'"),SUBSTITUTE(F37,"’","'"))),'Référentiel films'!$B$31,""),IF(ISNUMBER(SEARCH(SUBSTITUTE('Référentiel films'!$A$32,"’","'"),SUBSTITUTE(F37,"’","'"))),'Référentiel films'!$B$32,""),IF(ISNUMBER(SEARCH(SUBSTITUTE('Référentiel films'!$A$33,"’","'"),SUBSTITUTE(F37,"’","'"))),'Référentiel films'!$B$33,""),IF(ISNUMBER(SEARCH(SUBSTITUTE('Référentiel films'!$A$34,"’","'"),SUBSTITUTE(F37,"’","'"))),'Référentiel films'!$B$34,""),IF(ISNUMBER(SEARCH(SUBSTITUTE('Référentiel films'!$A$35,"’","'"),SUBSTITUTE(F37,"’","'"))),'Référentiel films'!$B$35,""),IF(ISNUMBER(SEARCH(SUBSTITUTE('Référentiel films'!$A$36,"’","'"),SUBSTITUTE(F37,"’","'"))),'Référentiel films'!$B$36,""),IF(ISNUMBER(SEARCH(SUBSTITUTE('Référentiel films'!$A$37,"’","'"),SUBSTITUTE(F37,"’","'"))),'Référentiel films'!$B$37,""),IF(ISNUMBER(SEARCH(SUBSTITUTE('Référentiel films'!$A$38,"’","'"),SUBSTITUTE(F37,"’","'"))),'Référentiel films'!$B$38,""),IF(ISNUMBER(SEARCH(SUBSTITUTE('Référentiel films'!$A$39,"’","'"),SUBSTITUTE(F37,"’","'"))),'Référentiel films'!$B$39,""),IF(ISNUMBER(SEARCH(SUBSTITUTE('Référentiel films'!$A$40,"’","'"),SUBSTITUTE(F37,"’","'"))),'Référentiel films'!$B$40,""),IF(ISNUMBER(SEARCH(SUBSTITUTE('Référentiel films'!$A$41,"’","'"),SUBSTITUTE(F37,"’","'"))),'Référentiel films'!$B$41,"")))</f>
        <v>film-1981-lili-marleen; film-1981-theatre-en-transe; film-1981-lola-une-femme-allemande</v>
      </c>
    </row>
    <row r="38" spans="1:21" ht="313" customHeight="1" x14ac:dyDescent="0.2">
      <c r="A38" s="1">
        <v>1982</v>
      </c>
      <c r="B38" s="1" t="s">
        <v>63</v>
      </c>
      <c r="C38" s="1" t="s">
        <v>251</v>
      </c>
      <c r="D38" s="1" t="s">
        <v>252</v>
      </c>
      <c r="E38" s="1" t="s">
        <v>253</v>
      </c>
      <c r="F38" s="16" t="s">
        <v>254</v>
      </c>
      <c r="G38" s="11" t="s">
        <v>255</v>
      </c>
      <c r="H38" s="11"/>
      <c r="I38" s="11"/>
      <c r="J38" s="11"/>
      <c r="K38" s="11"/>
      <c r="L38" s="11"/>
      <c r="M38" s="11" t="s">
        <v>256</v>
      </c>
      <c r="N38" s="11" t="s">
        <v>257</v>
      </c>
      <c r="O38" s="11"/>
      <c r="P38" s="11"/>
      <c r="Q38" s="11"/>
      <c r="R38" s="11"/>
      <c r="S38" s="11"/>
      <c r="T38" s="11"/>
      <c r="U38" s="28" t="str">
        <f>IF(F38="","",_xlfn.TEXTJOIN("; ",TRUE(),IF(ISNUMBER(SEARCH(SUBSTITUTE('Référentiel films'!$A$2,"’","'"),SUBSTITUTE(F38,"’","'"))),'Référentiel films'!$B$2,""),IF(ISNUMBER(SEARCH(SUBSTITUTE('Référentiel films'!$A$3,"’","'"),SUBSTITUTE(F38,"’","'"))),'Référentiel films'!$B$3,""),IF(ISNUMBER(SEARCH(SUBSTITUTE('Référentiel films'!$A$4,"’","'"),SUBSTITUTE(F38,"’","'"))),'Référentiel films'!$B$4,""),IF(ISNUMBER(SEARCH(SUBSTITUTE('Référentiel films'!$A$5,"’","'"),SUBSTITUTE(F38,"’","'"))),'Référentiel films'!$B$5,""),IF(ISNUMBER(SEARCH(SUBSTITUTE('Référentiel films'!$A$6,"’","'"),SUBSTITUTE(F38,"’","'"))),'Référentiel films'!$B$6,""),IF(ISNUMBER(SEARCH(SUBSTITUTE('Référentiel films'!$A$7,"’","'"),SUBSTITUTE(F38,"’","'"))),'Référentiel films'!$B$7,""),IF(ISNUMBER(SEARCH(SUBSTITUTE('Référentiel films'!$A$8,"’","'"),SUBSTITUTE(F38,"’","'"))),'Référentiel films'!$B$8,""),IF(ISNUMBER(SEARCH(SUBSTITUTE('Référentiel films'!$A$9,"’","'"),SUBSTITUTE(F38,"’","'"))),'Référentiel films'!$B$9,""),IF(ISNUMBER(SEARCH(SUBSTITUTE('Référentiel films'!$A$10,"’","'"),SUBSTITUTE(F38,"’","'"))),'Référentiel films'!$B$10,""),IF(ISNUMBER(SEARCH(SUBSTITUTE('Référentiel films'!$A$11,"’","'"),SUBSTITUTE(F38,"’","'"))),'Référentiel films'!$B$11,""),IF(ISNUMBER(SEARCH(SUBSTITUTE('Référentiel films'!$A$12,"’","'"),SUBSTITUTE(F38,"’","'"))),'Référentiel films'!$B$12,""),IF(ISNUMBER(SEARCH(SUBSTITUTE('Référentiel films'!$A$13,"’","'"),SUBSTITUTE(F38,"’","'"))),'Référentiel films'!$B$13,""),IF(ISNUMBER(SEARCH(SUBSTITUTE('Référentiel films'!$A$14,"’","'"),SUBSTITUTE(F38,"’","'"))),'Référentiel films'!$B$14,""),IF(ISNUMBER(SEARCH(SUBSTITUTE('Référentiel films'!$A$15,"’","'"),SUBSTITUTE(F38,"’","'"))),'Référentiel films'!$B$15,""),IF(ISNUMBER(SEARCH(SUBSTITUTE('Référentiel films'!$A$16,"’","'"),SUBSTITUTE(F38,"’","'"))),'Référentiel films'!$B$16,""),IF(ISNUMBER(SEARCH(SUBSTITUTE('Référentiel films'!$A$17,"’","'"),SUBSTITUTE(F38,"’","'"))),'Référentiel films'!$B$17,""),IF(ISNUMBER(SEARCH(SUBSTITUTE('Référentiel films'!$A$18,"’","'"),SUBSTITUTE(F38,"’","'"))),'Référentiel films'!$B$18,""),IF(ISNUMBER(SEARCH(SUBSTITUTE('Référentiel films'!$A$19,"’","'"),SUBSTITUTE(F38,"’","'"))),'Référentiel films'!$B$19,""),IF(ISNUMBER(SEARCH(SUBSTITUTE('Référentiel films'!$A$20,"’","'"),SUBSTITUTE(F38,"’","'"))),'Référentiel films'!$B$20,""),IF(ISNUMBER(SEARCH(SUBSTITUTE('Référentiel films'!$A$21,"’","'"),SUBSTITUTE(F38,"’","'"))),'Référentiel films'!$B$21,""),IF(ISNUMBER(SEARCH(SUBSTITUTE('Référentiel films'!$A$22,"’","'"),SUBSTITUTE(F38,"’","'"))),'Référentiel films'!$B$22,""),IF(ISNUMBER(SEARCH(SUBSTITUTE('Référentiel films'!$A$23,"’","'"),SUBSTITUTE(F38,"’","'"))),'Référentiel films'!$B$23,""),IF(ISNUMBER(SEARCH(SUBSTITUTE('Référentiel films'!$A$24,"’","'"),SUBSTITUTE(F38,"’","'"))),'Référentiel films'!$B$24,""),IF(ISNUMBER(SEARCH(SUBSTITUTE('Référentiel films'!$A$25,"’","'"),SUBSTITUTE(F38,"’","'"))),'Référentiel films'!$B$25,""),IF(ISNUMBER(SEARCH(SUBSTITUTE('Référentiel films'!$A$26,"’","'"),SUBSTITUTE(F38,"’","'"))),'Référentiel films'!$B$26,""),IF(ISNUMBER(SEARCH(SUBSTITUTE('Référentiel films'!$A$27,"’","'"),SUBSTITUTE(F38,"’","'"))),'Référentiel films'!$B$27,""),IF(ISNUMBER(SEARCH(SUBSTITUTE('Référentiel films'!$A$28,"’","'"),SUBSTITUTE(F38,"’","'"))),'Référentiel films'!$B$28,""),IF(ISNUMBER(SEARCH(SUBSTITUTE('Référentiel films'!$A$29,"’","'"),SUBSTITUTE(F38,"’","'"))),'Référentiel films'!$B$29,""),IF(ISNUMBER(SEARCH(SUBSTITUTE('Référentiel films'!$A$30,"’","'"),SUBSTITUTE(F38,"’","'"))),'Référentiel films'!$B$30,""),IF(ISNUMBER(SEARCH(SUBSTITUTE('Référentiel films'!$A$31,"’","'"),SUBSTITUTE(F38,"’","'"))),'Référentiel films'!$B$31,""),IF(ISNUMBER(SEARCH(SUBSTITUTE('Référentiel films'!$A$32,"’","'"),SUBSTITUTE(F38,"’","'"))),'Référentiel films'!$B$32,""),IF(ISNUMBER(SEARCH(SUBSTITUTE('Référentiel films'!$A$33,"’","'"),SUBSTITUTE(F38,"’","'"))),'Référentiel films'!$B$33,""),IF(ISNUMBER(SEARCH(SUBSTITUTE('Référentiel films'!$A$34,"’","'"),SUBSTITUTE(F38,"’","'"))),'Référentiel films'!$B$34,""),IF(ISNUMBER(SEARCH(SUBSTITUTE('Référentiel films'!$A$35,"’","'"),SUBSTITUTE(F38,"’","'"))),'Référentiel films'!$B$35,""),IF(ISNUMBER(SEARCH(SUBSTITUTE('Référentiel films'!$A$36,"’","'"),SUBSTITUTE(F38,"’","'"))),'Référentiel films'!$B$36,""),IF(ISNUMBER(SEARCH(SUBSTITUTE('Référentiel films'!$A$37,"’","'"),SUBSTITUTE(F38,"’","'"))),'Référentiel films'!$B$37,""),IF(ISNUMBER(SEARCH(SUBSTITUTE('Référentiel films'!$A$38,"’","'"),SUBSTITUTE(F38,"’","'"))),'Référentiel films'!$B$38,""),IF(ISNUMBER(SEARCH(SUBSTITUTE('Référentiel films'!$A$39,"’","'"),SUBSTITUTE(F38,"’","'"))),'Référentiel films'!$B$39,""),IF(ISNUMBER(SEARCH(SUBSTITUTE('Référentiel films'!$A$40,"’","'"),SUBSTITUTE(F38,"’","'"))),'Référentiel films'!$B$40,""),IF(ISNUMBER(SEARCH(SUBSTITUTE('Référentiel films'!$A$41,"’","'"),SUBSTITUTE(F38,"’","'"))),'Référentiel films'!$B$41,"")))</f>
        <v>film-1981-le-secret-de-veronika-voss; film-1982-querelle</v>
      </c>
    </row>
  </sheetData>
  <hyperlinks>
    <hyperlink ref="H2" r:id="rId1" xr:uid="{00000000-0004-0000-0100-000000000000}"/>
    <hyperlink ref="H3" r:id="rId2" xr:uid="{00000000-0004-0000-0100-000001000000}"/>
    <hyperlink ref="H5" r:id="rId3" xr:uid="{00000000-0004-0000-0100-000002000000}"/>
    <hyperlink ref="H6" r:id="rId4" xr:uid="{00000000-0004-0000-0100-000003000000}"/>
    <hyperlink ref="H10" r:id="rId5" xr:uid="{00000000-0004-0000-0100-000004000000}"/>
    <hyperlink ref="H11" r:id="rId6" xr:uid="{00000000-0004-0000-0100-000005000000}"/>
    <hyperlink ref="H13" r:id="rId7" xr:uid="{00000000-0004-0000-0100-000006000000}"/>
    <hyperlink ref="H19" r:id="rId8" xr:uid="{00000000-0004-0000-0100-000007000000}"/>
    <hyperlink ref="I19" r:id="rId9" xr:uid="{00000000-0004-0000-0100-000008000000}"/>
  </hyperlinks>
  <pageMargins left="0.7" right="0.7" top="0.75" bottom="0.75" header="0.3" footer="0.3"/>
  <tableParts count="1">
    <tablePart r:id="rId10"/>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5:D19"/>
  <sheetViews>
    <sheetView workbookViewId="0">
      <selection sqref="A1:XFD1048576"/>
    </sheetView>
  </sheetViews>
  <sheetFormatPr baseColWidth="10" defaultColWidth="11.5" defaultRowHeight="13" x14ac:dyDescent="0.15"/>
  <cols>
    <col min="1" max="1" width="11.5" style="21"/>
    <col min="2" max="2" width="37.5" style="21" customWidth="1"/>
    <col min="3" max="3" width="37" style="21" customWidth="1"/>
    <col min="4" max="4" width="30.83203125" style="21" customWidth="1"/>
    <col min="5" max="16384" width="11.5" style="21"/>
  </cols>
  <sheetData>
    <row r="15" spans="1:4" x14ac:dyDescent="0.15">
      <c r="A15" s="9" t="s">
        <v>258</v>
      </c>
      <c r="B15" s="9" t="s">
        <v>259</v>
      </c>
      <c r="C15" s="9" t="s">
        <v>260</v>
      </c>
      <c r="D15" s="9" t="s">
        <v>261</v>
      </c>
    </row>
    <row r="16" spans="1:4" ht="42" x14ac:dyDescent="0.15">
      <c r="A16" s="10" t="s">
        <v>262</v>
      </c>
      <c r="B16" s="26" t="s">
        <v>263</v>
      </c>
      <c r="C16" s="10" t="s">
        <v>264</v>
      </c>
      <c r="D16" s="10"/>
    </row>
    <row r="17" spans="1:4" ht="28" x14ac:dyDescent="0.15">
      <c r="A17" s="10" t="s">
        <v>265</v>
      </c>
      <c r="B17" s="26" t="s">
        <v>266</v>
      </c>
      <c r="C17" s="10" t="s">
        <v>267</v>
      </c>
      <c r="D17" s="10" t="s">
        <v>268</v>
      </c>
    </row>
    <row r="18" spans="1:4" ht="28" x14ac:dyDescent="0.15">
      <c r="A18" s="10" t="s">
        <v>269</v>
      </c>
      <c r="B18" s="10" t="s">
        <v>270</v>
      </c>
      <c r="C18" s="10" t="s">
        <v>271</v>
      </c>
      <c r="D18" s="10" t="s">
        <v>268</v>
      </c>
    </row>
    <row r="19" spans="1:4" ht="28" x14ac:dyDescent="0.15">
      <c r="A19" s="10" t="s">
        <v>272</v>
      </c>
      <c r="B19" s="10" t="s">
        <v>273</v>
      </c>
      <c r="C19" s="10" t="s">
        <v>274</v>
      </c>
      <c r="D19" s="10" t="s">
        <v>275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41"/>
  <sheetViews>
    <sheetView workbookViewId="0"/>
  </sheetViews>
  <sheetFormatPr baseColWidth="10" defaultColWidth="10.5" defaultRowHeight="13" x14ac:dyDescent="0.15"/>
  <cols>
    <col min="1" max="1" width="46.83203125" customWidth="1"/>
    <col min="2" max="2" width="59.1640625" customWidth="1"/>
  </cols>
  <sheetData>
    <row r="1" spans="1:2" ht="17" x14ac:dyDescent="0.2">
      <c r="A1" s="2" t="s">
        <v>276</v>
      </c>
      <c r="B1" s="2" t="s">
        <v>277</v>
      </c>
    </row>
    <row r="2" spans="1:2" ht="17" x14ac:dyDescent="0.2">
      <c r="A2" s="4" t="s">
        <v>278</v>
      </c>
      <c r="B2" s="4" t="s">
        <v>279</v>
      </c>
    </row>
    <row r="3" spans="1:2" ht="17" x14ac:dyDescent="0.2">
      <c r="A3" s="4" t="s">
        <v>280</v>
      </c>
      <c r="B3" s="4" t="s">
        <v>281</v>
      </c>
    </row>
    <row r="4" spans="1:2" ht="17" x14ac:dyDescent="0.2">
      <c r="A4" s="4" t="s">
        <v>282</v>
      </c>
      <c r="B4" s="4" t="s">
        <v>283</v>
      </c>
    </row>
    <row r="5" spans="1:2" ht="17" x14ac:dyDescent="0.2">
      <c r="A5" s="4" t="s">
        <v>284</v>
      </c>
      <c r="B5" s="4" t="s">
        <v>285</v>
      </c>
    </row>
    <row r="6" spans="1:2" ht="17" x14ac:dyDescent="0.2">
      <c r="A6" s="4" t="s">
        <v>286</v>
      </c>
      <c r="B6" s="4" t="s">
        <v>287</v>
      </c>
    </row>
    <row r="7" spans="1:2" ht="17" x14ac:dyDescent="0.2">
      <c r="A7" s="4" t="s">
        <v>288</v>
      </c>
      <c r="B7" s="4" t="s">
        <v>289</v>
      </c>
    </row>
    <row r="8" spans="1:2" ht="17" x14ac:dyDescent="0.2">
      <c r="A8" s="4" t="s">
        <v>290</v>
      </c>
      <c r="B8" s="4" t="s">
        <v>291</v>
      </c>
    </row>
    <row r="9" spans="1:2" ht="17" x14ac:dyDescent="0.2">
      <c r="A9" s="4" t="s">
        <v>292</v>
      </c>
      <c r="B9" s="4" t="s">
        <v>293</v>
      </c>
    </row>
    <row r="10" spans="1:2" ht="17" x14ac:dyDescent="0.2">
      <c r="A10" s="4" t="s">
        <v>294</v>
      </c>
      <c r="B10" s="4" t="s">
        <v>295</v>
      </c>
    </row>
    <row r="11" spans="1:2" ht="17" x14ac:dyDescent="0.2">
      <c r="A11" s="4" t="s">
        <v>296</v>
      </c>
      <c r="B11" s="4" t="s">
        <v>297</v>
      </c>
    </row>
    <row r="12" spans="1:2" ht="17" x14ac:dyDescent="0.2">
      <c r="A12" s="4" t="s">
        <v>298</v>
      </c>
      <c r="B12" s="4" t="s">
        <v>299</v>
      </c>
    </row>
    <row r="13" spans="1:2" ht="17" x14ac:dyDescent="0.2">
      <c r="A13" s="4" t="s">
        <v>300</v>
      </c>
      <c r="B13" s="4" t="s">
        <v>301</v>
      </c>
    </row>
    <row r="14" spans="1:2" ht="17" x14ac:dyDescent="0.2">
      <c r="A14" s="4" t="s">
        <v>302</v>
      </c>
      <c r="B14" s="4" t="s">
        <v>303</v>
      </c>
    </row>
    <row r="15" spans="1:2" ht="17" x14ac:dyDescent="0.2">
      <c r="A15" s="4" t="s">
        <v>304</v>
      </c>
      <c r="B15" s="4" t="s">
        <v>305</v>
      </c>
    </row>
    <row r="16" spans="1:2" ht="17" x14ac:dyDescent="0.2">
      <c r="A16" s="4" t="s">
        <v>306</v>
      </c>
      <c r="B16" s="4" t="s">
        <v>307</v>
      </c>
    </row>
    <row r="17" spans="1:2" ht="17" x14ac:dyDescent="0.2">
      <c r="A17" s="4" t="s">
        <v>308</v>
      </c>
      <c r="B17" s="4" t="s">
        <v>309</v>
      </c>
    </row>
    <row r="18" spans="1:2" ht="17" x14ac:dyDescent="0.2">
      <c r="A18" s="4" t="s">
        <v>310</v>
      </c>
      <c r="B18" s="4" t="s">
        <v>311</v>
      </c>
    </row>
    <row r="19" spans="1:2" ht="17" x14ac:dyDescent="0.2">
      <c r="A19" s="4" t="s">
        <v>312</v>
      </c>
      <c r="B19" s="4" t="s">
        <v>313</v>
      </c>
    </row>
    <row r="20" spans="1:2" ht="17" x14ac:dyDescent="0.2">
      <c r="A20" s="4" t="s">
        <v>314</v>
      </c>
      <c r="B20" s="4" t="s">
        <v>315</v>
      </c>
    </row>
    <row r="21" spans="1:2" ht="17" x14ac:dyDescent="0.2">
      <c r="A21" s="4" t="s">
        <v>316</v>
      </c>
      <c r="B21" s="4" t="s">
        <v>317</v>
      </c>
    </row>
    <row r="22" spans="1:2" ht="17" x14ac:dyDescent="0.2">
      <c r="A22" s="4" t="s">
        <v>318</v>
      </c>
      <c r="B22" s="4" t="s">
        <v>319</v>
      </c>
    </row>
    <row r="23" spans="1:2" ht="17" x14ac:dyDescent="0.2">
      <c r="A23" s="4" t="s">
        <v>320</v>
      </c>
      <c r="B23" s="4" t="s">
        <v>321</v>
      </c>
    </row>
    <row r="24" spans="1:2" ht="17" x14ac:dyDescent="0.2">
      <c r="A24" s="4" t="s">
        <v>322</v>
      </c>
      <c r="B24" s="4" t="s">
        <v>323</v>
      </c>
    </row>
    <row r="25" spans="1:2" ht="17" x14ac:dyDescent="0.2">
      <c r="A25" s="4" t="s">
        <v>324</v>
      </c>
      <c r="B25" s="4" t="s">
        <v>325</v>
      </c>
    </row>
    <row r="26" spans="1:2" ht="17" x14ac:dyDescent="0.2">
      <c r="A26" s="4" t="s">
        <v>326</v>
      </c>
      <c r="B26" s="4" t="s">
        <v>327</v>
      </c>
    </row>
    <row r="27" spans="1:2" ht="17" x14ac:dyDescent="0.2">
      <c r="A27" s="4" t="s">
        <v>328</v>
      </c>
      <c r="B27" s="4" t="s">
        <v>329</v>
      </c>
    </row>
    <row r="28" spans="1:2" ht="17" x14ac:dyDescent="0.2">
      <c r="A28" s="4" t="s">
        <v>330</v>
      </c>
      <c r="B28" s="4" t="s">
        <v>331</v>
      </c>
    </row>
    <row r="29" spans="1:2" ht="17" x14ac:dyDescent="0.2">
      <c r="A29" s="4" t="s">
        <v>332</v>
      </c>
      <c r="B29" s="4" t="s">
        <v>333</v>
      </c>
    </row>
    <row r="30" spans="1:2" ht="17" x14ac:dyDescent="0.2">
      <c r="A30" s="4" t="s">
        <v>334</v>
      </c>
      <c r="B30" s="4" t="s">
        <v>335</v>
      </c>
    </row>
    <row r="31" spans="1:2" ht="17" x14ac:dyDescent="0.2">
      <c r="A31" s="4" t="s">
        <v>336</v>
      </c>
      <c r="B31" s="4" t="s">
        <v>337</v>
      </c>
    </row>
    <row r="32" spans="1:2" ht="17" x14ac:dyDescent="0.2">
      <c r="A32" s="4" t="s">
        <v>338</v>
      </c>
      <c r="B32" s="4" t="s">
        <v>339</v>
      </c>
    </row>
    <row r="33" spans="1:2" ht="17" x14ac:dyDescent="0.2">
      <c r="A33" s="4" t="s">
        <v>340</v>
      </c>
      <c r="B33" s="4" t="s">
        <v>341</v>
      </c>
    </row>
    <row r="34" spans="1:2" ht="17" x14ac:dyDescent="0.2">
      <c r="A34" s="4" t="s">
        <v>342</v>
      </c>
      <c r="B34" s="4" t="s">
        <v>343</v>
      </c>
    </row>
    <row r="35" spans="1:2" ht="17" x14ac:dyDescent="0.2">
      <c r="A35" s="4" t="s">
        <v>344</v>
      </c>
      <c r="B35" s="4" t="s">
        <v>345</v>
      </c>
    </row>
    <row r="36" spans="1:2" ht="17" x14ac:dyDescent="0.2">
      <c r="A36" s="4" t="s">
        <v>346</v>
      </c>
      <c r="B36" s="4" t="s">
        <v>347</v>
      </c>
    </row>
    <row r="37" spans="1:2" ht="17" x14ac:dyDescent="0.2">
      <c r="A37" s="4" t="s">
        <v>348</v>
      </c>
      <c r="B37" s="4" t="s">
        <v>349</v>
      </c>
    </row>
    <row r="38" spans="1:2" ht="17" x14ac:dyDescent="0.2">
      <c r="A38" s="4" t="s">
        <v>350</v>
      </c>
      <c r="B38" s="4" t="s">
        <v>351</v>
      </c>
    </row>
    <row r="39" spans="1:2" ht="17" x14ac:dyDescent="0.2">
      <c r="A39" s="4" t="s">
        <v>352</v>
      </c>
      <c r="B39" s="4" t="s">
        <v>353</v>
      </c>
    </row>
    <row r="40" spans="1:2" ht="17" x14ac:dyDescent="0.2">
      <c r="A40" s="4" t="s">
        <v>354</v>
      </c>
      <c r="B40" s="4" t="s">
        <v>355</v>
      </c>
    </row>
    <row r="41" spans="1:2" ht="17" x14ac:dyDescent="0.2">
      <c r="A41" s="4" t="s">
        <v>356</v>
      </c>
      <c r="B41" s="4" t="s">
        <v>357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5"/>
  <sheetViews>
    <sheetView workbookViewId="0"/>
  </sheetViews>
  <sheetFormatPr baseColWidth="10" defaultColWidth="10.5" defaultRowHeight="13" x14ac:dyDescent="0.15"/>
  <cols>
    <col min="1" max="1" width="29.6640625" customWidth="1"/>
    <col min="2" max="2" width="101.1640625" customWidth="1"/>
  </cols>
  <sheetData>
    <row r="1" spans="1:2" ht="71" customHeight="1" x14ac:dyDescent="0.25">
      <c r="A1" s="5" t="s">
        <v>358</v>
      </c>
      <c r="B1" s="5"/>
    </row>
    <row r="2" spans="1:2" ht="80.25" customHeight="1" x14ac:dyDescent="0.2">
      <c r="A2" s="6" t="s">
        <v>359</v>
      </c>
      <c r="B2" s="2" t="s">
        <v>360</v>
      </c>
    </row>
    <row r="3" spans="1:2" ht="80.25" customHeight="1" x14ac:dyDescent="0.2">
      <c r="A3" s="6" t="s">
        <v>361</v>
      </c>
      <c r="B3" s="2" t="s">
        <v>362</v>
      </c>
    </row>
    <row r="4" spans="1:2" ht="80.25" customHeight="1" x14ac:dyDescent="0.2">
      <c r="A4" s="6" t="s">
        <v>363</v>
      </c>
      <c r="B4" s="2" t="s">
        <v>364</v>
      </c>
    </row>
    <row r="5" spans="1:2" ht="80.25" customHeight="1" x14ac:dyDescent="0.2">
      <c r="A5" s="6" t="s">
        <v>365</v>
      </c>
      <c r="B5" s="2" t="s">
        <v>366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5</vt:i4>
      </vt:variant>
    </vt:vector>
  </HeadingPairs>
  <TitlesOfParts>
    <vt:vector size="5" baseType="lpstr">
      <vt:lpstr>Périodes</vt:lpstr>
      <vt:lpstr>Années</vt:lpstr>
      <vt:lpstr>Sources générales</vt:lpstr>
      <vt:lpstr>Référentiel films</vt:lpstr>
      <vt:lpstr>Mode_emploi</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Frédérique Hammerli</cp:lastModifiedBy>
  <cp:revision/>
  <dcterms:created xsi:type="dcterms:W3CDTF">2026-08-09T12:21:52Z</dcterms:created>
  <dcterms:modified xsi:type="dcterms:W3CDTF">2026-10-22T08:10:23Z</dcterms:modified>
  <cp:category/>
  <cp:contentStatus/>
</cp:coreProperties>
</file>