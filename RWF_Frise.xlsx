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124" documentId="13_ncr:1_{1603A52A-89C1-AB4D-9094-9B943ED42DC8}" xr6:coauthVersionLast="47" xr6:coauthVersionMax="47" xr10:uidLastSave="{8C2FFBF6-1445-6C4A-BF19-593F45BEB4BD}"/>
  <bookViews>
    <workbookView xWindow="-460" yWindow="2600" windowWidth="44800" windowHeight="24600" activeTab="1"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8" i="2" l="1"/>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<sst xmlns="http://schemas.openxmlformats.org/spreadsheetml/2006/main" count="466" uniqueCount="367">
  <si>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</si>
  <si>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</si>
  <si>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</si>
  <si>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</si>
  <si>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</si>
  <si>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</si>
  <si>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</si>
  <si>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</si>
  <si>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</si>
  <si>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</si>
  <si>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</si>
  <si>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</si>
  <si>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Légende</t>
  </si>
  <si>
    <t>Notion</t>
  </si>
  <si>
    <t>1945-1948</t>
  </si>
  <si>
    <t>Des ruines de l'Heure zéro à la division de l'Allemagne</t>
  </si>
  <si>
    <t>Le "point zéro" de l'histoire de l'Allemagne d'après-guerre est-il un point zéro pour la vie et l'œuvre de RWF ?</t>
  </si>
  <si>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 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(trizone,mars 1948). En réaction, blocus de Berlin (juin 1948 et pont aérien allié). Réforme monétaire de juin 1948 : le Deutsche Mark remplace le Reichsmark dans la trizone — acte fondateur de la séparation économique. Création de la RFA (Loi fondamentale du 23 mai 1949) et, par réaction, de la RDA (7 octobre 1949).
À l'Est, fusion forcée KPD-SPD dans le SED (1946) ; pluralisme encadré.</t>
  </si>
  <si>
    <t>Naissance de Rainer Werner Fassbinder le 31 mai à Bad Wörishofen, Bavière.</t>
  </si>
  <si>
    <t>Dans Berlin en ruines la vie reprend (INA) | https://www.ina.fr/ina-eclaire-actu/video/afe86003214/dans-berlin-en-ruines-la-vie-reprend</t>
  </si>
  <si>
    <t>"Nous devons nous débarrasser du passé pour construire l'avenir". Konrad Adenauer</t>
  </si>
  <si>
    <t>Allemagne_zones.jpeg</t>
  </si>
  <si>
    <t>Le découpage de l'Allemagne et de Berlin en 4 zones d'occupation alliée</t>
  </si>
  <si>
    <t>1949-1960</t>
  </si>
  <si>
    <t>Deux États allemands : miracle économique à l'Ouest, socialisme d'État à l'Est</t>
  </si>
  <si>
    <t>L'Allemagne des années 50, la période de référence pour l'œuvre de RWF ?</t>
  </si>
  <si>
    <t>Entrée dans l'ère Adenauer (CDU),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intègre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Volkswagen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Parallèlement, l'État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</si>
  <si>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</si>
  <si>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</si>
  <si>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</si>
  <si>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Le miracle économique : une croissance fondée sur l'essor des chaines de production industrielle</t>
  </si>
  <si>
    <t>1961-1965</t>
  </si>
  <si>
    <t xml:space="preserve">Le Mur, stabilisation froide des deux Etats </t>
  </si>
  <si>
    <t xml:space="preserve">Que serait un cinéma nouveau prenant à bras le corps l'histoire de l'Allemagne et du cinéma, tout en s'en détachant ? </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</si>
  <si>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 fige institutionnellement.Le rapprochement franco-allemand (de Gaulle/Adenauer)  est initié par le Traité de l'Élysée (1963)  ; création de l'Office franco-allemand de la jeunesse.
Fin de l'ère Adenauer. 1963 : Ludwig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</si>
  <si>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Échec au concours d'entrée de la DFFB. Rencontre Hanna Schygulla et Irm Hermann dans un cours d'art dramatique. Rejoint l'Action-Theater (1967).</t>
  </si>
  <si>
    <t>Histoire du mur de Berlin|https://youtu.be/UQcKMxpU2bQ?si=rzfmz4JDbYvFqZ-H; Portrait d'Alexander Kluge|https://www.dailymotion.com/video/xzf7zm</t>
  </si>
  <si>
    <t>« Toute une génération exorcisa son enfance déjà presque oubliée en soulignant sans répit combien étaient encombrantes et dévastatrices les ombres que le passé des parents avaient jetées sur le présent de leurs enfants ». Thomas Elsaesser, RWF un cinéaste d'Allemagne (2005) p.201</t>
  </si>
  <si>
    <t>1966-1973</t>
  </si>
  <si>
    <t xml:space="preserve"> De la Grande Coalition à l'Ostpolitik : contestation, réforme e Ostpoltik (1966-1973)</t>
  </si>
  <si>
    <t xml:space="preserve">Qu'est-ce qu'un cinéaste engagé ? </t>
  </si>
  <si>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partir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chefs-d'œuvre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</si>
  <si>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t xml:space="preserve">Fonde l'antiteater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</si>
  <si>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t>La bande à Baader présentée par la télébision suisse en 1972|https://www.rts.ch/archives/1972/video/la-bande-baader-meinhof-26956164.html</t>
  </si>
  <si>
    <t>1974-1979</t>
  </si>
  <si>
    <t xml:space="preserve">Après le miracle : crise économlique, années de plomb et désenchantement 
</t>
  </si>
  <si>
    <t xml:space="preserve">Comment le rapport dominant/dominé structure-t-il toute relation, affective ou sociale ?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</si>
  <si>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Procès, enlèvements, prises d’otages et morts en détention installent la RAF au centre du débat public. Terrorisme de la RAF (arrestations en 1972). Attentat des JO de Munich (1972). L'« Automne allemand » (1977) désigne l'apogée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</si>
  <si>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</si>
  <si>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Assassinat d'Hanns Meyer Schleyer|https://youtu.be/Swkle9X11SQ?si=ndqGi8UZz0DZAULQ&amp;t=41; Inhumanation des suicidés de Stammheim|https://www.ina.fr/ina-eclaire-actu/video/cab7701618601/enterrement-bande-a-baader</t>
  </si>
  <si>
    <t>le cinéaste Edgar Reitz affirme la nécessité " de films, de livres, d'images qui nous fassent reprendre connaissance et rétablissent nos réflexes", Medium, 5/1979, p.21</t>
  </si>
  <si>
    <t>1980-1982</t>
  </si>
  <si>
    <t>La fin d'une ère : fin de la détente et tournant conservateur</t>
  </si>
  <si>
    <t xml:space="preserve">Jusqu'à quel point les femmes de la trilogie RFA sont-elles une allégorie de la nation allemande ? </t>
  </si>
  <si>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</si>
  <si>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t xml:space="preserve">RWF travaille frénétiquement. Réalise son projet de vie : l'adaptation de Döblin. Épuisement physique dû aux excès.
Décès de Fassbinder le 10 juin 1982 à Munich, à l'âge de 37 ans (épuisement et overdose). Fassbinder laisse un héritage de plus de 40 films. Sa disparition marque la fin d'une époque du Nouveau cinéma allemand </t>
  </si>
  <si>
    <t>Portrait d'Helmut Kohl|https://www.ina.fr/ina-eclaire-actu/video/cab8201713301/helmut-kohl; Les génériques des films de RWF|https://www.youtube.com/watch?v=kp-fpPFhwyU</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</si>
  <si>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</si>
  <si>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</si>
  <si>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</si>
  <si>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</si>
  <si>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</si>
  <si>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</si>
  <si>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</si>
  <si>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</si>
  <si>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</si>
  <si>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</si>
  <si>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</si>
  <si>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</si>
  <si>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</si>
  <si>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Les alliés aident à la relance de médias d'information et promeuvent une nouvelle politique éducative. 
Les alliés organisent un vaste programme de démocratisation, décartellisation, démilitarisation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</si>
  <si>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Naissance de Rainer Werner Fassbinder le 31 mai à Bad Wörishofen, Bavière. Père médecin généraliste, mère traductrice. Première année passée chez son oncle paternel</t>
  </si>
  <si>
    <t>Les génériques de Fassbinder</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</si>
  <si>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</si>
  <si>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(Deutsche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</si>
  <si>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 xml:space="preserve">Le couple Fassbinder prend l'enfant avec eux à Munich. Une partie de la famille vit dans le même appartement, notamment la grand-mère de Rainer. </t>
  </si>
  <si>
    <t>Le procès de Nuremberg</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</si>
  <si>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</si>
  <si>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À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</si>
  <si>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Elsaesser, Wikipedia</t>
  </si>
  <si>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</si>
  <si>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t>Le blocus de Berlin en 3 minutes</t>
  </si>
  <si>
    <t>Allemagne_annee_0_Reichstag.mp4</t>
  </si>
  <si>
    <t>Comment Rossellini traduit-il une relation complexe avec l'Histoire, entre fascination, terreur, et hantise ?</t>
  </si>
  <si>
    <t>Création de l'OTAN. Création de la RFA. Konrad Adenauer est élu chancelier fédéral avec une courte majorité. La division de l'Allemangne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</si>
  <si>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Bande Annonce de Fatherland de Pavel Pawlikoski</t>
  </si>
  <si>
    <t>Adenauer.jpeg</t>
  </si>
  <si>
    <t>Le chancelier Adenauer (CDU)</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</si>
  <si>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</si>
  <si>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</si>
  <si>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 xml:space="preserve">La mère de Fassbinder Liselotte Eder, née Pempeit, dite aussi Lilo Pempeit, est hospitalisée pour cause de tuberculose. </t>
  </si>
  <si>
    <t>,,,,,,,,,,,,,,,,,,,,,,,,,,,,,,,,,,,,,,,,,,,,,,,,,,,,,,,,,,,,,,,,,,,,,,,,,,,,,,,,,,,,,,,,,,,,,,,,,,,,,,,,,,,,,,,,,,,,,,,,,,,,,,,,,,,,,,,,,,,,,,,,,,,,,,,,,,,,,,,,,,,,,,,,,,,,,,,,,,,,,,,,,,,,,,,,,,,,,,,,,,,,,,,,,,,,,,,,,,,,,</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</si>
  <si>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</si>
  <si>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</si>
  <si>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Fassbinder_enfant.jpeg</t>
  </si>
  <si>
    <t>Fassbinder enfant</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</si>
  <si>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</si>
  <si>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</si>
  <si>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révolte des ouvriers est-allemands</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</si>
  <si>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</si>
  <si>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Bande Annonce de Sissi (1955)</t>
  </si>
  <si>
    <t>Bohm.jpg</t>
  </si>
  <si>
    <t>Karlheinz Böhm</t>
  </si>
  <si>
    <t>Le premier accord de recrutement de travailleurs étrangers est signé avec l’Italie : il inaugure le système des Gastarbeiter, indispensable à la croissance industrielle ouest-allemande.</t>
  </si>
  <si>
    <t>Adenauer fête ses 80 ans. 
Le KPD,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</si>
  <si>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RWF est pensionnaire à Augsbourg, sa mère étant hospitalisée pendant près de deux ans à la suite d'une opération. Il continue à fréquenter les salles obscures. Il voit toutes sortes de films sans distinction, des films noirs américains doublés en allemand, des films pornos sans budget qui se développent à partir de 1960. Le cinéma hollywoodien est alors plutôt dénigré par la bourgeoisie.</t>
  </si>
  <si>
    <t>découvrir Brecht avec l'INA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</si>
  <si>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</si>
  <si>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</si>
  <si>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Le constructeur automobile Volkswagen est privatisé à hauteur de 60% de son capital. 78% des ménages ouest-allemands disposent d'un réfrigérateur contre 25% en France. 42% possèdent une voiture. La société de consommation de masse est une réalité en RFA.
Adolf Eichmann, criminel de guerre nazi, est extradé en Israël.
La RFA atteint le plein emploi et signe de nouveaux accords de recrutement avec la Grèce et l’Espagne. La croissance et l’immigration de travail deviennent deux dimensions indissociables du modèle ouest-allemand.</t>
  </si>
  <si>
    <t>Construction du Mur de Berlin (1961). Adenauer est rééluchancelier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</si>
  <si>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 xml:space="preserve">RWF interrompt ses études avant le baccalauréat. Il rejoint son père à Cologne. Il collecte pour lui des loyers dans des immeubles principalement occupés par des Gastarbeiters (travailleurs "invités" c'est-à-dire immigrés). RWF prend des cours du soir, écrit, fréquente les bars homosexuels. </t>
  </si>
  <si>
    <t>À l'occasion du festival du film documentaire d'Oberhausen, publication du Manifeste d'Oberhausen : naissance du Nouveau Cinéma Allemand ("Le vieux cinéma est mort").
Les Beatles entament leur carrière par un concert à Hambourg</t>
  </si>
  <si>
    <t>Visite de J.F Kennedy à Berlin-ouest : "ich bin ein Berliner". 
Procès d'Auschwitz à Francfort (1963-1965)
Démission d'Adenauer à 87 ans. Ludwig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</si>
  <si>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RWF retourne à Munich et continue d'écrire,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</si>
  <si>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</si>
  <si>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</si>
  <si>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</si>
  <si>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</si>
  <si>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</si>
  <si>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Erhard.jpg</t>
  </si>
  <si>
    <t>Le chancelier Ehrard (CDU)</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</si>
  <si>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</si>
  <si>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Fassbinder_jeunesse.jpeg</t>
  </si>
  <si>
    <t>RWF jeune</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</si>
  <si>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</si>
  <si>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Kiesinger.jpg</t>
  </si>
  <si>
    <t>Le chancelier Kiesinger (Grande Coalition CDU-SPD)</t>
  </si>
  <si>
    <t>2 Juin : l’étudiant Benno Ohnesorg est tué par un policier lors d’une manifestation contre le Shah d’Iran. Les mouvements protestataires font le parallèle avec le IIIème Reich : se développe alors un discours critique à l’égard de la génération précédente et de son rôle, favorable ou passif, face au nazisme. La radicalisation des mouvements d'extrême-gauche est en cours.</t>
  </si>
  <si>
    <t>Petit chaos, court-métrage</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</si>
  <si>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</si>
  <si>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</si>
  <si>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 xml:space="preserve">Premier film accuelli froidement à Berlin. Le second, une critique de la xénophobie et de l'apathie bourgeoise,  remporte 5 distinctions cinématographiques en Allemagne. Le coût de production de 80000 marks est largement couvert : avec 650000 marks de prix et 200000 marks de subventions a posteriori, le film assure à RWF de quoi poursuivre son travail pour quelques années. </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</si>
  <si>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</si>
  <si>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</si>
  <si>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Brandt.jpg</t>
  </si>
  <si>
    <t>Le chancelier Willy Brandt (SPD)</t>
  </si>
  <si>
    <t>Le chancelier Willy Brandt se rend en Pologne et s'agenouille devant le mémorial du ghetto de Varsovie. Le geste de Willy Brandt s'accompagne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</si>
  <si>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t>Whity
Prenez garde à la sainte putain
Pionniers à Ingolstadt - Téléfilm</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</si>
  <si>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œuvre sentiment et distanciation réflexive, échappant à la seule création de cas sociaux.</t>
  </si>
  <si>
    <t>Maria_braun.jpeg</t>
  </si>
  <si>
    <t>mélodrame</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</si>
  <si>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</si>
  <si>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</si>
  <si>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Schmidt.jpg</t>
  </si>
  <si>
    <t>Le chancelier Helmut Schmidt (SPD)</t>
  </si>
  <si>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RAF.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</si>
  <si>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</si>
  <si>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t>Fassbinder_fox.jpeg</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</si>
  <si>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</si>
  <si>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M. Klein de Joseph Losey</t>
  </si>
  <si>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Siegfried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RFA, apogée de ce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Schubert est retrouvée pendue dans sa cellule de la prison de Munich.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</si>
  <si>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</si>
  <si>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conscient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</si>
  <si>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cinématographique et sa réflexion politique. Même les films dont l'action se situe avant 1945 sont à envisager comme "une archéologie de la société allemande d'après-guerre" (Elsaesser, p. 34)</t>
  </si>
  <si>
    <t>La détente internationale s’essouffle : reprise de la course aux armements et redéploiement des armes conventionnelles et nucléaires. Les mouvements pacifistes retrouvent une forte capacité de mobilisation.</t>
  </si>
  <si>
    <t xml:space="preserve">Holocaust, une série américaine,éveille les consciences|https://www.ina.fr/ina-eclaire-actu/video/s1313279_001/1979-une-serie-eveille-les-consciences-sur-la-shoah; </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</si>
  <si>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</si>
  <si>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La première diffusion de Berlin Alexanderplatz à la télévision déclenche une violente campagne de haine contre le réalisateur. Le journaliste Klaus Eder qualifie l'oeuvre de "masturbations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</si>
  <si>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</si>
  <si>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</si>
  <si>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t>RWF parvient à évincer Werner Schroeter qui souhaitait réaliser une adaptation de Querelle de Jean Genet.  Mort de Fassbinder marquant symboliquement la fin du Nouveau Cinéma Allemand.</t>
  </si>
  <si>
    <t>Kohl.jpg</t>
  </si>
  <si>
    <t>Le Chancelier Helmut Kohl (CDU)</t>
  </si>
  <si>
    <t>Catégorie</t>
  </si>
  <si>
    <t>Référence bibliographique</t>
  </si>
  <si>
    <t>Usage dans la frise</t>
  </si>
  <si>
    <t>Lien</t>
  </si>
  <si>
    <t>Histoire allemande</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</si>
  <si>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</si>
  <si>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t>Repères historiques, chronologie politique</t>
  </si>
  <si>
    <t>Fassbinder</t>
  </si>
  <si>
    <r>
      <rPr>
        <i/>
        <sz val="10"/>
        <color rgb="FF000000"/>
        <rFont val="Arial"/>
        <family val="2"/>
      </rPr>
      <t>R. W. Fassbinder, cinéaste d’Allemagne</t>
    </r>
    <r>
      <rPr>
        <sz val="10"/>
        <color rgb="FF000000"/>
        <rFont val="Arial"/>
        <family val="2"/>
      </rPr>
      <t>, de Thomas Elsaesser, Centre Pompidou, 2005</t>
    </r>
  </si>
  <si>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</si>
  <si>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</si>
  <si>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</si>
  <si>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</si>
  <si>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</si>
  <si>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</si>
  <si>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</si>
  <si>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</si>
  <si>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</si>
  <si>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</si>
  <si>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</si>
  <si>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</si>
  <si>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</si>
  <si>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</si>
  <si>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</si>
  <si>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</si>
  <si>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</si>
  <si>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</si>
  <si>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</si>
  <si>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</si>
  <si>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</si>
  <si>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</si>
  <si>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</si>
  <si>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</si>
  <si>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</si>
  <si>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</si>
  <si>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</si>
  <si>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</si>
  <si>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</si>
  <si>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</si>
  <si>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</si>
  <si>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</si>
  <si>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</si>
  <si>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</si>
  <si>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</si>
  <si>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</si>
  <si>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</si>
  <si>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</si>
  <si>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</si>
  <si>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</si>
  <si>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</si>
  <si>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</si>
  <si>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</si>
  <si>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</si>
  <si>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</si>
  <si>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</si>
  <si>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</si>
  <si>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</si>
  <si>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</si>
  <si>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</si>
  <si>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</si>
  <si>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</si>
  <si>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</si>
  <si>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</si>
  <si>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</si>
  <si>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</si>
  <si>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</si>
  <si>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</si>
  <si>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</si>
  <si>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</si>
  <si>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</si>
  <si>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</si>
  <si>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</si>
  <si>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</si>
  <si>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</si>
  <si>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</si>
  <si>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</si>
  <si>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</si>
  <si>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</si>
  <si>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</si>
  <si>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</si>
  <si>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</si>
  <si>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</si>
  <si>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</si>
  <si>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</si>
  <si>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</si>
  <si>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</si>
  <si>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</si>
  <si>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</si>
  <si>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</si>
  <si>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</si>
  <si>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</si>
  <si>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</si>
  <si>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</si>
  <si>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</si>
  <si>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</si>
  <si>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</si>
  <si>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</si>
  <si>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</si>
  <si>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</si>
  <si>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</si>
  <si>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</si>
  <si>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</si>
  <si>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</si>
  <si>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</si>
  <si>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</si>
  <si>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</si>
  <si>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</si>
  <si>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</si>
  <si>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</si>
  <si>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Réalise ses premiers courts métrages : This Night (1966) et Le Clochard (1966). Confrontation de la mémoire de la Shoah.
L'amour est plus froid que la mort (1969)
Le Bouc (1969) met en scène un Gastarbeiter grec, victime du racisme. 
Amorce de la période sirkienne : Le Marchand des quatre saisons (1971)
Autres œuvres de la période :
Petit Chaos (1967, court métrage)
Les Dieux de la peste (1970)
Pourquoi monsieur R. est-il atteint de folie meurtrière ? (1970)
Rio das Mortes (1970, téléfilm)
Le Café (1970, téléfilm)
Le Soldat américain (1970)
Le Voyage à Niklashausen (1970, téléfilm)
Whity (1971)
Prenez garde à la sainte putain (1971)
Pionniers à Ingolstadt (1971, téléfilm)
Les Larmes amères de Petra von Kant (1972)
Liberté à Brême (1972, téléfilm)
Huit heures ne font pas un jour (1972-1973, série télévisée)
Gibier de passage (1973, téléfilm)
Le Monde sur un fil (1973, téléfilm en deux parties)</t>
  </si>
  <si>
    <t>La période Sirkienne se poursuit  : Tous les autres s'appellent Ali (1974), Le droit du plus fort (1975)  
Le segment de L'Allemagne en automne et Maman Küsters s'en va au ciel (1975) résonnent avec l'actualité politique brûlante qui secoue la RFA et confronte aussi l'Allemagne à son passé et ses crimes.
L'Année des treize lunes (1978) : œuvre radicale sur le désespoir, résonne avec l'histoire intime de RWF et les questionnements politiques du cinéaste
Le Mariage de Maria Braun (1978) initie la trilogie de la RFA. Le mélodrame devient réflexion sur  l'état allemand d'après-guerre.
Autres œuvres de la période :
Effi Briest (1974)
Martha (1974, téléfilm)
Nora Helmer (1974, téléfilm)
Comme un oiseau sur le fil (1975, téléfilm)
Peur de la peur (1975, téléfilm)
Le Rôti de Satan (1976)
Je veux seulement que vous m’aimiez (1976, téléfilm)
Roulette chinoise (1976)
Femmes à New York (1977, téléfilm)
La Femme du chef de gare (1977, téléfilm en deux parties)
Despair (1978)
La Troisième Génération (1979)</t>
  </si>
  <si>
    <t>Monumental Berlin Alexanderplatz (1980, 15h). 
Suite de la Trilogie de la RFA : Lola, une femme allemande (1981) et Lili Marleen (1981).
Le Secret de Veronika Voss (Ours d'Or à Berlin). Querelle (œuvre posthume). 
Théâtre en transe (1981, documentaire)</t>
  </si>
  <si>
    <r>
      <rPr>
        <sz val="10"/>
        <color rgb="FF000000"/>
        <rFont val="Arial"/>
        <family val="2"/>
      </rP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rgb="FF000000"/>
        <rFont val="Arial"/>
        <family val="2"/>
      </rPr>
      <t>Trümmerfilm</t>
    </r>
    <r>
      <rPr>
        <sz val="10"/>
        <color rgb="FF000000"/>
        <rFont val="Arial"/>
        <family val="2"/>
      </rPr>
      <t xml:space="preserve"> (film des ruines) : premier genre cinématographique de l'après-guerre, tourné dans les villes détruites. L</t>
    </r>
    <r>
      <rPr>
        <i/>
        <sz val="10"/>
        <color rgb="FF000000"/>
        <rFont val="Arial"/>
        <family val="2"/>
      </rPr>
      <t>es Meurtriers sont parmi nous</t>
    </r>
    <r>
      <rPr>
        <sz val="10"/>
        <color rgb="FF000000"/>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s'intéressent aussi à l'Allemagne et posent un regard sur les ruines : </t>
    </r>
    <r>
      <rPr>
        <i/>
        <sz val="10"/>
        <color rgb="FF000000"/>
        <rFont val="Arial"/>
        <family val="2"/>
      </rPr>
      <t xml:space="preserve">A foreign affair </t>
    </r>
    <r>
      <rPr>
        <sz val="10"/>
        <color rgb="FF000000"/>
        <rFont val="Arial"/>
        <family val="2"/>
      </rPr>
      <t xml:space="preserve">(Billy Wilder, 1946) offre un regard satirique sur le Berlin occupé, </t>
    </r>
    <r>
      <rPr>
        <i/>
        <sz val="10"/>
        <color rgb="FF000000"/>
        <rFont val="Arial"/>
        <family val="2"/>
      </rPr>
      <t>Allemagne année zéro</t>
    </r>
    <r>
      <rPr>
        <sz val="10"/>
        <color rgb="FF000000"/>
        <rFont val="Arial"/>
        <family val="2"/>
      </rPr>
      <t xml:space="preserve"> de Rossellini (1948) rend compte, dans la mouvance néoréaliste, de la ruine morale et matérielle que traverse la population allemande. 
 </t>
    </r>
  </si>
  <si>
    <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</si>
  <si>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Sous l’apparente dépolitisation du </t>
    </r>
    <r>
      <rPr>
        <i/>
        <sz val="10"/>
        <color rgb="FF000000"/>
        <rFont val="Arial"/>
        <family val="2"/>
      </rPr>
      <t xml:space="preserve">Schlager </t>
    </r>
    <r>
      <rPr>
        <sz val="10"/>
        <color rgb="FF000000"/>
        <rFont val="Arial"/>
        <family val="2"/>
      </rPr>
      <t>(chanson de variété), du</t>
    </r>
    <r>
      <rPr>
        <i/>
        <sz val="10"/>
        <color rgb="FF000000"/>
        <rFont val="Arial"/>
        <family val="2"/>
      </rPr>
      <t xml:space="preserve"> Heimatfilm </t>
    </r>
    <r>
      <rPr>
        <sz val="10"/>
        <color rgb="FF000000"/>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rgb="FF000000"/>
        <rFont val="Arial"/>
        <family val="2"/>
      </rPr>
      <t>Schlager)</t>
    </r>
    <r>
      <rPr>
        <sz val="10"/>
        <color rgb="FF000000"/>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obtiennent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rgb="FF000000"/>
        <rFont val="Arial"/>
        <family val="2"/>
      </rPr>
      <t>Grün ist die Heide</t>
    </r>
    <r>
      <rPr>
        <sz val="10"/>
        <color rgb="FF000000"/>
        <rFont val="Arial"/>
        <family val="2"/>
      </rPr>
      <t xml:space="preserve"> (Hans Deppe, 1951) exemplifie la fonction de ce genre : traiter indirectement la question des expulsés des territoires orientaux en projetant leurs pertes dans un paysage fantasmé et harmonieux. Le </t>
    </r>
    <r>
      <rPr>
        <i/>
        <sz val="10"/>
        <color rgb="FF000000"/>
        <rFont val="Arial"/>
        <family val="2"/>
      </rPr>
      <t xml:space="preserve">Heimatfilm </t>
    </r>
    <r>
      <rPr>
        <sz val="10"/>
        <color rgb="FF000000"/>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</si>
  <si>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</si>
  <si>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sz val="10"/>
        <color rgb="FF000000"/>
        <rFont val="Arial"/>
        <family val="2"/>
      </rP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rgb="FF000000"/>
        <rFont val="Arial"/>
        <family val="2"/>
      </rPr>
      <t xml:space="preserve">Heimatfilm </t>
    </r>
    <r>
      <rPr>
        <sz val="10"/>
        <color rgb="FF000000"/>
        <rFont val="Arial"/>
        <family val="2"/>
      </rPr>
      <t xml:space="preserve">et du cinéma de divertissement. Une nouvelle génération de cinéastes s'affirme et conquiert son indépendance notamment par la création de structures de production indépendantes. Alexander Kluge : </t>
    </r>
    <r>
      <rPr>
        <i/>
        <sz val="10"/>
        <color rgb="FF000000"/>
        <rFont val="Arial"/>
        <family val="2"/>
      </rPr>
      <t xml:space="preserve">Abschied von gestern </t>
    </r>
    <r>
      <rPr>
        <sz val="10"/>
        <color rgb="FF000000"/>
        <rFont val="Arial"/>
        <family val="2"/>
      </rPr>
      <t xml:space="preserve">(1966) — Lion d'argent à Venise. Considéré comme le penseur du cinéma d'auteur allemand, il fonde l'Institut de formation cinématographique à l'École d'Ulm. Volker Schlöndorff : </t>
    </r>
    <r>
      <rPr>
        <i/>
        <sz val="10"/>
        <color rgb="FF000000"/>
        <rFont val="Arial"/>
        <family val="2"/>
      </rPr>
      <t xml:space="preserve">Der junge Törless </t>
    </r>
    <r>
      <rPr>
        <sz val="10"/>
        <color rgb="FF000000"/>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</si>
  <si>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rPr>
        <i/>
        <sz val="10"/>
        <color rgb="FF000000"/>
        <rFont val="Arial"/>
        <family val="2"/>
      </rPr>
      <t>Le bouc</t>
    </r>
    <r>
      <rPr>
        <sz val="10"/>
        <color rgb="FF000000"/>
        <rFont val="Arial"/>
        <family val="2"/>
      </rPr>
      <t xml:space="preserve"> est un tournant  tant en termes de reconnaissance que du point de vue économique. Le film aborde des problématiques contemporaines (sort des travailleurs immigrés) et des thématiques chères à RWF (l'univers étriqué de la bourgeoisie, en particulier bavaroise). </t>
    </r>
  </si>
  <si>
    <r>
      <rPr>
        <sz val="10"/>
        <color rgb="FF000000"/>
        <rFont val="Arial"/>
        <family val="2"/>
      </rPr>
      <t xml:space="preserve">La représentation de l’histoire récente et du nazisme devient un enjeu central. </t>
    </r>
    <r>
      <rPr>
        <i/>
        <sz val="10"/>
        <color rgb="FF000000"/>
        <rFont val="Arial"/>
        <family val="2"/>
      </rPr>
      <t>L’Allemagne en automne,</t>
    </r>
    <r>
      <rPr>
        <sz val="10"/>
        <color rgb="FF000000"/>
        <rFont val="Arial"/>
        <family val="2"/>
      </rPr>
      <t xml:space="preserve"> </t>
    </r>
    <r>
      <rPr>
        <i/>
        <sz val="10"/>
        <color rgb="FF000000"/>
        <rFont val="Arial"/>
        <family val="2"/>
      </rPr>
      <t>Hitler, un film d’Allemagne</t>
    </r>
    <r>
      <rPr>
        <sz val="10"/>
        <color rgb="FF000000"/>
        <rFont val="Arial"/>
        <family val="2"/>
      </rPr>
      <t xml:space="preserve"> puis la diffusion de </t>
    </r>
    <r>
      <rPr>
        <i/>
        <sz val="10"/>
        <color rgb="FF000000"/>
        <rFont val="Arial"/>
        <family val="2"/>
      </rPr>
      <t>Holocaust</t>
    </r>
    <r>
      <rPr>
        <sz val="10"/>
        <color rgb="FF000000"/>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rgb="FF000000"/>
        <rFont val="Arial"/>
        <family val="2"/>
      </rPr>
      <t>L'Allemagne en automne</t>
    </r>
    <r>
      <rPr>
        <sz val="10"/>
        <color rgb="FF000000"/>
        <rFont val="Arial"/>
        <family val="2"/>
      </rPr>
      <t xml:space="preserve"> (1978). 
La diffusion de la série </t>
    </r>
    <r>
      <rPr>
        <i/>
        <sz val="10"/>
        <color rgb="FF000000"/>
        <rFont val="Arial"/>
        <family val="2"/>
      </rPr>
      <t>Holocaust</t>
    </r>
    <r>
      <rPr>
        <sz val="10"/>
        <color rgb="FF000000"/>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</si>
  <si>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rPr>
        <sz val="10"/>
        <color rgb="FF000000"/>
        <rFont val="Arial"/>
        <family val="2"/>
      </rPr>
      <t xml:space="preserve">Succès international. Les films de RWF deviennent incontournables dans les grands festivals internationaux (Cannes, Venise, Berlin). 
Fassbinder joue  Fox le rôle principal, du </t>
    </r>
    <r>
      <rPr>
        <i/>
        <sz val="10"/>
        <color rgb="FF000000"/>
        <rFont val="Arial"/>
        <family val="2"/>
      </rPr>
      <t xml:space="preserve">Droit du plus fort(1975), </t>
    </r>
    <r>
      <rPr>
        <sz val="10"/>
        <color rgb="FF000000"/>
        <rFont val="Arial"/>
        <family val="2"/>
      </rPr>
      <t xml:space="preserve">assumant une visibilité politique de son homosexualité. Il maigrit et se muscle pour le rôle, renonçant aux excès.
Suicide d'Armin Meier (31 mai 1978). Début de la collaboration avec Juliane Lorenz. 
Dans </t>
    </r>
    <r>
      <rPr>
        <i/>
        <sz val="10"/>
        <color rgb="FF000000"/>
        <rFont val="Arial"/>
        <family val="2"/>
      </rPr>
      <t xml:space="preserve">L'Allemagne en automne (1978), </t>
    </r>
    <r>
      <rPr>
        <sz val="10"/>
        <color rgb="FF000000"/>
        <rFont val="Arial"/>
        <family val="2"/>
      </rPr>
      <t>Fassbinder se filme en crise, exposant son angoisse face à l'État.</t>
    </r>
  </si>
  <si>
    <r>
      <rPr>
        <sz val="10"/>
        <color theme="1"/>
        <rFont val="Arial"/>
        <family val="2"/>
      </rPr>
      <t>Le cinéma allemand poursuit son travail sur la mémoire familiale et nationale, notamment avec Allemagne mère blafarde et le projet Heimat. La télévision devient un lieu majeur pour les récits historiques de longue durée.
Herzog —</t>
    </r>
    <r>
      <rPr>
        <i/>
        <sz val="10"/>
        <color theme="1"/>
        <rFont val="Arial"/>
        <family val="2"/>
      </rPr>
      <t xml:space="preserve"> Fitzcarraldo </t>
    </r>
    <r>
      <rPr>
        <sz val="10"/>
        <color theme="1"/>
        <rFont val="Arial"/>
        <family val="2"/>
      </rPr>
      <t>(1982) : tournage légendaire en Amazonie, métaphore de la folie des grandeurs. La documentation du tournage par Les Blank (Burden of Dreams, 1982) devient elle-même un mythe du cinéma.
Fin d'une époque artistique et politique radicale</t>
    </r>
  </si>
  <si>
    <r>
      <rPr>
        <sz val="10"/>
        <color rgb="FF000000"/>
        <rFont val="Arial"/>
        <family val="2"/>
      </rPr>
      <t xml:space="preserve">Le cinéma est en ruines. Premières projections des </t>
    </r>
    <r>
      <rPr>
        <i/>
        <sz val="10"/>
        <color rgb="FF000000"/>
        <rFont val="Arial"/>
        <family val="2"/>
      </rPr>
      <t>Moulins de la mort</t>
    </r>
    <r>
      <rPr>
        <sz val="10"/>
        <color rgb="FF000000"/>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</si>
  <si>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</si>
  <si>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Allemagne année zéro </t>
    </r>
    <r>
      <rPr>
        <sz val="10"/>
        <color rgb="FF000000"/>
        <rFont val="Arial"/>
        <family val="2"/>
      </rPr>
      <t>de Rossellini (1948) Le protagoniste Edmund tente de vendre un enregistrement d'un discours d'Hitler sur disque à des soldats alliés. La voix du Führer se met à résonner dans les ruines du Reichstag, siège du parlement incendié en 1933</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</si>
  <si>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Pawlikowski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</si>
  <si>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rPr>
        <sz val="10"/>
        <color rgb="FF000000"/>
        <rFont val="Arial"/>
        <family val="2"/>
      </rPr>
      <t xml:space="preserve">Jean Vilar présente à Berlin-Ouest </t>
    </r>
    <r>
      <rPr>
        <i/>
        <sz val="10"/>
        <color rgb="FF000000"/>
        <rFont val="Arial"/>
        <family val="2"/>
      </rPr>
      <t xml:space="preserve">Le Prince de Hombourg </t>
    </r>
    <r>
      <rPr>
        <sz val="10"/>
        <color rgb="FF000000"/>
        <rFont val="Arial"/>
        <family val="2"/>
      </rPr>
      <t xml:space="preserve">de Kleist, créé à Avignon, avec un immense succès. Le TNP accueille également </t>
    </r>
    <r>
      <rPr>
        <i/>
        <sz val="10"/>
        <color rgb="FF000000"/>
        <rFont val="Arial"/>
        <family val="2"/>
      </rPr>
      <t>Mère Courage</t>
    </r>
    <r>
      <rPr>
        <sz val="10"/>
        <color rgb="FF000000"/>
        <rFont val="Arial"/>
        <family val="2"/>
      </rPr>
      <t xml:space="preserve"> de Brecht : les échanges théâtraux participent au retour de l’Allemagne dans la vie culturelle européenne.</t>
    </r>
  </si>
  <si>
    <r>
      <rPr>
        <sz val="10"/>
        <color rgb="FF000000"/>
        <rFont val="Arial"/>
        <family val="2"/>
      </rPr>
      <t xml:space="preserve">Première émission de télévision dans le nord et l'ouest de la RFA
Dans </t>
    </r>
    <r>
      <rPr>
        <i/>
        <sz val="10"/>
        <color rgb="FF000000"/>
        <rFont val="Arial"/>
        <family val="2"/>
      </rPr>
      <t>Les Cerises de la liberté</t>
    </r>
    <r>
      <rPr>
        <sz val="10"/>
        <color rgb="FF000000"/>
        <rFont val="Arial"/>
        <family val="2"/>
      </rPr>
      <t>, Alfred Andersch raconte sa désertion de la Wehrmacht en 1944. Cette œuvre de la « littérature des ruines », mal reçue en RFA, témoigne des difficultés à élaborer publiquement l’expérience de la guerre.</t>
    </r>
  </si>
  <si>
    <r>
      <rPr>
        <sz val="10"/>
        <color rgb="FF000000"/>
        <rFont val="Arial"/>
        <family val="2"/>
      </rPr>
      <t xml:space="preserve">Dans </t>
    </r>
    <r>
      <rPr>
        <i/>
        <sz val="10"/>
        <color rgb="FF000000"/>
        <rFont val="Arial"/>
        <family val="2"/>
      </rPr>
      <t>Le Pain des jeunes années</t>
    </r>
    <r>
      <rPr>
        <sz val="10"/>
        <color rgb="FF000000"/>
        <rFont val="Arial"/>
        <family val="2"/>
      </rPr>
      <t>, Heinrich Böll décrit le bouleversement provoqué par le passage brutal des privations de l’après-guerre à l’abondance du boom économique.</t>
    </r>
  </si>
  <si>
    <r>
      <t xml:space="preserve">Décès de Bertolt Brecht.
</t>
    </r>
    <r>
      <rPr>
        <i/>
        <sz val="10"/>
        <color rgb="FF000000"/>
        <rFont val="Arial"/>
        <family val="2"/>
      </rPr>
      <t xml:space="preserve">Nuit et brouillard </t>
    </r>
    <r>
      <rPr>
        <sz val="10"/>
        <color rgb="FF000000"/>
        <rFont val="Arial"/>
        <family val="2"/>
      </rPr>
      <t xml:space="preserve">d'Alain Resnais. </t>
    </r>
  </si>
  <si>
    <r>
      <rPr>
        <i/>
        <sz val="10"/>
        <color rgb="FF000000"/>
        <rFont val="Arial"/>
        <family val="2"/>
      </rPr>
      <t>L'opéra de quat'sous</t>
    </r>
    <r>
      <rPr>
        <sz val="10"/>
        <color rgb="FF000000"/>
        <rFont val="Arial"/>
        <family val="2"/>
      </rPr>
      <t xml:space="preserve"> de Brecht (1928) est diffusé à la télévision est obtient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</si>
  <si>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</si>
  <si>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</si>
  <si>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</si>
  <si>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</si>
  <si>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t>
    </r>
    <r>
      <rPr>
        <i/>
        <sz val="10"/>
        <color rgb="FF000000"/>
        <rFont val="Arial"/>
        <family val="2"/>
      </rPr>
      <t>The New-Yorker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entraîne l'expression, plus ou moins anarchique et violente, des forces pulsionnelles négatives. celles-ci sont le fait d'une autorité sociale dont les contraintes paraissent de plus en plus absurdes et répressives puisqu'elles ne sont plus intégrées par l'identification à une figure individuelle affective. </t>
    </r>
  </si>
  <si>
    <r>
      <rPr>
        <sz val="10"/>
        <color rgb="FF000000"/>
        <rFont val="Arial"/>
        <family val="2"/>
      </rPr>
      <t xml:space="preserve">La pièce </t>
    </r>
    <r>
      <rPr>
        <i/>
        <sz val="10"/>
        <color rgb="FF000000"/>
        <rFont val="Arial"/>
        <family val="2"/>
      </rPr>
      <t>Outrage au public</t>
    </r>
    <r>
      <rPr>
        <sz val="10"/>
        <color rgb="FF000000"/>
        <rFont val="Arial"/>
        <family val="2"/>
      </rPr>
      <t xml:space="preserve"> du dramaturge allemand Peter Handke témoigne du goût de l'avant-garde  artistique subventionnée pour une forme de provocation à l'égard du public, manière paradoxale de s'affranchir de la tutelle culturelle dont ils bénéficient.
La publication du </t>
    </r>
    <r>
      <rPr>
        <i/>
        <sz val="10"/>
        <color rgb="FF000000"/>
        <rFont val="Arial"/>
        <family val="2"/>
      </rPr>
      <t>Journal de Spandau</t>
    </r>
    <r>
      <rPr>
        <sz val="10"/>
        <color rgb="FF000000"/>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</si>
  <si>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</si>
  <si>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t xml:space="preserve">La parution du </t>
    </r>
    <r>
      <rPr>
        <i/>
        <sz val="10"/>
        <color rgb="FF000000"/>
        <rFont val="Arial"/>
        <family val="2"/>
      </rPr>
      <t>Deuil impossible</t>
    </r>
    <r>
      <rPr>
        <sz val="10"/>
        <color rgb="FF000000"/>
        <rFont val="Arial"/>
        <family val="2"/>
      </rPr>
      <t xml:space="preserve"> de Alexander et Margarete Mitscherlich fait scandale. À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 du passé. L'ouvrage exerce une influence sur les artistes allemands de l'époque. 
</t>
    </r>
  </si>
  <si>
    <r>
      <rPr>
        <i/>
        <sz val="10"/>
        <color rgb="FF000000"/>
        <rFont val="Arial"/>
        <family val="2"/>
      </rPr>
      <t>Les damnés</t>
    </r>
    <r>
      <rPr>
        <sz val="10"/>
        <color rgb="FF000000"/>
        <rFont val="Arial"/>
        <family val="2"/>
      </rPr>
      <t>, mélodrame de Visconti, travaille à interroger le régime nazi et la manière dont l'imagerie nazie, qui érotise de façon spectaculaire le pouvoir, contamine moralement les esprits. L'éloignement du néoréalisme est maximal.</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</si>
  <si>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</si>
  <si>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rPr>
        <sz val="10"/>
        <color rgb="FF000000"/>
        <rFont val="Arial"/>
        <family val="2"/>
      </rP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rgb="FF000000"/>
        <rFont val="Arial"/>
        <family val="2"/>
      </rPr>
      <t>Le Concept de guérilla urbaine</t>
    </r>
    <r>
      <rPr>
        <sz val="10"/>
        <color rgb="FF000000"/>
        <rFont val="Arial"/>
        <family val="2"/>
      </rPr>
      <t>. Une vaste opération d'arrestation vise ses membres ; Petra Schelm est tuée par la police et deux policiers meurent à l’automne.</t>
    </r>
  </si>
  <si>
    <r>
      <rPr>
        <sz val="10"/>
        <color theme="1"/>
        <rFont val="Arial"/>
        <family val="2"/>
      </rPr>
      <t xml:space="preserve">"Il m'est impossible de comprendre qu'on puisse travailler avec un outil comme la caméra en ne se souciant pas du spectateur", interview avec Norbert Sparrow, in </t>
    </r>
    <r>
      <rPr>
        <i/>
        <sz val="10"/>
        <color theme="1"/>
        <rFont val="Arial"/>
        <family val="2"/>
      </rPr>
      <t>Cinéaste</t>
    </r>
    <r>
      <rPr>
        <sz val="10"/>
        <color theme="1"/>
        <rFont val="Arial"/>
        <family val="2"/>
      </rPr>
      <t>, WIII/2 automne 1977</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</si>
  <si>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</si>
  <si>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d'Hitler sous forme de comédie musicale. Sa mise en scène de l'homosexualité comme espace de résistance à l'oppression nazie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</si>
  <si>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</si>
  <si>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sz val="10"/>
        <color rgb="FF000000"/>
        <rFont val="Arial"/>
        <family val="2"/>
      </rPr>
      <t xml:space="preserve">"Mein Herr", numéro de </t>
    </r>
    <r>
      <rPr>
        <i/>
        <sz val="10"/>
        <color rgb="FF000000"/>
        <rFont val="Arial"/>
        <family val="2"/>
      </rPr>
      <t>Cabaret |</t>
    </r>
    <r>
      <rPr>
        <sz val="10"/>
        <color rgb="FF000000"/>
        <rFont val="Arial"/>
        <family val="2"/>
      </rPr>
      <t>https://www.youtube.com/watch?v=qBjiQ5oDHBc</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</si>
  <si>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</si>
  <si>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</si>
  <si>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t xml:space="preserve">Effi Briest
Martha - Téléfilm
Tous les autres s'appellent Ali
Nora Helmer - </t>
    </r>
    <r>
      <rPr>
        <sz val="10"/>
        <color rgb="FF000000"/>
        <rFont val="Arial"/>
        <family val="2"/>
      </rPr>
      <t>Téléfilm</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</si>
  <si>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</si>
  <si>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ne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</si>
  <si>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RWF interprète Fox dans </t>
    </r>
    <r>
      <rPr>
        <i/>
        <sz val="10"/>
        <color theme="1"/>
        <rFont val="Arial"/>
        <family val="2"/>
      </rPr>
      <t>Le droit du plus fort</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</si>
  <si>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</si>
  <si>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l'ouvrage </t>
    </r>
    <r>
      <rPr>
        <i/>
        <sz val="10"/>
        <color theme="1"/>
        <rFont val="Arial"/>
        <family val="2"/>
      </rPr>
      <t>Fassbinder par lui-même</t>
    </r>
    <r>
      <rPr>
        <sz val="10"/>
        <color theme="1"/>
        <rFont val="Arial"/>
        <family val="2"/>
      </rPr>
      <t>, p.342-343, G3J éditeur, 2010</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</si>
  <si>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</si>
  <si>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L'année des treize lunes</t>
    </r>
    <r>
      <rPr>
        <sz val="10"/>
        <color theme="1"/>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enthousiasme et rejet, entre lecture sentimentale et lecture politique. 
"</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éclipse </t>
    </r>
    <r>
      <rPr>
        <i/>
        <sz val="10"/>
        <color theme="1"/>
        <rFont val="Arial"/>
        <family val="2"/>
      </rPr>
      <t xml:space="preserve">Despair.
L'allemagne en automne n'est vu que par un public limité. </t>
    </r>
  </si>
  <si>
    <r>
      <rPr>
        <sz val="10"/>
        <color theme="1"/>
        <rFont val="Arial"/>
        <family val="2"/>
      </rPr>
      <t xml:space="preserve">La première génération était celle de 1968. Des idéalistes qui voulaient changer le monde et qui s'imaginaient pouvoir le faire avec des mots et des manifestes. La deuxième, celle du groupe Baader-Meinhof, passa de la légalité à la lutte armée et à l'illégalité totale. la troisième génération est celle d'aujourd'hui, qui se contente d'agir sans réfléchir,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</si>
  <si>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i/>
        <sz val="10"/>
        <color rgb="FF000000"/>
        <rFont val="Arial"/>
        <family val="2"/>
      </rPr>
      <t>Le tambour</t>
    </r>
    <r>
      <rPr>
        <sz val="10"/>
        <color rgb="FF000000"/>
        <rFont val="Arial"/>
        <family val="2"/>
      </rPr>
      <t xml:space="preserve"> de V. Schöndorff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</si>
  <si>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</si>
  <si>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</si>
  <si>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Edgar Reitz qui sera diffusé en 1984</t>
    </r>
  </si>
  <si>
    <r>
      <t xml:space="preserve">Monumental </t>
    </r>
    <r>
      <rPr>
        <i/>
        <sz val="10"/>
        <color rgb="FF000000"/>
        <rFont val="Arial"/>
        <family val="2"/>
      </rPr>
      <t>Berlin Alexanderplatz</t>
    </r>
    <r>
      <rPr>
        <sz val="10"/>
        <color rgb="FF000000"/>
        <rFont val="Arial"/>
        <family val="2"/>
      </rPr>
      <t xml:space="preserve">  - série en 14 épisodes et un épilogue </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</si>
  <si>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Schauspieler, Filmemacher, </t>
    </r>
    <r>
      <rPr>
        <sz val="10"/>
        <color theme="1"/>
        <rFont val="Arial"/>
        <family val="2"/>
      </rPr>
      <t>Argon, 1992, p.77</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</si>
  <si>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</si>
  <si>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</si>
  <si>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Josef von Sternberg (1930).</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</si>
  <si>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ferai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</si>
  <si>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</si>
  <si>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rPr>
        <sz val="10"/>
        <color theme="1"/>
        <rFont val="Arial"/>
        <family val="2"/>
      </rPr>
      <t xml:space="preserve">"Je ne pense pas qu'il ait fait un seul film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</si>
  <si>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Une frange d'extrême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 en 1933). Brandt initie l'Ostpolitik,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La réforme du paragraphe 175 accompagne l’assouplissement de la répression de l’homosexualité qui dépénalisée.
Les Gastarbeiter subissent discriminations systématiques : salaires inférieurs, emplois plus pénibles et dangereux, logement en foyers aux règles strictes. 2 millions d'étrangers en RFA (1969).</t>
  </si>
  <si>
    <t xml:space="preserve">Divorce des parents. Le père de RWF, Helmut Fassbinder, s'installe à Cologne. Ma grand-mère de RWF meurt. L'enfant s'installe à Munich avec sa mère  dans un appartement situé dans le quartier des prostituées. Les amants de Liselotte fréquentent le domicile. </t>
  </si>
  <si>
    <t>La mère de RWF l'inscrit dans une école Rudolf Steiner. Nombreux séjours de la mère à l'hôpital ou en sanatorium. RWF est confié à des voisins ou parents. Il commence à fréquenter assidûment les salles de cinéma.</t>
  </si>
  <si>
    <t xml:space="preserve">RWF se met  à écrire des pièces de théâtre. Il voit tout des films hollywoodiens qui affluent sur les écrans d'Allemagne de l'Ouest.
</t>
  </si>
  <si>
    <t>Remariage de Lilo avec un journaliste, Wolff Eder. Relations difficiles entre RWF et son beau-père. 
RWF revient à Munich mais vit dans un pensionnat.
RWF commence à assumer ouvertement son homosexualité, fait rare pour l'époque. Souvrent livré à lui-même, il fréquente des prostituées, des travailleurs immigrés et des marginaux.</t>
  </si>
  <si>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</si>
  <si>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t xml:space="preserve">RWF s'inscrit à l'école d'art dramatique Fridl Leonhard.
</t>
  </si>
  <si>
    <t xml:space="preserve">RWF rencontre Irm Hermann, une secrétaire, et Hanna Schygula qui prend des cours de théâtre dans la même école que lui
Il vit avec Christoph Roser un acteur au chômage.
 RWF est refusé au concours d'entrée du conservatoire d'art dramatique. 
Il poursuit son intense activité d'écriture (pièces, théâtres, films). </t>
  </si>
  <si>
    <t xml:space="preserve">RWF est refusé au concours d'entrée de l'Ecole supérieure de cinéma et de télévision de Berlin. 
Il rencontre Daniel Schmid, et décide d'arrêter sa formation de comédien le jour de ses 21 ans. 
Durant l'été, il tourne son premier film, un court-méatre 8mm qiui a été perdu. Christoph Roser le finance avec ses économies. RWF enchaine avec le tournage d'un second court-métrage (avec Christoph Roser  Irm Hermann, Michael Fengler et RWF), toujours financé par Roser.
</t>
  </si>
  <si>
    <t xml:space="preserve">RWF tourne son troisième court-métrage en 35 mm. Il fait la rencontre d'Ulli Lommer, un jeune acteur prometteur. 
Premiers contacts avec l'Action-Theater à Munich. Il y rencontre  ses futurs piliers : Peer Raben et Kurt Raab
RWF échoue à nouveau au cocnours d'entrée à l'école supérieure de cinéma de Berlin. 
RWF s'intègre à la troupe de l'Action-theater : il commence par jouer, puis il dirige ou co-dirige des productions. </t>
  </si>
  <si>
    <r>
      <t xml:space="preserve">RWF écrit sa première pièce, </t>
    </r>
    <r>
      <rPr>
        <i/>
        <sz val="10"/>
        <color theme="1"/>
        <rFont val="Arial"/>
        <family val="2"/>
      </rPr>
      <t>Le bouc, créée en avril par l'Action-theater.</t>
    </r>
    <r>
      <rPr>
        <sz val="10"/>
        <color theme="1"/>
        <rFont val="Arial"/>
        <family val="2"/>
      </rPr>
      <t xml:space="preserve">
mai: L'incendie volontaire de l'Action-Theater par Horst Söhnlein (membre de la troupe mais aussi futur membre de la bande à Baader) marque la fin de cette structure
RWF fonde l' antiteater (1968), un collectif fonctionnant sur un mode de vie communautaire et une création permanente. Il s'associe avec 10 anciens membres de l'action-theater. Collaboration intense avec sa "troupe" (Schygulla, Hermann, Raab, Baer, Lommel). RWF adapte, écrit et met en scène 8 pièces dont </t>
    </r>
    <r>
      <rPr>
        <i/>
        <sz val="10"/>
        <color theme="1"/>
        <rFont val="Arial"/>
        <family val="2"/>
      </rPr>
      <t>Le soldat américain.</t>
    </r>
  </si>
  <si>
    <r>
      <t xml:space="preserve">Février : Succès de L’Opéra de 4 sous à l'Antiteater
Avril : Tournage en 24 jours de son premier long métrage, </t>
    </r>
    <r>
      <rPr>
        <i/>
        <sz val="10"/>
        <color theme="1"/>
        <rFont val="Arial"/>
        <family val="2"/>
      </rPr>
      <t>L'amour est plus froid que la mort avec la troupe de l'Anti-theater</t>
    </r>
    <r>
      <rPr>
        <sz val="10"/>
        <color theme="1"/>
        <rFont val="Arial"/>
        <family val="2"/>
      </rPr>
      <t xml:space="preserve">.
RWF écrit encore deux pièces qu'il met en scène.
Octobre : première du </t>
    </r>
    <r>
      <rPr>
        <i/>
        <sz val="10"/>
        <color theme="1"/>
        <rFont val="Arial"/>
        <family val="2"/>
      </rPr>
      <t xml:space="preserve">Bouc </t>
    </r>
    <r>
      <rPr>
        <sz val="10"/>
        <color theme="1"/>
        <rFont val="Arial"/>
        <family val="2"/>
      </rPr>
      <t xml:space="preserve"> au festival de Mannheim. Le film obtient 7 prix et  une première reconnaissance critique.
RWF fait la connaissance de Harry Baer. Il met en scène </t>
    </r>
    <r>
      <rPr>
        <i/>
        <sz val="10"/>
        <color theme="1"/>
        <rFont val="Arial"/>
        <family val="2"/>
      </rPr>
      <t xml:space="preserve">Les dieux de la peste </t>
    </r>
    <r>
      <rPr>
        <sz val="10"/>
        <color theme="1"/>
        <rFont val="Arial"/>
        <family val="2"/>
      </rPr>
      <t>et</t>
    </r>
    <r>
      <rPr>
        <i/>
        <sz val="10"/>
        <color theme="1"/>
        <rFont val="Arial"/>
        <family val="2"/>
      </rPr>
      <t xml:space="preserve"> Pourquoi M. R. est-il atteint de folie meurtrière </t>
    </r>
    <r>
      <rPr>
        <sz val="10"/>
        <color theme="1"/>
        <rFont val="Arial"/>
        <family val="2"/>
      </rPr>
      <t xml:space="preserve">? La salle où joue la troupe est fermée sur décision municipale.
A Brême Kurt Hübner organiser un "festival Fassbinder". 
RWF rencontre Margarethe von Trotta du Nouvau cinéma allemand. il joue dans plusieurs films, notamment dans </t>
    </r>
    <r>
      <rPr>
        <i/>
        <sz val="10"/>
        <color theme="1"/>
        <rFont val="Arial"/>
        <family val="2"/>
      </rPr>
      <t>Baal</t>
    </r>
    <r>
      <rPr>
        <sz val="10"/>
        <color theme="1"/>
        <rFont val="Arial"/>
        <family val="2"/>
      </rPr>
      <t xml:space="preserve"> de Schlöndorff.
Liaison amoureuse avec Günther Kaufmann, un marin marié et père de famille.
</t>
    </r>
  </si>
  <si>
    <t xml:space="preserve">L'amour est plus froid que la mort
Le Bouc </t>
  </si>
  <si>
    <t>RWF, animé d'une "fureur de créer" (Katz), réalise 6 longs métrages entre la fin 1969 et la fin 1970 (certains ne sortent qu'en 1971). Il tourne également 2 téléfilms et met en ondes deux pièces radiophoniques</t>
  </si>
  <si>
    <t xml:space="preserve">Fondation du Filmverlag der Autoren , une société indépendante, par quelques cinéastes dont RWF. La société est d'abord autogérée.
</t>
  </si>
  <si>
    <r>
      <t>RWF participe à la Filmverlag der Autoren. 
Il dissout la troupe de l'Antiteater et la société de production antiteater-film. 
Il fonde la société de production Tango film-Rainer Werner Fassbinder (première production :</t>
    </r>
    <r>
      <rPr>
        <i/>
        <sz val="10"/>
        <color theme="1"/>
        <rFont val="Arial"/>
        <family val="2"/>
      </rPr>
      <t xml:space="preserve"> Le marchand de quatre saisons)
RWF écrit deux pièces, dont Les larmes amères de Petra von Kant</t>
    </r>
    <r>
      <rPr>
        <sz val="10"/>
        <color theme="1"/>
        <rFont val="Arial"/>
        <family val="2"/>
      </rPr>
      <t>, qui remporte un succès considérable.Il collabore avec Margit Carstensen, qui deviendra une des figures de son cinéma.
Peer Raben lui fait découvrir les films de Douglas Sirk. 
Début de sa relation avec El Hedi ben Salem, qui inspirera Tous les autres s'appellent Ali
La mère de RWF perd son second mari. Elle reprend en main la direction et la gestion comptable des affaires de RWF ce qui lui évite dépôt de bilan et endettement permanent.</t>
    </r>
  </si>
  <si>
    <r>
      <t>RWF publie un essai sur Douglas Sirk</t>
    </r>
    <r>
      <rPr>
        <i/>
        <sz val="10"/>
        <color theme="1"/>
        <rFont val="Arial"/>
        <family val="2"/>
      </rPr>
      <t xml:space="preserve">  intitulé "Mirage de la vie, sur les films de Douglas Sirk", </t>
    </r>
    <r>
      <rPr>
        <sz val="10"/>
        <color theme="1"/>
        <rFont val="Arial"/>
        <family val="2"/>
      </rPr>
      <t xml:space="preserve">repris dans </t>
    </r>
    <r>
      <rPr>
        <i/>
        <sz val="10"/>
        <color theme="1"/>
        <rFont val="Arial"/>
        <family val="2"/>
      </rPr>
      <t xml:space="preserve">Les films libèrent la tête
</t>
    </r>
    <r>
      <rPr>
        <sz val="10"/>
        <color theme="1"/>
        <rFont val="Arial"/>
        <family val="2"/>
      </rPr>
      <t xml:space="preserve">Il tourne deux films avec Margit Carstensen. Il prépare </t>
    </r>
    <r>
      <rPr>
        <i/>
        <sz val="10"/>
        <color theme="1"/>
        <rFont val="Arial"/>
        <family val="2"/>
      </rPr>
      <t>Effi Briest</t>
    </r>
    <r>
      <rPr>
        <sz val="10"/>
        <color theme="1"/>
        <rFont val="Arial"/>
        <family val="2"/>
      </rPr>
      <t xml:space="preserve"> avec Hanna Schygulla et finalise sa première série</t>
    </r>
    <r>
      <rPr>
        <i/>
        <sz val="10"/>
        <color theme="1"/>
        <rFont val="Arial"/>
        <family val="2"/>
      </rPr>
      <t xml:space="preserve"> Huit heures ne font pas un jour. 
</t>
    </r>
    <r>
      <rPr>
        <sz val="10"/>
        <color theme="1"/>
        <rFont val="Arial"/>
        <family val="2"/>
      </rPr>
      <t xml:space="preserve">Il poursuit son activité théâtrale à Brême, écrit et réalise un nouvelle pièce radiophonique.
Divorce avec Ingrid Caven qui s'installe à Paris. </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</si>
  <si>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
Le groupe terrotriste palestinien "Septembre noir" attaque l'équipe d'Israël aux Jeux Olympiques de Munich.</t>
  </si>
  <si>
    <r>
      <t xml:space="preserve">Accords Film-Télévision (1974) favorisant les coproductions (WDR).
</t>
    </r>
    <r>
      <rPr>
        <i/>
        <sz val="10"/>
        <color theme="1"/>
        <rFont val="Arial"/>
        <family val="2"/>
      </rPr>
      <t>Alice dans les villes</t>
    </r>
    <r>
      <rPr>
        <sz val="10"/>
        <color theme="1"/>
        <rFont val="Arial"/>
        <family val="2"/>
      </rPr>
      <t xml:space="preserve"> de Wim Wenders.</t>
    </r>
  </si>
  <si>
    <r>
      <t xml:space="preserve">RWF tourne encore avec Margit Carstensen, dont </t>
    </r>
    <r>
      <rPr>
        <i/>
        <sz val="10"/>
        <color theme="1"/>
        <rFont val="Arial"/>
        <family val="2"/>
      </rPr>
      <t>Martha.</t>
    </r>
    <r>
      <rPr>
        <sz val="10"/>
        <color theme="1"/>
        <rFont val="Arial"/>
        <family val="2"/>
      </rPr>
      <t xml:space="preserve">
Séparation d'El Hedi Ben Salem</t>
    </r>
  </si>
  <si>
    <t>Premier grand succès international</t>
  </si>
  <si>
    <r>
      <t xml:space="preserve">Effi Briest permet à RWF d'obtenir une reconnaissance plus large en Allemagne, qui tempère sa réputation d'enfant terrible du cinéma
</t>
    </r>
    <r>
      <rPr>
        <i/>
        <sz val="10"/>
        <color theme="1"/>
        <rFont val="Arial"/>
        <family val="2"/>
      </rPr>
      <t xml:space="preserve">Tous les autres s'appellent Ali, </t>
    </r>
    <r>
      <rPr>
        <sz val="10"/>
        <color theme="1"/>
        <rFont val="Arial"/>
        <family val="2"/>
      </rPr>
      <t>Premier grand succès international
Première rétrospective Fassbinder à la cinémathèque française</t>
    </r>
  </si>
  <si>
    <r>
      <t>RWF est nommé directeur du TAT (Theater am Sturm) de Francfort. Il ne tarde pas à entrer en conflit avec les membres de la troupe qui ne font pas partie de son cercle proche. 
Il réalise une émission de télévision en hommage à Brigitte Mira. 
Il met en scène une pièce de Peter Handke (</t>
    </r>
    <r>
      <rPr>
        <i/>
        <sz val="10"/>
        <color theme="1"/>
        <rFont val="Arial"/>
        <family val="2"/>
      </rPr>
      <t>Les gens déraisonnables sont en voie de disparition). 
Rencontre et installation avec Armin Meier.</t>
    </r>
  </si>
  <si>
    <r>
      <t xml:space="preserve">RWF démissionne de la TAT avant l'expiration de son contrat. Il écrit </t>
    </r>
    <r>
      <rPr>
        <i/>
        <sz val="10"/>
        <color rgb="FF000000"/>
        <rFont val="Arial"/>
        <family val="2"/>
      </rPr>
      <t>la pièce Les ordures, la ville et la mort.</t>
    </r>
  </si>
  <si>
    <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t>
    </r>
  </si>
  <si>
    <t xml:space="preserve">Suite au scandale déclenché par Les ordures, la ville et la mort, RWF subira le soupçon d'antisémitisme dans tous ses autres projets associés à cette question. Pour apprécier la position de RWF, lire "les philosémites sont des antisémites" dans L'anarchie de l'imagination, et "prise de position à propos de L'ordure, la ville et la mort dans Les films libèrent la tête. La pièce Les ordures, la ville et la mort est toujours un texte polémique, rarement monté. En 1985, le projet de le mettre sur scène à Francfort déclencha de vifs débats, le projet, d'abord retiré, fut monté à huis-clos devant un public restreint de journalistes dans un autre théâtre de Francfort dans un contexte politique d'affirmation de l'unité refondée du peuple allemand mais de sensibilités mémorielles toujours vives. </t>
  </si>
  <si>
    <r>
      <t xml:space="preserve">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 RWF est accusé d'antisémitisme, notamment par Joachim C. Fest dont le livre Hitler une carrière 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La terre est inhabitable comme la lune, qui s'inspirait en partie des personnages de la pièce, perd ses financements. RWF joue dans  L'ombre des anges, l'adaptation de sa propre pièce, Les ordures la ville et la mort, mise en scène au cinéma par D. Schmid, et en partie financée par Fassbinder et produit par la société Albatros films de Fengler. C'est tout l'entourage de Fassbinder qui se joint au film, notamment Ingrid Caven. Le film est interdit en Allemagne.
RWF achève le tournage du </t>
    </r>
    <r>
      <rPr>
        <i/>
        <sz val="10"/>
        <color theme="1"/>
        <rFont val="Arial"/>
        <family val="2"/>
      </rPr>
      <t>Rôti de satan</t>
    </r>
    <r>
      <rPr>
        <sz val="10"/>
        <color theme="1"/>
        <rFont val="Arial"/>
        <family val="2"/>
      </rPr>
      <t xml:space="preserve"> et de </t>
    </r>
    <r>
      <rPr>
        <i/>
        <sz val="10"/>
        <color theme="1"/>
        <rFont val="Arial"/>
        <family val="2"/>
      </rPr>
      <t>La femme du chef de gare</t>
    </r>
    <r>
      <rPr>
        <sz val="10"/>
        <color theme="1"/>
        <rFont val="Arial"/>
        <family val="2"/>
      </rPr>
      <t xml:space="preserve">. Kurt Raab joue dans les deux films, sorte de cadeau d'adieur de RWF avant que ce dernier ne rompe définitivement avec lui.
RWF devient actionnaire du Filmverlag der Autoren (6,5% des parts) pour renflouer la société.
</t>
    </r>
  </si>
  <si>
    <r>
      <rPr>
        <sz val="10"/>
        <color rgb="FF000000"/>
        <rFont val="Arial"/>
        <family val="2"/>
      </rPr>
      <t xml:space="preserve">L’expression « Automne allemand » désigne bientôt autant la séquence terroriste que le climat de peur, de contrôle et de crise démocratique qu’elle produit. Cinéastes, écrivains et artistes s’interrogent sur la violence politique, la mémoire du nazisme et les réponses de l’État.
Le mouvement du Nouveau cinéma allemand atteint son apogée thématique et politique.
</t>
    </r>
    <r>
      <rPr>
        <i/>
        <sz val="10"/>
        <color rgb="FF000000"/>
        <rFont val="Arial"/>
        <family val="2"/>
      </rPr>
      <t>Hitler, un film d'Allemagne</t>
    </r>
    <r>
      <rPr>
        <sz val="10"/>
        <color rgb="FF000000"/>
        <rFont val="Arial"/>
        <family val="2"/>
      </rPr>
      <t xml:space="preserve"> de Syberberg interroge le nazisme à travers son usage des médias (radio et cinéma) et sa mise en spectacle du politique.  Le film révèle comment le show business moderne présente une dimension fasciste.
</t>
    </r>
    <r>
      <rPr>
        <i/>
        <sz val="10"/>
        <color rgb="FF000000"/>
        <rFont val="Arial"/>
        <family val="2"/>
      </rPr>
      <t>L'ami américain</t>
    </r>
    <r>
      <rPr>
        <sz val="10"/>
        <color rgb="FF000000"/>
        <rFont val="Arial"/>
        <family val="2"/>
      </rPr>
      <t xml:space="preserve"> de Wim Wenders
</t>
    </r>
  </si>
  <si>
    <r>
      <t>Mai 1978 : RWF quitte Armin Meier pendant un voyage à New York. Meier rentre seul à Munich tandis que RWF se rend à Cannes. Le 31 mai 1978, jour d'anniversaire de RWF, Armin Meier se suicide dans leur appartement. Le corps n'est découvert qu'une semaine plus tard. Scandale. RWF se jette dans le travail. L'année des treize lunes, qui sort trois mois plus tard est dédié à Armin (et à tous les autres). 
Il s'installe chez Juliane Lorenz.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peut-être la fin de la collaboration entre Ballhaus et RWF.
RWF travaille toujours activement à l'écriture de Berlin Alexanderplatz, dont il dicte des passages dans </t>
    </r>
    <r>
      <rPr>
        <i/>
        <sz val="10"/>
        <color rgb="FF000000"/>
        <rFont val="Arial"/>
        <family val="2"/>
      </rPr>
      <t xml:space="preserve">L'année des treize lunes. </t>
    </r>
  </si>
  <si>
    <r>
      <t xml:space="preserve">RWF quitte la société du Filmverlag der Autoren et vend ses parts.
Il monte sa deuxième coproduction internationale, </t>
    </r>
    <r>
      <rPr>
        <i/>
        <sz val="10"/>
        <color rgb="FF000000"/>
        <rFont val="Arial"/>
        <family val="2"/>
      </rPr>
      <t xml:space="preserve">Despair. Début de la collaboration avec Juliane Lorenz, sa monteuse. 
Dicte en trois mois le scénario  de son proje </t>
    </r>
    <r>
      <rPr>
        <sz val="10"/>
        <color rgb="FF000000"/>
        <rFont val="Arial"/>
        <family val="2"/>
      </rPr>
      <t xml:space="preserve">Berlin Alexanderplatz.
Il s'engage à tourner un épisode de </t>
    </r>
    <r>
      <rPr>
        <i/>
        <sz val="10"/>
        <color rgb="FF000000"/>
        <rFont val="Arial"/>
        <family val="2"/>
      </rPr>
      <t xml:space="preserve">L'Allemagne en Automne, un film collectif qui revient sur </t>
    </r>
    <r>
      <rPr>
        <sz val="10"/>
        <color rgb="FF000000"/>
        <rFont val="Arial"/>
        <family val="2"/>
      </rPr>
      <t xml:space="preserve">L'automne allemand. Le projet a été initié par Kluge.
Il propose à Douglas Sirk qui vit désormais en Suisse de tourner un film avec lui. Ils collaborent sur </t>
    </r>
    <r>
      <rPr>
        <i/>
        <sz val="10"/>
        <color rgb="FF000000"/>
        <rFont val="Arial"/>
        <family val="2"/>
      </rPr>
      <t>Bourbon street blues dans lequel RWF joue le rôle d'un écrivain alcoolique.</t>
    </r>
  </si>
  <si>
    <r>
      <t xml:space="preserve">Tournage de </t>
    </r>
    <r>
      <rPr>
        <i/>
        <sz val="10"/>
        <color rgb="FF000000"/>
        <rFont val="Arial"/>
        <family val="2"/>
      </rPr>
      <t xml:space="preserve">La troisième génération à Berlin. RWF le finance sur fonds propres, toute subvention lui ayant été refusée. </t>
    </r>
    <r>
      <rPr>
        <sz val="10"/>
        <color rgb="FF000000"/>
        <rFont val="Arial"/>
        <family val="2"/>
      </rPr>
      <t xml:space="preserve">
Travaille frénétiquement. Réalise son projet de vie : l'adaptation de Döblin. </t>
    </r>
  </si>
  <si>
    <r>
      <t xml:space="preserve">Avril : RWf achève le tournage de </t>
    </r>
    <r>
      <rPr>
        <i/>
        <sz val="10"/>
        <color theme="1"/>
        <rFont val="Arial"/>
        <family val="2"/>
      </rPr>
      <t>Berlin Alexanderplatz.</t>
    </r>
    <r>
      <rPr>
        <sz val="10"/>
        <color theme="1"/>
        <rFont val="Arial"/>
        <family val="2"/>
      </rPr>
      <t xml:space="preserve">
Tourne </t>
    </r>
    <r>
      <rPr>
        <i/>
        <sz val="10"/>
        <color theme="1"/>
        <rFont val="Arial"/>
        <family val="2"/>
      </rPr>
      <t>Lili Marleen pour Luggi Waldleitner, un producteur plutôt liés aux films commerciaux.</t>
    </r>
  </si>
  <si>
    <r>
      <t xml:space="preserve">février : RWF joue le rôle titre dans </t>
    </r>
    <r>
      <rPr>
        <i/>
        <sz val="10"/>
        <color theme="1"/>
        <rFont val="Arial"/>
        <family val="2"/>
      </rPr>
      <t>Kamikaze</t>
    </r>
    <r>
      <rPr>
        <sz val="10"/>
        <color theme="1"/>
        <rFont val="Arial"/>
        <family val="2"/>
      </rPr>
      <t xml:space="preserve"> de Wolf Gremm.
Il écrit une adapation du roman </t>
    </r>
    <r>
      <rPr>
        <i/>
        <sz val="10"/>
        <color theme="1"/>
        <rFont val="Arial"/>
        <family val="2"/>
      </rPr>
      <t xml:space="preserve">Cocaïne de Pitigrilli et </t>
    </r>
    <r>
      <rPr>
        <sz val="10"/>
        <color theme="1"/>
        <rFont val="Arial"/>
        <family val="2"/>
      </rPr>
      <t>réalise trois films, dont un documentaire sur le festival de théâtre de Cologne.</t>
    </r>
  </si>
  <si>
    <r>
      <rPr>
        <i/>
        <sz val="10"/>
        <color theme="1"/>
        <rFont val="Arial"/>
        <family val="2"/>
      </rPr>
      <t>Le secret de Veronika</t>
    </r>
    <r>
      <rPr>
        <sz val="10"/>
        <color theme="1"/>
        <rFont val="Arial"/>
        <family val="2"/>
      </rPr>
      <t xml:space="preserve"> Voss remporte l'Ours d'or à Berlin. 
Mars : RWF tourne </t>
    </r>
    <r>
      <rPr>
        <i/>
        <sz val="10"/>
        <color theme="1"/>
        <rFont val="Arial"/>
        <family val="2"/>
      </rPr>
      <t>Querelle</t>
    </r>
    <r>
      <rPr>
        <sz val="10"/>
        <color theme="1"/>
        <rFont val="Arial"/>
        <family val="2"/>
      </rPr>
      <t xml:space="preserve">.
Mai ; RWF participe au festival de Cannes. Il apparaît dans </t>
    </r>
    <r>
      <rPr>
        <i/>
        <sz val="10"/>
        <color theme="1"/>
        <rFont val="Arial"/>
        <family val="2"/>
      </rPr>
      <t>666</t>
    </r>
    <r>
      <rPr>
        <sz val="10"/>
        <color theme="1"/>
        <rFont val="Arial"/>
        <family val="2"/>
      </rPr>
      <t xml:space="preserve"> de Wenders. 
Décès de Fassbinder le 10 juin à Munich, à l'âge de 37 ans (épuisement et overdose).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</si>
</sst>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1">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4" fillId="2" borderId="0" xfId="2" applyFont="1" applyFill="1" applyAlignment="1">
      <alignmen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15" fillId="0" borderId="0" xfId="0" applyFont="1" applyAlignment="1">
      <alignment vertical="top" wrapText="1"/>
    </xf>
    <xf numFmtId="0" fontId="7" fillId="2" borderId="0" xfId="2" applyFont="1" applyFill="1" applyAlignment="1">
      <alignment wrapText="1"/>
    </xf>
    <xf numFmtId="0" fontId="14" fillId="2" borderId="0" xfId="2" applyFont="1" applyFill="1" applyAlignment="1">
      <alignment wrapText="1"/>
    </xf>
  </cellXfs>
  <cellStyles count="3">
    <cellStyle name="Lien hypertexte" xfId="1" xr:uid="{00000000-0005-0000-0000-000000000000}"/>
    <cellStyle name="Normal" xfId="0" builtinId="0"/>
    <cellStyle name="Normal 2" xfId="2" xr:uid="{00000000-0005-0000-0000-000002000000}"/>
  </cellStyles>
  <dxfs count="38">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
      <font>
        <strike val="0"/>
        <outline val="0"/>
        <shadow val="0"/>
        <u val="none"/>
        <vertAlign val="baseline"/>
        <sz val="10"/>
        <name val="Arial"/>
        <family val="2"/>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37" dataDxfId="36">
  <autoFilter ref="A1:N7" xr:uid="{00000000-0009-0000-0100-000003000000}"/>
  <tableColumns count="14">
    <tableColumn id="1" xr3:uid="{00000000-0010-0000-0000-000001000000}" name="ID période" dataDxfId="35"/>
    <tableColumn id="2" xr3:uid="{00000000-0010-0000-0000-000002000000}" name="Titre période" dataDxfId="34"/>
    <tableColumn id="3" xr3:uid="{00000000-0010-0000-0000-000003000000}" name="question directrice" dataDxfId="33"/>
    <tableColumn id="4" xr3:uid="{00000000-0010-0000-0000-000004000000}" name="Événement histoire et politique" dataDxfId="32"/>
    <tableColumn id="5" xr3:uid="{00000000-0010-0000-0000-000005000000}" name="Contexte culturel" dataDxfId="31"/>
    <tableColumn id="6" xr3:uid="{00000000-0010-0000-0000-000006000000}" name="Biographie de Fassbinder" dataDxfId="30"/>
    <tableColumn id="7" xr3:uid="{00000000-0010-0000-0000-000007000000}" name="Œuvres" dataDxfId="29"/>
    <tableColumn id="8" xr3:uid="{00000000-0010-0000-0000-000008000000}" name="ID films - Œuvres" dataDxfId="28"/>
    <tableColumn id="9" xr3:uid="{00000000-0010-0000-0000-000009000000}" name="Analyse et réception critique" dataDxfId="27"/>
    <tableColumn id="10" xr3:uid="{00000000-0010-0000-0000-00000A000000}" name="Liens" dataDxfId="26"/>
    <tableColumn id="11" xr3:uid="{00000000-0010-0000-0000-00000B000000}" name="Citation" dataDxfId="25"/>
    <tableColumn id="12" xr3:uid="{00000000-0010-0000-0000-00000C000000}" name="Image" dataDxfId="24"/>
    <tableColumn id="13" xr3:uid="{00000000-0010-0000-0000-00000D000000}" name="Légende" dataDxfId="23"/>
    <tableColumn id="14" xr3:uid="{00000000-0010-0000-0000-00000E000000}" name="Notion" dataDxfId="22"/>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8" totalsRowShown="0" headerRowDxfId="21" dataDxfId="20">
  <autoFilter ref="A1:T38" xr:uid="{00000000-0009-0000-0100-000002000000}"/>
  <tableColumns count="20">
    <tableColumn id="1" xr3:uid="{00000000-0010-0000-0100-000001000000}" name="Année" dataDxfId="19"/>
    <tableColumn id="2" xr3:uid="{00000000-0010-0000-0100-000002000000}" name="ID période" dataDxfId="18"/>
    <tableColumn id="3" xr3:uid="{00000000-0010-0000-0100-000003000000}" name="Événement histoire et politique" dataDxfId="17"/>
    <tableColumn id="4" xr3:uid="{00000000-0010-0000-0100-000004000000}" name="Contexte culturel" dataDxfId="16"/>
    <tableColumn id="5" xr3:uid="{00000000-0010-0000-0100-000005000000}" name="Biographie de Fassbinder" dataDxfId="15"/>
    <tableColumn id="6" xr3:uid="{00000000-0010-0000-0100-000006000000}" name="Œuvres" dataDxfId="14"/>
    <tableColumn id="7" xr3:uid="{00000000-0010-0000-0100-000007000000}" name="Analyse et Réception critique" dataDxfId="13"/>
    <tableColumn id="8" xr3:uid="{00000000-0010-0000-0100-000008000000}" name="Liens" dataDxfId="12"/>
    <tableColumn id="9" xr3:uid="{00000000-0010-0000-0100-000009000000}" name="Extraits" dataDxfId="11"/>
    <tableColumn id="10" xr3:uid="{00000000-0010-0000-0100-00000A000000}" name="Description de l'extrait" dataDxfId="10"/>
    <tableColumn id="11" xr3:uid="{00000000-0010-0000-0100-00000B000000}" name="Consigne d'analyse" dataDxfId="9"/>
    <tableColumn id="12" xr3:uid="{00000000-0010-0000-0100-00000C000000}" name="Citation" dataDxfId="8"/>
    <tableColumn id="13" xr3:uid="{00000000-0010-0000-0100-00000D000000}" name="Image 1" dataDxfId="7"/>
    <tableColumn id="14" xr3:uid="{00000000-0010-0000-0100-00000E000000}" name="Légende 1" dataDxfId="6"/>
    <tableColumn id="15" xr3:uid="{00000000-0010-0000-0100-00000F000000}" name="Image 2" dataDxfId="5"/>
    <tableColumn id="16" xr3:uid="{00000000-0010-0000-0100-000010000000}" name="Légende 2" dataDxfId="4"/>
    <tableColumn id="17" xr3:uid="{00000000-0010-0000-0100-000011000000}" name="Image 3" dataDxfId="3"/>
    <tableColumn id="18" xr3:uid="{00000000-0010-0000-0100-000012000000}" name="Légende 3" dataDxfId="2"/>
    <tableColumn id="19" xr3:uid="{00000000-0010-0000-0100-000013000000}" name="Notion" dataDxfId="1"/>
    <tableColumn id="20" xr3:uid="{00000000-0010-0000-0100-000014000000}" name="Source" dataDxfId="0"/>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opLeftCell="A4" workbookViewId="0">
      <selection activeCell="D5" sqref="D5"/>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49.75" customHeight="1" x14ac:dyDescent="0.15">
      <c r="A1" s="4" t="s">
        <v>0</v>
      </c>
      <c r="B1" s="4" t="s">
        <v>1</v>
      </c>
      <c r="C1" s="4" t="s">
        <v>2</v>
      </c>
      <c r="D1" s="4" t="s">
        <v>3</v>
      </c>
      <c r="E1" s="4" t="s">
        <v>4</v>
      </c>
      <c r="F1" s="4" t="s">
        <v>5</v>
      </c>
      <c r="G1" s="4" t="s">
        <v>6</v>
      </c>
      <c r="H1" s="4" t="s">
        <v>7</v>
      </c>
      <c r="I1" s="4" t="s">
        <v>8</v>
      </c>
      <c r="J1" s="4" t="s">
        <v>9</v>
      </c>
      <c r="K1" s="4" t="s">
        <v>10</v>
      </c>
      <c r="L1" s="4" t="s">
        <v>11</v>
      </c>
      <c r="M1" s="4" t="s">
        <v>12</v>
      </c>
      <c r="N1" s="4" t="s">
        <v>13</v>
      </c>
    </row>
    <row r="2" spans="1:14" ht="409.6" x14ac:dyDescent="0.15">
      <c r="A2" s="1" t="s">
        <v>14</v>
      </c>
      <c r="B2" s="1" t="s">
        <v>15</v>
      </c>
      <c r="C2" s="1" t="s">
        <v>16</v>
      </c>
      <c r="D2" s="1" t="s">
        <v>17</v>
      </c>
      <c r="E2" s="1" t="s">
        <v>276</v>
      </c>
      <c r="F2" s="1" t="s">
        <v>18</v>
      </c>
      <c r="G2" s="23"/>
      <c r="H2" s="30"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4" t="s">
        <v>277</v>
      </c>
      <c r="J2" s="13" t="s">
        <v>19</v>
      </c>
      <c r="K2" s="12" t="s">
        <v>20</v>
      </c>
      <c r="L2" s="25" t="s">
        <v>21</v>
      </c>
      <c r="M2" s="12" t="s">
        <v>22</v>
      </c>
      <c r="N2" s="23"/>
    </row>
    <row r="3" spans="1:14" s="9" customFormat="1" ht="409.5" customHeight="1" x14ac:dyDescent="0.15">
      <c r="A3" s="1" t="s">
        <v>23</v>
      </c>
      <c r="B3" s="11" t="s">
        <v>24</v>
      </c>
      <c r="C3" s="1" t="s">
        <v>25</v>
      </c>
      <c r="D3" s="1" t="s">
        <v>26</v>
      </c>
      <c r="E3" s="1" t="s">
        <v>278</v>
      </c>
      <c r="F3" s="1" t="s">
        <v>27</v>
      </c>
      <c r="G3" s="1"/>
      <c r="H3" s="20"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279</v>
      </c>
      <c r="J3" s="13" t="s">
        <v>28</v>
      </c>
      <c r="K3" s="25"/>
      <c r="L3" s="12" t="s">
        <v>29</v>
      </c>
      <c r="M3" s="12" t="s">
        <v>30</v>
      </c>
      <c r="N3" s="25"/>
    </row>
    <row r="4" spans="1:14" ht="409.5" customHeight="1" x14ac:dyDescent="0.15">
      <c r="A4" s="1" t="s">
        <v>31</v>
      </c>
      <c r="B4" s="1" t="s">
        <v>32</v>
      </c>
      <c r="C4" s="1" t="s">
        <v>33</v>
      </c>
      <c r="D4" s="1" t="s">
        <v>34</v>
      </c>
      <c r="E4" s="1" t="s">
        <v>280</v>
      </c>
      <c r="F4" s="1" t="s">
        <v>35</v>
      </c>
      <c r="G4" s="1"/>
      <c r="H4" s="20"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3"/>
      <c r="J4" s="13" t="s">
        <v>36</v>
      </c>
      <c r="K4" s="1" t="s">
        <v>37</v>
      </c>
      <c r="L4" s="23"/>
      <c r="M4" s="23"/>
      <c r="N4" s="23"/>
    </row>
    <row r="5" spans="1:14" ht="409.5" customHeight="1" x14ac:dyDescent="0.15">
      <c r="A5" s="1" t="s">
        <v>38</v>
      </c>
      <c r="B5" s="1" t="s">
        <v>39</v>
      </c>
      <c r="C5" s="1" t="s">
        <v>40</v>
      </c>
      <c r="D5" s="1" t="s">
        <v>333</v>
      </c>
      <c r="E5" s="1" t="s">
        <v>41</v>
      </c>
      <c r="F5" s="1" t="s">
        <v>42</v>
      </c>
      <c r="G5" s="1" t="s">
        <v>273</v>
      </c>
      <c r="H5" s="20"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film-1970-les-dieux-de-la-peste; film-1970-le-soldat-americain; film-1970-le-voyage-a-niklashausen; film-1971-whity; film-1971-prenez-garde-a-la-sainte-putain; film-1971-pionniers-a-ingolstadt; film-1972-le-marchand-des-quatre-saisons; film-1972-les-larmes-ameres-de-petra-von-kant; film-1972-liberte-a-breme; film-1972-huit-heures-ne-font-pas-un-jour; film-1973-gibier-de-passage; film-1973-le-monde-sur-un-fil</v>
      </c>
      <c r="I5" s="16" t="s">
        <v>281</v>
      </c>
      <c r="J5" s="12" t="s">
        <v>43</v>
      </c>
      <c r="K5" s="26"/>
      <c r="L5" s="23"/>
      <c r="M5" s="23"/>
      <c r="N5" s="23"/>
    </row>
    <row r="6" spans="1:14" ht="409.5" customHeight="1" x14ac:dyDescent="0.15">
      <c r="A6" s="1" t="s">
        <v>44</v>
      </c>
      <c r="B6" s="1" t="s">
        <v>45</v>
      </c>
      <c r="C6" s="1" t="s">
        <v>46</v>
      </c>
      <c r="D6" s="1" t="s">
        <v>47</v>
      </c>
      <c r="E6" s="1" t="s">
        <v>282</v>
      </c>
      <c r="F6" s="1" t="s">
        <v>283</v>
      </c>
      <c r="G6" s="1" t="s">
        <v>274</v>
      </c>
      <c r="H6" s="20"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film-1974-effi-briest; film-1974-nora-helmer; film-1974-martha; film-1975-le-droit-du-plus-fort; film-1975-maman-kusters-s-en-va-au-ciel; film-1975-comme-un-oiseau-sur-le-fil; film-1975-peur-de-la-peur; film-1976-le-roti-de-satan; film-1976-roulette-chinoise; film-1976-je-veux-seulement-que-vous-m-aimiez; film-1977-femmes-a-new-york; film-1977-la-femme-du-chef-de-gare; film-1978-l-allemagne-en-automne; film-1978-despair; film-1978-l-annee-des-treize-lunes; film-1978-le-mariage-de-maria-braun; film-1979-la-troisieme-generation</v>
      </c>
      <c r="I6" s="1" t="s">
        <v>48</v>
      </c>
      <c r="J6" s="12" t="s">
        <v>49</v>
      </c>
      <c r="K6" s="27" t="s">
        <v>50</v>
      </c>
      <c r="L6" s="23"/>
      <c r="M6" s="23"/>
      <c r="N6" s="23"/>
    </row>
    <row r="7" spans="1:14" ht="409.5" customHeight="1" x14ac:dyDescent="0.15">
      <c r="A7" s="1" t="s">
        <v>51</v>
      </c>
      <c r="B7" s="1" t="s">
        <v>52</v>
      </c>
      <c r="C7" s="12" t="s">
        <v>53</v>
      </c>
      <c r="D7" s="1" t="s">
        <v>54</v>
      </c>
      <c r="E7" s="12" t="s">
        <v>284</v>
      </c>
      <c r="F7" s="1" t="s">
        <v>55</v>
      </c>
      <c r="G7" s="1" t="s">
        <v>275</v>
      </c>
      <c r="H7" s="20"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film-1981-theatre-en-transe; film-1981-lola-une-femme-allemande; film-1981-le-secret-de-veronika-voss; film-1982-querelle</v>
      </c>
      <c r="I7" s="23"/>
      <c r="J7" s="12" t="s">
        <v>56</v>
      </c>
      <c r="K7" s="23"/>
      <c r="L7" s="23"/>
      <c r="M7" s="23"/>
      <c r="N7" s="23"/>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8"/>
  <sheetViews>
    <sheetView tabSelected="1" topLeftCell="A36" workbookViewId="0">
      <selection activeCell="D37" sqref="D37"/>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49.75" customHeight="1" x14ac:dyDescent="0.15">
      <c r="A1" s="4" t="s">
        <v>57</v>
      </c>
      <c r="B1" s="4" t="s">
        <v>0</v>
      </c>
      <c r="C1" s="4" t="s">
        <v>3</v>
      </c>
      <c r="D1" s="4" t="s">
        <v>4</v>
      </c>
      <c r="E1" s="4" t="s">
        <v>5</v>
      </c>
      <c r="F1" s="4" t="s">
        <v>6</v>
      </c>
      <c r="G1" s="4" t="s">
        <v>58</v>
      </c>
      <c r="H1" s="4" t="s">
        <v>9</v>
      </c>
      <c r="I1" s="4" t="s">
        <v>59</v>
      </c>
      <c r="J1" s="4" t="s">
        <v>60</v>
      </c>
      <c r="K1" s="4" t="s">
        <v>61</v>
      </c>
      <c r="L1" s="4" t="s">
        <v>10</v>
      </c>
      <c r="M1" s="4" t="s">
        <v>62</v>
      </c>
      <c r="N1" s="4" t="s">
        <v>63</v>
      </c>
      <c r="O1" s="4" t="s">
        <v>64</v>
      </c>
      <c r="P1" s="4" t="s">
        <v>65</v>
      </c>
      <c r="Q1" s="4" t="s">
        <v>66</v>
      </c>
      <c r="R1" s="4" t="s">
        <v>67</v>
      </c>
      <c r="S1" s="4" t="s">
        <v>13</v>
      </c>
      <c r="T1" s="4" t="s">
        <v>68</v>
      </c>
      <c r="U1" s="19" t="s">
        <v>69</v>
      </c>
    </row>
    <row r="2" spans="1:21" ht="409.5" customHeight="1" x14ac:dyDescent="0.2">
      <c r="A2" s="1">
        <v>1945</v>
      </c>
      <c r="B2" s="1" t="s">
        <v>14</v>
      </c>
      <c r="C2" s="1" t="s">
        <v>70</v>
      </c>
      <c r="D2" s="1" t="s">
        <v>285</v>
      </c>
      <c r="E2" s="1" t="s">
        <v>71</v>
      </c>
      <c r="F2" s="1"/>
      <c r="G2" s="1"/>
      <c r="H2" s="13" t="s">
        <v>72</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14</v>
      </c>
      <c r="C3" s="1" t="s">
        <v>73</v>
      </c>
      <c r="D3" s="1" t="s">
        <v>74</v>
      </c>
      <c r="E3" s="1" t="s">
        <v>75</v>
      </c>
      <c r="F3" s="12"/>
      <c r="G3" s="1"/>
      <c r="H3" s="13" t="s">
        <v>76</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384" customHeight="1" x14ac:dyDescent="0.2">
      <c r="A4" s="1">
        <v>1947</v>
      </c>
      <c r="B4" s="1" t="s">
        <v>14</v>
      </c>
      <c r="C4" s="1" t="s">
        <v>77</v>
      </c>
      <c r="D4" s="1" t="s">
        <v>78</v>
      </c>
      <c r="E4" s="1"/>
      <c r="F4" s="12"/>
      <c r="G4" s="1"/>
      <c r="H4" s="13"/>
      <c r="I4" s="12"/>
      <c r="J4" s="12"/>
      <c r="K4" s="12"/>
      <c r="L4" s="1"/>
      <c r="M4" s="12"/>
      <c r="N4" s="12"/>
      <c r="O4" s="12"/>
      <c r="P4" s="12"/>
      <c r="Q4" s="12"/>
      <c r="R4" s="12"/>
      <c r="S4" s="12"/>
      <c r="T4" s="1" t="s">
        <v>79</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14</v>
      </c>
      <c r="C5" s="1" t="s">
        <v>80</v>
      </c>
      <c r="D5" s="14" t="s">
        <v>286</v>
      </c>
      <c r="E5" s="1"/>
      <c r="F5" s="12"/>
      <c r="G5" s="1"/>
      <c r="H5" s="13" t="s">
        <v>81</v>
      </c>
      <c r="I5" s="1" t="s">
        <v>82</v>
      </c>
      <c r="J5" s="15" t="s">
        <v>287</v>
      </c>
      <c r="K5" s="1" t="s">
        <v>83</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409.5" customHeight="1" x14ac:dyDescent="0.2">
      <c r="A6" s="1">
        <v>1949</v>
      </c>
      <c r="B6" s="1" t="s">
        <v>23</v>
      </c>
      <c r="C6" s="1" t="s">
        <v>84</v>
      </c>
      <c r="D6" s="14" t="s">
        <v>288</v>
      </c>
      <c r="E6" s="1"/>
      <c r="F6" s="12"/>
      <c r="G6" s="1"/>
      <c r="H6" s="13" t="s">
        <v>85</v>
      </c>
      <c r="I6" s="13"/>
      <c r="J6" s="13"/>
      <c r="K6" s="13"/>
      <c r="L6" s="1"/>
      <c r="M6" s="12" t="s">
        <v>86</v>
      </c>
      <c r="N6" s="12" t="s">
        <v>87</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92" customHeight="1" x14ac:dyDescent="0.2">
      <c r="A7" s="1">
        <v>1950</v>
      </c>
      <c r="B7" s="1" t="s">
        <v>23</v>
      </c>
      <c r="C7" s="1" t="s">
        <v>88</v>
      </c>
      <c r="D7" s="1" t="s">
        <v>89</v>
      </c>
      <c r="E7" s="1" t="s">
        <v>90</v>
      </c>
      <c r="F7" s="12"/>
      <c r="G7" s="1"/>
      <c r="H7" s="12"/>
      <c r="I7" s="13"/>
      <c r="J7" s="13"/>
      <c r="K7" s="13"/>
      <c r="L7" s="1"/>
      <c r="M7" s="12" t="s">
        <v>86</v>
      </c>
      <c r="N7" s="12" t="s">
        <v>87</v>
      </c>
      <c r="O7" s="12"/>
      <c r="P7" s="12"/>
      <c r="Q7" s="12"/>
      <c r="R7" s="12" t="s">
        <v>91</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77.25" customHeight="1" x14ac:dyDescent="0.2">
      <c r="A8" s="1">
        <v>1951</v>
      </c>
      <c r="B8" s="1" t="s">
        <v>23</v>
      </c>
      <c r="C8" s="1" t="s">
        <v>92</v>
      </c>
      <c r="D8" s="1" t="s">
        <v>289</v>
      </c>
      <c r="E8" s="1" t="s">
        <v>334</v>
      </c>
      <c r="F8" s="1"/>
      <c r="G8" s="12"/>
      <c r="H8" s="12"/>
      <c r="I8" s="12"/>
      <c r="J8" s="12"/>
      <c r="K8" s="12"/>
      <c r="L8" s="12"/>
      <c r="M8" s="12" t="s">
        <v>86</v>
      </c>
      <c r="N8" s="12" t="s">
        <v>87</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213.25" customHeight="1" x14ac:dyDescent="0.2">
      <c r="A9" s="1">
        <v>1952</v>
      </c>
      <c r="B9" s="1" t="s">
        <v>23</v>
      </c>
      <c r="C9" s="1" t="s">
        <v>93</v>
      </c>
      <c r="D9" s="1" t="s">
        <v>290</v>
      </c>
      <c r="E9" s="1" t="s">
        <v>335</v>
      </c>
      <c r="F9" s="1"/>
      <c r="G9" s="12"/>
      <c r="H9" s="12"/>
      <c r="I9" s="12"/>
      <c r="J9" s="12"/>
      <c r="K9" s="12"/>
      <c r="L9" s="12"/>
      <c r="M9" s="1" t="s">
        <v>94</v>
      </c>
      <c r="N9" s="1" t="s">
        <v>95</v>
      </c>
      <c r="O9" s="12" t="s">
        <v>86</v>
      </c>
      <c r="P9" s="12" t="s">
        <v>87</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362.75" customHeight="1" x14ac:dyDescent="0.2">
      <c r="A10" s="1">
        <v>1953</v>
      </c>
      <c r="B10" s="1" t="s">
        <v>23</v>
      </c>
      <c r="C10" s="1" t="s">
        <v>96</v>
      </c>
      <c r="D10" s="1" t="s">
        <v>97</v>
      </c>
      <c r="E10" s="1"/>
      <c r="F10" s="1"/>
      <c r="G10" s="12"/>
      <c r="H10" s="13" t="s">
        <v>98</v>
      </c>
      <c r="I10" s="12"/>
      <c r="J10" s="12"/>
      <c r="K10" s="12"/>
      <c r="L10" s="12"/>
      <c r="M10" s="12" t="s">
        <v>86</v>
      </c>
      <c r="N10" s="12" t="s">
        <v>87</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362.75" customHeight="1" x14ac:dyDescent="0.2">
      <c r="A11" s="1">
        <v>1954</v>
      </c>
      <c r="B11" s="1" t="s">
        <v>23</v>
      </c>
      <c r="C11" s="1" t="s">
        <v>99</v>
      </c>
      <c r="D11" s="15" t="s">
        <v>338</v>
      </c>
      <c r="E11" s="1" t="s">
        <v>336</v>
      </c>
      <c r="F11" s="1"/>
      <c r="G11" s="12"/>
      <c r="H11" s="13" t="s">
        <v>100</v>
      </c>
      <c r="I11" s="13"/>
      <c r="J11" s="13"/>
      <c r="K11" s="13"/>
      <c r="L11" s="12"/>
      <c r="M11" s="12" t="s">
        <v>101</v>
      </c>
      <c r="N11" s="12" t="s">
        <v>102</v>
      </c>
      <c r="O11" s="12" t="s">
        <v>86</v>
      </c>
      <c r="P11" s="12" t="s">
        <v>87</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106.75" customHeight="1" x14ac:dyDescent="0.2">
      <c r="A12" s="1">
        <v>1955</v>
      </c>
      <c r="B12" s="1" t="s">
        <v>23</v>
      </c>
      <c r="C12" s="1" t="s">
        <v>103</v>
      </c>
      <c r="D12" s="1" t="s">
        <v>291</v>
      </c>
      <c r="E12" s="1"/>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98.75" customHeight="1" x14ac:dyDescent="0.2">
      <c r="A13" s="1">
        <v>1956</v>
      </c>
      <c r="B13" s="1" t="s">
        <v>23</v>
      </c>
      <c r="C13" s="1" t="s">
        <v>104</v>
      </c>
      <c r="D13" s="14" t="s">
        <v>292</v>
      </c>
      <c r="E13" s="1" t="s">
        <v>105</v>
      </c>
      <c r="F13" s="1"/>
      <c r="G13" s="12"/>
      <c r="H13" s="13" t="s">
        <v>106</v>
      </c>
      <c r="I13" s="12"/>
      <c r="J13" s="12"/>
      <c r="K13" s="12"/>
      <c r="L13" s="12"/>
      <c r="M13" s="12" t="s">
        <v>86</v>
      </c>
      <c r="N13" s="12" t="s">
        <v>87</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409.5" customHeight="1" x14ac:dyDescent="0.2">
      <c r="A14" s="1">
        <v>1957</v>
      </c>
      <c r="B14" s="1" t="s">
        <v>23</v>
      </c>
      <c r="C14" s="1" t="s">
        <v>107</v>
      </c>
      <c r="D14" s="14" t="s">
        <v>293</v>
      </c>
      <c r="E14" s="1"/>
      <c r="F14" s="1"/>
      <c r="G14" s="12"/>
      <c r="H14" s="13"/>
      <c r="I14" s="12"/>
      <c r="J14" s="12"/>
      <c r="K14" s="12"/>
      <c r="L14" s="12"/>
      <c r="M14" s="12" t="s">
        <v>86</v>
      </c>
      <c r="N14" s="12" t="s">
        <v>87</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362.75" customHeight="1" x14ac:dyDescent="0.2">
      <c r="A15" s="1">
        <v>1959</v>
      </c>
      <c r="B15" s="1" t="s">
        <v>23</v>
      </c>
      <c r="C15" s="1" t="s">
        <v>108</v>
      </c>
      <c r="D15" s="1" t="s">
        <v>294</v>
      </c>
      <c r="E15" s="14" t="s">
        <v>337</v>
      </c>
      <c r="F15" s="1"/>
      <c r="G15" s="12" t="s">
        <v>295</v>
      </c>
      <c r="H15" s="12"/>
      <c r="I15" s="12"/>
      <c r="J15" s="12"/>
      <c r="K15" s="12"/>
      <c r="L15" s="12"/>
      <c r="M15" s="12" t="s">
        <v>86</v>
      </c>
      <c r="N15" s="12" t="s">
        <v>87</v>
      </c>
      <c r="O15" s="12"/>
      <c r="P15" s="12"/>
      <c r="Q15" s="12"/>
      <c r="R15" s="12"/>
      <c r="S15" s="12"/>
      <c r="T15" s="12"/>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341.25" customHeight="1" x14ac:dyDescent="0.2">
      <c r="A16" s="1">
        <v>1960</v>
      </c>
      <c r="B16" s="1" t="s">
        <v>23</v>
      </c>
      <c r="C16" s="1" t="s">
        <v>109</v>
      </c>
      <c r="D16" s="1" t="s">
        <v>296</v>
      </c>
      <c r="E16" s="1"/>
      <c r="F16" s="1"/>
      <c r="G16" s="12"/>
      <c r="H16" s="12"/>
      <c r="I16" s="12"/>
      <c r="J16" s="12"/>
      <c r="K16" s="12"/>
      <c r="L16" s="12"/>
      <c r="M16" s="12" t="s">
        <v>86</v>
      </c>
      <c r="N16" s="12" t="s">
        <v>87</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320" customHeight="1" x14ac:dyDescent="0.2">
      <c r="A17" s="1">
        <v>1961</v>
      </c>
      <c r="B17" s="1" t="s">
        <v>31</v>
      </c>
      <c r="C17" s="1" t="s">
        <v>110</v>
      </c>
      <c r="D17" s="12"/>
      <c r="E17" s="1" t="s">
        <v>111</v>
      </c>
      <c r="F17" s="12"/>
      <c r="G17" s="12"/>
      <c r="H17" s="12"/>
      <c r="I17" s="12"/>
      <c r="J17" s="12"/>
      <c r="K17" s="12"/>
      <c r="L17" s="12"/>
      <c r="M17" s="12" t="s">
        <v>86</v>
      </c>
      <c r="N17" s="12" t="s">
        <v>87</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49.25" customHeight="1" x14ac:dyDescent="0.2">
      <c r="A18" s="1">
        <v>1962</v>
      </c>
      <c r="B18" s="1" t="s">
        <v>31</v>
      </c>
      <c r="C18" s="1"/>
      <c r="D18" s="1" t="s">
        <v>112</v>
      </c>
      <c r="E18" s="1"/>
      <c r="F18" s="1"/>
      <c r="G18" s="12"/>
      <c r="H18" s="12"/>
      <c r="I18" s="12"/>
      <c r="J18" s="12"/>
      <c r="K18" s="12"/>
      <c r="L18" s="12" t="s">
        <v>297</v>
      </c>
      <c r="M18" s="23"/>
      <c r="N18" s="23"/>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9.5" customHeight="1" x14ac:dyDescent="0.2">
      <c r="A19" s="1">
        <v>1963</v>
      </c>
      <c r="B19" s="1" t="s">
        <v>31</v>
      </c>
      <c r="C19" s="1" t="s">
        <v>113</v>
      </c>
      <c r="D19" s="14" t="s">
        <v>298</v>
      </c>
      <c r="E19" s="1" t="s">
        <v>114</v>
      </c>
      <c r="F19" s="1"/>
      <c r="G19" s="12"/>
      <c r="H19" s="13" t="s">
        <v>115</v>
      </c>
      <c r="I19" s="13" t="s">
        <v>116</v>
      </c>
      <c r="J19" s="12" t="s">
        <v>117</v>
      </c>
      <c r="K19" s="12"/>
      <c r="L19" s="12"/>
      <c r="M19" s="12" t="s">
        <v>118</v>
      </c>
      <c r="N19" s="12" t="s">
        <v>119</v>
      </c>
      <c r="O19" s="12" t="s">
        <v>86</v>
      </c>
      <c r="P19" s="12" t="s">
        <v>87</v>
      </c>
      <c r="Q19" s="12" t="s">
        <v>120</v>
      </c>
      <c r="R19" s="12" t="s">
        <v>121</v>
      </c>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92" customHeight="1" x14ac:dyDescent="0.2">
      <c r="A20" s="1">
        <v>1964</v>
      </c>
      <c r="B20" s="1" t="s">
        <v>31</v>
      </c>
      <c r="C20" s="1" t="s">
        <v>122</v>
      </c>
      <c r="D20" s="1"/>
      <c r="E20" s="1" t="s">
        <v>339</v>
      </c>
      <c r="F20" s="1"/>
      <c r="G20" s="12"/>
      <c r="H20" s="13"/>
      <c r="I20" s="12"/>
      <c r="J20" s="12"/>
      <c r="K20" s="12"/>
      <c r="L20" s="12"/>
      <c r="M20" s="12" t="s">
        <v>123</v>
      </c>
      <c r="N20" s="12" t="s">
        <v>124</v>
      </c>
      <c r="O20" s="12" t="s">
        <v>120</v>
      </c>
      <c r="P20" s="12" t="s">
        <v>121</v>
      </c>
      <c r="Q20" s="12"/>
      <c r="R20" s="12"/>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192" customHeight="1" x14ac:dyDescent="0.2">
      <c r="A21" s="1">
        <v>1965</v>
      </c>
      <c r="B21" s="1"/>
      <c r="C21" s="1"/>
      <c r="D21" s="1"/>
      <c r="E21" s="1" t="s">
        <v>340</v>
      </c>
      <c r="F21" s="1"/>
      <c r="G21" s="12"/>
      <c r="H21" s="13"/>
      <c r="I21" s="12"/>
      <c r="J21" s="12"/>
      <c r="K21" s="12"/>
      <c r="L21" s="12"/>
      <c r="M21" s="12"/>
      <c r="N21" s="12"/>
      <c r="O21" s="12"/>
      <c r="P21" s="12"/>
      <c r="Q21" s="12"/>
      <c r="R21" s="12"/>
      <c r="S21" s="12"/>
      <c r="T21" s="12"/>
      <c r="U21" s="2"/>
    </row>
    <row r="22" spans="1:21" ht="277.25" customHeight="1" x14ac:dyDescent="0.2">
      <c r="A22" s="1">
        <v>1966</v>
      </c>
      <c r="B22" s="1" t="s">
        <v>38</v>
      </c>
      <c r="C22" s="1" t="s">
        <v>125</v>
      </c>
      <c r="D22" s="1" t="s">
        <v>299</v>
      </c>
      <c r="E22" s="1" t="s">
        <v>341</v>
      </c>
      <c r="F22" s="1" t="s">
        <v>300</v>
      </c>
      <c r="G22" s="12"/>
      <c r="H22" s="12"/>
      <c r="I22" s="12"/>
      <c r="J22" s="12"/>
      <c r="K22" s="12"/>
      <c r="L22" s="12"/>
      <c r="M22" s="12" t="s">
        <v>120</v>
      </c>
      <c r="N22" s="12" t="s">
        <v>121</v>
      </c>
      <c r="O22" s="12" t="s">
        <v>126</v>
      </c>
      <c r="P22" s="12" t="s">
        <v>127</v>
      </c>
      <c r="Q22" s="23"/>
      <c r="R22" s="23"/>
      <c r="S22" s="12"/>
      <c r="T22" s="12"/>
      <c r="U22" s="29"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41.25" customHeight="1" x14ac:dyDescent="0.2">
      <c r="A23" s="1">
        <v>1967</v>
      </c>
      <c r="B23" s="1" t="s">
        <v>38</v>
      </c>
      <c r="C23" s="1" t="s">
        <v>128</v>
      </c>
      <c r="D23" s="14" t="s">
        <v>301</v>
      </c>
      <c r="E23" s="1" t="s">
        <v>342</v>
      </c>
      <c r="F23" s="17" t="s">
        <v>129</v>
      </c>
      <c r="G23" s="12"/>
      <c r="H23" s="12"/>
      <c r="I23" s="12"/>
      <c r="J23" s="12"/>
      <c r="K23" s="12"/>
      <c r="L23" s="12"/>
      <c r="M23" s="12" t="s">
        <v>126</v>
      </c>
      <c r="N23" s="12" t="s">
        <v>127</v>
      </c>
      <c r="O23" s="23"/>
      <c r="P23" s="12"/>
      <c r="Q23" s="12"/>
      <c r="R23" s="12"/>
      <c r="S23" s="12"/>
      <c r="T23" s="12"/>
      <c r="U23" s="29" t="str">
        <f>IF(F23="","",_xlfn.TEXTJOIN("; ",TRUE(),IF(ISNUMBER(SEARCH(SUBSTITUTE('Référentiel films'!$A$2,"’","'"),SUBSTITUTE(F23,"’","'"))),'Référentiel films'!$B$2,""),IF(ISNUMBER(SEARCH(SUBSTITUTE('Référentiel films'!$A$3,"’","'"),SUBSTITUTE(F23,"’","'"))),'Référentiel films'!$B$3,""),IF(ISNUMBER(SEARCH(SUBSTITUTE('Référentiel films'!$A$4,"’","'"),SUBSTITUTE(F23,"’","'"))),'Référentiel films'!$B$4,""),IF(ISNUMBER(SEARCH(SUBSTITUTE('Référentiel films'!$A$5,"’","'"),SUBSTITUTE(F23,"’","'"))),'Référentiel films'!$B$5,""),IF(ISNUMBER(SEARCH(SUBSTITUTE('Référentiel films'!$A$6,"’","'"),SUBSTITUTE(F23,"’","'"))),'Référentiel films'!$B$6,""),IF(ISNUMBER(SEARCH(SUBSTITUTE('Référentiel films'!$A$7,"’","'"),SUBSTITUTE(F23,"’","'"))),'Référentiel films'!$B$7,""),IF(ISNUMBER(SEARCH(SUBSTITUTE('Référentiel films'!$A$8,"’","'"),SUBSTITUTE(F23,"’","'"))),'Référentiel films'!$B$8,""),IF(ISNUMBER(SEARCH(SUBSTITUTE('Référentiel films'!$A$9,"’","'"),SUBSTITUTE(F23,"’","'"))),'Référentiel films'!$B$9,""),IF(ISNUMBER(SEARCH(SUBSTITUTE('Référentiel films'!$A$10,"’","'"),SUBSTITUTE(F23,"’","'"))),'Référentiel films'!$B$10,""),IF(ISNUMBER(SEARCH(SUBSTITUTE('Référentiel films'!$A$11,"’","'"),SUBSTITUTE(F23,"’","'"))),'Référentiel films'!$B$11,""),IF(ISNUMBER(SEARCH(SUBSTITUTE('Référentiel films'!$A$12,"’","'"),SUBSTITUTE(F23,"’","'"))),'Référentiel films'!$B$12,""),IF(ISNUMBER(SEARCH(SUBSTITUTE('Référentiel films'!$A$13,"’","'"),SUBSTITUTE(F23,"’","'"))),'Référentiel films'!$B$13,""),IF(ISNUMBER(SEARCH(SUBSTITUTE('Référentiel films'!$A$14,"’","'"),SUBSTITUTE(F23,"’","'"))),'Référentiel films'!$B$14,""),IF(ISNUMBER(SEARCH(SUBSTITUTE('Référentiel films'!$A$15,"’","'"),SUBSTITUTE(F23,"’","'"))),'Référentiel films'!$B$15,""),IF(ISNUMBER(SEARCH(SUBSTITUTE('Référentiel films'!$A$16,"’","'"),SUBSTITUTE(F23,"’","'"))),'Référentiel films'!$B$16,""),IF(ISNUMBER(SEARCH(SUBSTITUTE('Référentiel films'!$A$17,"’","'"),SUBSTITUTE(F23,"’","'"))),'Référentiel films'!$B$17,""),IF(ISNUMBER(SEARCH(SUBSTITUTE('Référentiel films'!$A$18,"’","'"),SUBSTITUTE(F23,"’","'"))),'Référentiel films'!$B$18,""),IF(ISNUMBER(SEARCH(SUBSTITUTE('Référentiel films'!$A$19,"’","'"),SUBSTITUTE(F23,"’","'"))),'Référentiel films'!$B$19,""),IF(ISNUMBER(SEARCH(SUBSTITUTE('Référentiel films'!$A$20,"’","'"),SUBSTITUTE(F23,"’","'"))),'Référentiel films'!$B$20,""),IF(ISNUMBER(SEARCH(SUBSTITUTE('Référentiel films'!$A$21,"’","'"),SUBSTITUTE(F23,"’","'"))),'Référentiel films'!$B$21,""),IF(ISNUMBER(SEARCH(SUBSTITUTE('Référentiel films'!$A$22,"’","'"),SUBSTITUTE(F23,"’","'"))),'Référentiel films'!$B$22,""),IF(ISNUMBER(SEARCH(SUBSTITUTE('Référentiel films'!$A$23,"’","'"),SUBSTITUTE(F23,"’","'"))),'Référentiel films'!$B$23,""),IF(ISNUMBER(SEARCH(SUBSTITUTE('Référentiel films'!$A$24,"’","'"),SUBSTITUTE(F23,"’","'"))),'Référentiel films'!$B$24,""),IF(ISNUMBER(SEARCH(SUBSTITUTE('Référentiel films'!$A$25,"’","'"),SUBSTITUTE(F23,"’","'"))),'Référentiel films'!$B$25,""),IF(ISNUMBER(SEARCH(SUBSTITUTE('Référentiel films'!$A$26,"’","'"),SUBSTITUTE(F23,"’","'"))),'Référentiel films'!$B$26,""),IF(ISNUMBER(SEARCH(SUBSTITUTE('Référentiel films'!$A$27,"’","'"),SUBSTITUTE(F23,"’","'"))),'Référentiel films'!$B$27,""),IF(ISNUMBER(SEARCH(SUBSTITUTE('Référentiel films'!$A$28,"’","'"),SUBSTITUTE(F23,"’","'"))),'Référentiel films'!$B$28,""),IF(ISNUMBER(SEARCH(SUBSTITUTE('Référentiel films'!$A$29,"’","'"),SUBSTITUTE(F23,"’","'"))),'Référentiel films'!$B$29,""),IF(ISNUMBER(SEARCH(SUBSTITUTE('Référentiel films'!$A$30,"’","'"),SUBSTITUTE(F23,"’","'"))),'Référentiel films'!$B$30,""),IF(ISNUMBER(SEARCH(SUBSTITUTE('Référentiel films'!$A$31,"’","'"),SUBSTITUTE(F23,"’","'"))),'Référentiel films'!$B$31,""),IF(ISNUMBER(SEARCH(SUBSTITUTE('Référentiel films'!$A$32,"’","'"),SUBSTITUTE(F23,"’","'"))),'Référentiel films'!$B$32,""),IF(ISNUMBER(SEARCH(SUBSTITUTE('Référentiel films'!$A$33,"’","'"),SUBSTITUTE(F23,"’","'"))),'Référentiel films'!$B$33,""),IF(ISNUMBER(SEARCH(SUBSTITUTE('Référentiel films'!$A$34,"’","'"),SUBSTITUTE(F23,"’","'"))),'Référentiel films'!$B$34,""),IF(ISNUMBER(SEARCH(SUBSTITUTE('Référentiel films'!$A$35,"’","'"),SUBSTITUTE(F23,"’","'"))),'Référentiel films'!$B$35,""),IF(ISNUMBER(SEARCH(SUBSTITUTE('Référentiel films'!$A$36,"’","'"),SUBSTITUTE(F23,"’","'"))),'Référentiel films'!$B$36,""),IF(ISNUMBER(SEARCH(SUBSTITUTE('Référentiel films'!$A$37,"’","'"),SUBSTITUTE(F23,"’","'"))),'Référentiel films'!$B$37,""),IF(ISNUMBER(SEARCH(SUBSTITUTE('Référentiel films'!$A$38,"’","'"),SUBSTITUTE(F23,"’","'"))),'Référentiel films'!$B$38,""),IF(ISNUMBER(SEARCH(SUBSTITUTE('Référentiel films'!$A$39,"’","'"),SUBSTITUTE(F23,"’","'"))),'Référentiel films'!$B$39,""),IF(ISNUMBER(SEARCH(SUBSTITUTE('Référentiel films'!$A$40,"’","'"),SUBSTITUTE(F23,"’","'"))),'Référentiel films'!$B$40,""),IF(ISNUMBER(SEARCH(SUBSTITUTE('Référentiel films'!$A$41,"’","'"),SUBSTITUTE(F23,"’","'"))),'Référentiel films'!$B$41,"")))</f>
        <v/>
      </c>
    </row>
    <row r="24" spans="1:21" ht="405.25" customHeight="1" x14ac:dyDescent="0.2">
      <c r="A24" s="1">
        <v>1968</v>
      </c>
      <c r="B24" s="1" t="s">
        <v>38</v>
      </c>
      <c r="C24" s="1" t="s">
        <v>130</v>
      </c>
      <c r="D24" s="1" t="s">
        <v>131</v>
      </c>
      <c r="E24" s="1" t="s">
        <v>343</v>
      </c>
      <c r="F24" s="12"/>
      <c r="G24" s="16" t="s">
        <v>132</v>
      </c>
      <c r="H24" s="12" t="s">
        <v>133</v>
      </c>
      <c r="I24" s="12"/>
      <c r="J24" s="12"/>
      <c r="K24" s="12"/>
      <c r="L24" s="12"/>
      <c r="M24" s="24" t="s">
        <v>126</v>
      </c>
      <c r="N24" s="24" t="s">
        <v>127</v>
      </c>
      <c r="O24" s="12"/>
      <c r="P24" s="12"/>
      <c r="Q24" s="12"/>
      <c r="R24" s="12"/>
      <c r="S24" s="12"/>
      <c r="T24" s="12"/>
      <c r="U24" s="29"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
      </c>
    </row>
    <row r="25" spans="1:21" ht="362.75" customHeight="1" x14ac:dyDescent="0.2">
      <c r="A25" s="1">
        <v>1969</v>
      </c>
      <c r="B25" s="1" t="s">
        <v>38</v>
      </c>
      <c r="C25" s="1" t="s">
        <v>134</v>
      </c>
      <c r="D25" s="14" t="s">
        <v>302</v>
      </c>
      <c r="E25" s="1" t="s">
        <v>344</v>
      </c>
      <c r="F25" s="15" t="s">
        <v>345</v>
      </c>
      <c r="G25" s="16"/>
      <c r="H25" s="12"/>
      <c r="I25" s="12"/>
      <c r="J25" s="12"/>
      <c r="K25" s="12"/>
      <c r="L25" s="12"/>
      <c r="M25" s="12" t="s">
        <v>135</v>
      </c>
      <c r="N25" s="12" t="s">
        <v>136</v>
      </c>
      <c r="O25" s="12"/>
      <c r="P25" s="12"/>
      <c r="Q25" s="12"/>
      <c r="R25" s="12"/>
      <c r="S25" s="12"/>
      <c r="T25" s="12"/>
      <c r="U25" s="29"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film-1969-l-amour-est-plus-froid-que-la-mort; film-1969-le-bouc</v>
      </c>
    </row>
    <row r="26" spans="1:21" ht="409.5" customHeight="1" x14ac:dyDescent="0.2">
      <c r="A26" s="1">
        <v>1970</v>
      </c>
      <c r="B26" s="1" t="s">
        <v>38</v>
      </c>
      <c r="C26" s="1" t="s">
        <v>137</v>
      </c>
      <c r="D26" s="21"/>
      <c r="E26" s="1" t="s">
        <v>346</v>
      </c>
      <c r="F26" s="14" t="s">
        <v>303</v>
      </c>
      <c r="G26" s="16"/>
      <c r="H26" s="12"/>
      <c r="I26" s="12"/>
      <c r="J26" s="12"/>
      <c r="K26" s="12"/>
      <c r="L26" s="12"/>
      <c r="M26" s="12" t="s">
        <v>135</v>
      </c>
      <c r="N26" s="12" t="s">
        <v>136</v>
      </c>
      <c r="O26" s="12"/>
      <c r="P26" s="12"/>
      <c r="Q26" s="12"/>
      <c r="R26" s="12"/>
      <c r="S26" s="12"/>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film-1970-les-dieux-de-la-peste; film-1970-pourquoi-m-r-est-il-atteint-de-folie-meurtriere; film-1970-le-soldat-americain; film-1970-le-voyage-a-niklashausen</v>
      </c>
    </row>
    <row r="27" spans="1:21" ht="320" customHeight="1" x14ac:dyDescent="0.2">
      <c r="A27" s="1">
        <v>1971</v>
      </c>
      <c r="B27" s="1" t="s">
        <v>38</v>
      </c>
      <c r="C27" s="1" t="s">
        <v>304</v>
      </c>
      <c r="D27" s="1" t="s">
        <v>347</v>
      </c>
      <c r="E27" s="1" t="s">
        <v>348</v>
      </c>
      <c r="F27" s="17" t="s">
        <v>138</v>
      </c>
      <c r="G27" s="12" t="s">
        <v>139</v>
      </c>
      <c r="H27" s="12"/>
      <c r="I27" s="12"/>
      <c r="J27" s="12"/>
      <c r="K27" s="12"/>
      <c r="L27" s="12" t="s">
        <v>305</v>
      </c>
      <c r="M27" s="1" t="s">
        <v>140</v>
      </c>
      <c r="N27" s="14" t="s">
        <v>306</v>
      </c>
      <c r="O27" s="12" t="s">
        <v>135</v>
      </c>
      <c r="P27" s="12" t="s">
        <v>136</v>
      </c>
      <c r="Q27" s="1"/>
      <c r="R27" s="1"/>
      <c r="S27" s="1" t="s">
        <v>141</v>
      </c>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film-1971-whity; film-1971-prenez-garde-a-la-sainte-putain; film-1971-pionniers-a-ingolstadt</v>
      </c>
    </row>
    <row r="28" spans="1:21" ht="405.25" customHeight="1" x14ac:dyDescent="0.2">
      <c r="A28" s="1">
        <v>1972</v>
      </c>
      <c r="B28" s="1" t="s">
        <v>38</v>
      </c>
      <c r="C28" s="1" t="s">
        <v>350</v>
      </c>
      <c r="D28" s="14" t="s">
        <v>307</v>
      </c>
      <c r="E28" s="1" t="s">
        <v>349</v>
      </c>
      <c r="F28" s="17" t="s">
        <v>308</v>
      </c>
      <c r="G28" s="12"/>
      <c r="H28" s="22" t="s">
        <v>309</v>
      </c>
      <c r="I28" s="12"/>
      <c r="J28" s="12"/>
      <c r="K28" s="12"/>
      <c r="L28" s="12"/>
      <c r="M28" s="12" t="s">
        <v>135</v>
      </c>
      <c r="N28" s="12" t="s">
        <v>136</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film-1972-le-marchand-des-quatre-saisons; film-1972-les-larmes-ameres-de-petra-von-kant; film-1972-liberte-a-breme; film-1972-huit-heures-ne-font-pas-un-jour</v>
      </c>
    </row>
    <row r="29" spans="1:21" ht="128" customHeight="1" x14ac:dyDescent="0.2">
      <c r="A29" s="1">
        <v>1973</v>
      </c>
      <c r="B29" s="1" t="s">
        <v>38</v>
      </c>
      <c r="C29" s="1" t="s">
        <v>142</v>
      </c>
      <c r="D29" s="18" t="s">
        <v>310</v>
      </c>
      <c r="E29" s="1" t="s">
        <v>352</v>
      </c>
      <c r="F29" s="17" t="s">
        <v>311</v>
      </c>
      <c r="G29" s="1" t="s">
        <v>353</v>
      </c>
      <c r="H29" s="23"/>
      <c r="I29" s="12"/>
      <c r="J29" s="12"/>
      <c r="K29" s="12"/>
      <c r="L29" s="12"/>
      <c r="M29" s="12" t="s">
        <v>135</v>
      </c>
      <c r="N29" s="12" t="s">
        <v>136</v>
      </c>
      <c r="O29" s="1"/>
      <c r="P29" s="1"/>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film-1973-gibier-de-passage; film-1973-le-monde-sur-un-fil</v>
      </c>
    </row>
    <row r="30" spans="1:21" ht="298.75" customHeight="1" x14ac:dyDescent="0.2">
      <c r="A30" s="1">
        <v>1974</v>
      </c>
      <c r="B30" s="1" t="s">
        <v>44</v>
      </c>
      <c r="C30" s="1" t="s">
        <v>143</v>
      </c>
      <c r="D30" s="1" t="s">
        <v>351</v>
      </c>
      <c r="E30" s="1" t="s">
        <v>355</v>
      </c>
      <c r="F30" s="15" t="s">
        <v>312</v>
      </c>
      <c r="G30" s="1" t="s">
        <v>354</v>
      </c>
      <c r="H30" s="12"/>
      <c r="I30" s="12"/>
      <c r="J30" s="12"/>
      <c r="K30" s="12"/>
      <c r="L30" s="12"/>
      <c r="M30" s="12" t="s">
        <v>135</v>
      </c>
      <c r="N30" s="12" t="s">
        <v>136</v>
      </c>
      <c r="O30" s="1" t="s">
        <v>144</v>
      </c>
      <c r="P30" s="1" t="s">
        <v>145</v>
      </c>
      <c r="Q30" s="1"/>
      <c r="R30" s="1"/>
      <c r="S30" s="1"/>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film-1974-tous-les-autres-s-appellent-ali; film-1974-effi-briest; film-1974-nora-helmer; film-1974-martha</v>
      </c>
    </row>
    <row r="31" spans="1:21" ht="409.5" customHeight="1" x14ac:dyDescent="0.2">
      <c r="A31" s="1">
        <v>1975</v>
      </c>
      <c r="B31" s="1" t="s">
        <v>44</v>
      </c>
      <c r="C31" s="1" t="s">
        <v>146</v>
      </c>
      <c r="D31" s="1" t="s">
        <v>147</v>
      </c>
      <c r="E31" s="14" t="s">
        <v>356</v>
      </c>
      <c r="F31" s="14" t="s">
        <v>313</v>
      </c>
      <c r="G31" s="14" t="s">
        <v>357</v>
      </c>
      <c r="H31" s="12"/>
      <c r="I31" s="12"/>
      <c r="J31" s="12"/>
      <c r="K31" s="12"/>
      <c r="L31" s="12" t="s">
        <v>314</v>
      </c>
      <c r="M31" s="12" t="s">
        <v>148</v>
      </c>
      <c r="N31" s="12" t="s">
        <v>315</v>
      </c>
      <c r="O31" s="1" t="s">
        <v>144</v>
      </c>
      <c r="P31" s="1" t="s">
        <v>145</v>
      </c>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film-1975-le-droit-du-plus-fort; film-1975-maman-kusters-s-en-va-au-ciel; film-1975-comme-un-oiseau-sur-le-fil; film-1975-peur-de-la-peur</v>
      </c>
    </row>
    <row r="32" spans="1:21" ht="234.75" customHeight="1" x14ac:dyDescent="0.2">
      <c r="A32" s="1">
        <v>1976</v>
      </c>
      <c r="B32" s="1" t="s">
        <v>44</v>
      </c>
      <c r="C32" s="1" t="s">
        <v>149</v>
      </c>
      <c r="D32" s="1" t="s">
        <v>150</v>
      </c>
      <c r="E32" s="1" t="s">
        <v>359</v>
      </c>
      <c r="F32" s="1" t="s">
        <v>316</v>
      </c>
      <c r="G32" s="1" t="s">
        <v>358</v>
      </c>
      <c r="H32" s="12"/>
      <c r="I32" s="12"/>
      <c r="J32" s="12"/>
      <c r="K32" s="12"/>
      <c r="L32" s="12"/>
      <c r="M32" s="1" t="s">
        <v>144</v>
      </c>
      <c r="N32" s="1" t="s">
        <v>145</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film-1976-l-ombre-des-anges; film-1976-le-roti-de-satan; film-1976-roulette-chinoise; film-1976-je-veux-seulement-que-vous-m-aimiez</v>
      </c>
    </row>
    <row r="33" spans="1:21" ht="409.5" customHeight="1" x14ac:dyDescent="0.2">
      <c r="A33" s="1">
        <v>1977</v>
      </c>
      <c r="B33" s="1" t="s">
        <v>44</v>
      </c>
      <c r="C33" s="1" t="s">
        <v>151</v>
      </c>
      <c r="D33" s="14" t="s">
        <v>360</v>
      </c>
      <c r="E33" s="14" t="s">
        <v>362</v>
      </c>
      <c r="F33" s="12" t="s">
        <v>152</v>
      </c>
      <c r="G33" s="12" t="s">
        <v>153</v>
      </c>
      <c r="H33" s="12"/>
      <c r="I33" s="12"/>
      <c r="J33" s="12"/>
      <c r="K33" s="12" t="s">
        <v>154</v>
      </c>
      <c r="L33" s="12" t="s">
        <v>317</v>
      </c>
      <c r="M33" s="1" t="s">
        <v>144</v>
      </c>
      <c r="N33" s="1" t="s">
        <v>145</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film-1977-femmes-a-new-york; film-1977-la-femme-du-chef-de-gare</v>
      </c>
    </row>
    <row r="34" spans="1:21" ht="409.5" customHeight="1" x14ac:dyDescent="0.2">
      <c r="A34" s="1">
        <v>1978</v>
      </c>
      <c r="B34" s="1" t="s">
        <v>44</v>
      </c>
      <c r="C34" s="1"/>
      <c r="D34" s="17"/>
      <c r="E34" s="14" t="s">
        <v>361</v>
      </c>
      <c r="F34" s="1" t="s">
        <v>318</v>
      </c>
      <c r="G34" s="12" t="s">
        <v>319</v>
      </c>
      <c r="H34" s="12"/>
      <c r="I34" s="12"/>
      <c r="J34" s="12"/>
      <c r="K34" s="12"/>
      <c r="L34" s="12" t="s">
        <v>320</v>
      </c>
      <c r="M34" s="1" t="s">
        <v>144</v>
      </c>
      <c r="N34" s="1" t="s">
        <v>145</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film-1978-l-allemagne-en-automne; film-1978-despair; film-1978-l-annee-des-treize-lunes; film-1978-le-mariage-de-maria-braun</v>
      </c>
    </row>
    <row r="35" spans="1:21" ht="341.25" customHeight="1" x14ac:dyDescent="0.2">
      <c r="A35" s="1">
        <v>1979</v>
      </c>
      <c r="B35" s="1" t="s">
        <v>44</v>
      </c>
      <c r="C35" s="1" t="s">
        <v>155</v>
      </c>
      <c r="D35" s="14" t="s">
        <v>321</v>
      </c>
      <c r="E35" s="14" t="s">
        <v>363</v>
      </c>
      <c r="F35" s="12" t="s">
        <v>322</v>
      </c>
      <c r="G35" s="12" t="s">
        <v>323</v>
      </c>
      <c r="H35" s="12" t="s">
        <v>156</v>
      </c>
      <c r="I35" s="12"/>
      <c r="J35" s="12"/>
      <c r="K35" s="12"/>
      <c r="L35" s="12"/>
      <c r="M35" s="1" t="s">
        <v>144</v>
      </c>
      <c r="N35" s="1" t="s">
        <v>145</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film-1978-le-mariage-de-maria-braun; film-1979-la-troisieme-generation</v>
      </c>
    </row>
    <row r="36" spans="1:21" ht="405.25" customHeight="1" x14ac:dyDescent="0.2">
      <c r="A36" s="1">
        <v>1980</v>
      </c>
      <c r="B36" s="1" t="s">
        <v>51</v>
      </c>
      <c r="C36" s="1" t="s">
        <v>157</v>
      </c>
      <c r="D36" s="15" t="s">
        <v>324</v>
      </c>
      <c r="E36" s="1" t="s">
        <v>364</v>
      </c>
      <c r="F36" s="14" t="s">
        <v>325</v>
      </c>
      <c r="G36" s="1" t="s">
        <v>158</v>
      </c>
      <c r="H36" s="12"/>
      <c r="I36" s="12"/>
      <c r="J36" s="12"/>
      <c r="K36" s="12"/>
      <c r="L36" s="12" t="s">
        <v>326</v>
      </c>
      <c r="M36" s="1" t="s">
        <v>144</v>
      </c>
      <c r="N36" s="1" t="s">
        <v>145</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film-1980-berlin-alexanderplatz</v>
      </c>
    </row>
    <row r="37" spans="1:21" ht="234.75" customHeight="1" x14ac:dyDescent="0.2">
      <c r="A37" s="1">
        <v>1981</v>
      </c>
      <c r="B37" s="1" t="s">
        <v>51</v>
      </c>
      <c r="C37" s="1" t="s">
        <v>159</v>
      </c>
      <c r="D37" s="12" t="s">
        <v>327</v>
      </c>
      <c r="E37" s="1" t="s">
        <v>365</v>
      </c>
      <c r="F37" s="1" t="s">
        <v>328</v>
      </c>
      <c r="G37" s="14" t="s">
        <v>329</v>
      </c>
      <c r="H37" s="12"/>
      <c r="I37" s="12"/>
      <c r="J37" s="12"/>
      <c r="K37" s="12"/>
      <c r="L37" s="12" t="s">
        <v>330</v>
      </c>
      <c r="M37" s="1" t="s">
        <v>144</v>
      </c>
      <c r="N37" s="1" t="s">
        <v>145</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film-1981-lili-marleen; film-1981-theatre-en-transe; film-1981-lola-une-femme-allemande</v>
      </c>
    </row>
    <row r="38" spans="1:21" ht="234.75" customHeight="1" x14ac:dyDescent="0.2">
      <c r="A38" s="1">
        <v>1982</v>
      </c>
      <c r="B38" s="1" t="s">
        <v>51</v>
      </c>
      <c r="C38" s="1" t="s">
        <v>160</v>
      </c>
      <c r="D38" s="1" t="s">
        <v>161</v>
      </c>
      <c r="E38" s="1" t="s">
        <v>366</v>
      </c>
      <c r="F38" s="17" t="s">
        <v>331</v>
      </c>
      <c r="G38" s="12"/>
      <c r="H38" s="12"/>
      <c r="I38" s="12"/>
      <c r="J38" s="12"/>
      <c r="K38" s="12"/>
      <c r="L38" s="12" t="s">
        <v>332</v>
      </c>
      <c r="M38" s="12" t="s">
        <v>162</v>
      </c>
      <c r="N38" s="12" t="s">
        <v>163</v>
      </c>
      <c r="O38" s="12"/>
      <c r="P38" s="12"/>
      <c r="Q38" s="12"/>
      <c r="R38" s="12"/>
      <c r="S38" s="12"/>
      <c r="T38" s="12"/>
      <c r="U38" s="2" t="str">
        <f>IF(F38="","",_xlfn.TEXTJOIN("; ",TRUE(),IF(ISNUMBER(SEARCH(SUBSTITUTE('Référentiel films'!$A$2,"’","'"),SUBSTITUTE(F38,"’","'"))),'Référentiel films'!$B$2,""),IF(ISNUMBER(SEARCH(SUBSTITUTE('Référentiel films'!$A$3,"’","'"),SUBSTITUTE(F38,"’","'"))),'Référentiel films'!$B$3,""),IF(ISNUMBER(SEARCH(SUBSTITUTE('Référentiel films'!$A$4,"’","'"),SUBSTITUTE(F38,"’","'"))),'Référentiel films'!$B$4,""),IF(ISNUMBER(SEARCH(SUBSTITUTE('Référentiel films'!$A$5,"’","'"),SUBSTITUTE(F38,"’","'"))),'Référentiel films'!$B$5,""),IF(ISNUMBER(SEARCH(SUBSTITUTE('Référentiel films'!$A$6,"’","'"),SUBSTITUTE(F38,"’","'"))),'Référentiel films'!$B$6,""),IF(ISNUMBER(SEARCH(SUBSTITUTE('Référentiel films'!$A$7,"’","'"),SUBSTITUTE(F38,"’","'"))),'Référentiel films'!$B$7,""),IF(ISNUMBER(SEARCH(SUBSTITUTE('Référentiel films'!$A$8,"’","'"),SUBSTITUTE(F38,"’","'"))),'Référentiel films'!$B$8,""),IF(ISNUMBER(SEARCH(SUBSTITUTE('Référentiel films'!$A$9,"’","'"),SUBSTITUTE(F38,"’","'"))),'Référentiel films'!$B$9,""),IF(ISNUMBER(SEARCH(SUBSTITUTE('Référentiel films'!$A$10,"’","'"),SUBSTITUTE(F38,"’","'"))),'Référentiel films'!$B$10,""),IF(ISNUMBER(SEARCH(SUBSTITUTE('Référentiel films'!$A$11,"’","'"),SUBSTITUTE(F38,"’","'"))),'Référentiel films'!$B$11,""),IF(ISNUMBER(SEARCH(SUBSTITUTE('Référentiel films'!$A$12,"’","'"),SUBSTITUTE(F38,"’","'"))),'Référentiel films'!$B$12,""),IF(ISNUMBER(SEARCH(SUBSTITUTE('Référentiel films'!$A$13,"’","'"),SUBSTITUTE(F38,"’","'"))),'Référentiel films'!$B$13,""),IF(ISNUMBER(SEARCH(SUBSTITUTE('Référentiel films'!$A$14,"’","'"),SUBSTITUTE(F38,"’","'"))),'Référentiel films'!$B$14,""),IF(ISNUMBER(SEARCH(SUBSTITUTE('Référentiel films'!$A$15,"’","'"),SUBSTITUTE(F38,"’","'"))),'Référentiel films'!$B$15,""),IF(ISNUMBER(SEARCH(SUBSTITUTE('Référentiel films'!$A$16,"’","'"),SUBSTITUTE(F38,"’","'"))),'Référentiel films'!$B$16,""),IF(ISNUMBER(SEARCH(SUBSTITUTE('Référentiel films'!$A$17,"’","'"),SUBSTITUTE(F38,"’","'"))),'Référentiel films'!$B$17,""),IF(ISNUMBER(SEARCH(SUBSTITUTE('Référentiel films'!$A$18,"’","'"),SUBSTITUTE(F38,"’","'"))),'Référentiel films'!$B$18,""),IF(ISNUMBER(SEARCH(SUBSTITUTE('Référentiel films'!$A$19,"’","'"),SUBSTITUTE(F38,"’","'"))),'Référentiel films'!$B$19,""),IF(ISNUMBER(SEARCH(SUBSTITUTE('Référentiel films'!$A$20,"’","'"),SUBSTITUTE(F38,"’","'"))),'Référentiel films'!$B$20,""),IF(ISNUMBER(SEARCH(SUBSTITUTE('Référentiel films'!$A$21,"’","'"),SUBSTITUTE(F38,"’","'"))),'Référentiel films'!$B$21,""),IF(ISNUMBER(SEARCH(SUBSTITUTE('Référentiel films'!$A$22,"’","'"),SUBSTITUTE(F38,"’","'"))),'Référentiel films'!$B$22,""),IF(ISNUMBER(SEARCH(SUBSTITUTE('Référentiel films'!$A$23,"’","'"),SUBSTITUTE(F38,"’","'"))),'Référentiel films'!$B$23,""),IF(ISNUMBER(SEARCH(SUBSTITUTE('Référentiel films'!$A$24,"’","'"),SUBSTITUTE(F38,"’","'"))),'Référentiel films'!$B$24,""),IF(ISNUMBER(SEARCH(SUBSTITUTE('Référentiel films'!$A$25,"’","'"),SUBSTITUTE(F38,"’","'"))),'Référentiel films'!$B$25,""),IF(ISNUMBER(SEARCH(SUBSTITUTE('Référentiel films'!$A$26,"’","'"),SUBSTITUTE(F38,"’","'"))),'Référentiel films'!$B$26,""),IF(ISNUMBER(SEARCH(SUBSTITUTE('Référentiel films'!$A$27,"’","'"),SUBSTITUTE(F38,"’","'"))),'Référentiel films'!$B$27,""),IF(ISNUMBER(SEARCH(SUBSTITUTE('Référentiel films'!$A$28,"’","'"),SUBSTITUTE(F38,"’","'"))),'Référentiel films'!$B$28,""),IF(ISNUMBER(SEARCH(SUBSTITUTE('Référentiel films'!$A$29,"’","'"),SUBSTITUTE(F38,"’","'"))),'Référentiel films'!$B$29,""),IF(ISNUMBER(SEARCH(SUBSTITUTE('Référentiel films'!$A$30,"’","'"),SUBSTITUTE(F38,"’","'"))),'Référentiel films'!$B$30,""),IF(ISNUMBER(SEARCH(SUBSTITUTE('Référentiel films'!$A$31,"’","'"),SUBSTITUTE(F38,"’","'"))),'Référentiel films'!$B$31,""),IF(ISNUMBER(SEARCH(SUBSTITUTE('Référentiel films'!$A$32,"’","'"),SUBSTITUTE(F38,"’","'"))),'Référentiel films'!$B$32,""),IF(ISNUMBER(SEARCH(SUBSTITUTE('Référentiel films'!$A$33,"’","'"),SUBSTITUTE(F38,"’","'"))),'Référentiel films'!$B$33,""),IF(ISNUMBER(SEARCH(SUBSTITUTE('Référentiel films'!$A$34,"’","'"),SUBSTITUTE(F38,"’","'"))),'Référentiel films'!$B$34,""),IF(ISNUMBER(SEARCH(SUBSTITUTE('Référentiel films'!$A$35,"’","'"),SUBSTITUTE(F38,"’","'"))),'Référentiel films'!$B$35,""),IF(ISNUMBER(SEARCH(SUBSTITUTE('Référentiel films'!$A$36,"’","'"),SUBSTITUTE(F38,"’","'"))),'Référentiel films'!$B$36,""),IF(ISNUMBER(SEARCH(SUBSTITUTE('Référentiel films'!$A$37,"’","'"),SUBSTITUTE(F38,"’","'"))),'Référentiel films'!$B$37,""),IF(ISNUMBER(SEARCH(SUBSTITUTE('Référentiel films'!$A$38,"’","'"),SUBSTITUTE(F38,"’","'"))),'Référentiel films'!$B$38,""),IF(ISNUMBER(SEARCH(SUBSTITUTE('Référentiel films'!$A$39,"’","'"),SUBSTITUTE(F38,"’","'"))),'Référentiel films'!$B$39,""),IF(ISNUMBER(SEARCH(SUBSTITUTE('Référentiel films'!$A$40,"’","'"),SUBSTITUTE(F38,"’","'"))),'Référentiel films'!$B$40,""),IF(ISNUMBER(SEARCH(SUBSTITUTE('Référentiel films'!$A$41,"’","'"),SUBSTITUTE(F38,"’","'"))),'Référentiel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workbookViewId="0">
      <selection sqref="A1:XFD1048576"/>
    </sheetView>
  </sheetViews>
  <sheetFormatPr baseColWidth="10" defaultColWidth="11.5" defaultRowHeight="13" x14ac:dyDescent="0.15"/>
  <cols>
    <col min="1" max="1" width="11.5" style="23"/>
    <col min="2" max="2" width="37.5" style="23" customWidth="1"/>
    <col min="3" max="3" width="37" style="23" customWidth="1"/>
    <col min="4" max="4" width="30.83203125" style="23" customWidth="1"/>
    <col min="5" max="16384" width="11.5" style="23"/>
  </cols>
  <sheetData>
    <row r="15" spans="1:4" x14ac:dyDescent="0.15">
      <c r="A15" s="10" t="s">
        <v>164</v>
      </c>
      <c r="B15" s="10" t="s">
        <v>165</v>
      </c>
      <c r="C15" s="10" t="s">
        <v>166</v>
      </c>
      <c r="D15" s="10" t="s">
        <v>167</v>
      </c>
    </row>
    <row r="16" spans="1:4" ht="42" x14ac:dyDescent="0.15">
      <c r="A16" s="11" t="s">
        <v>168</v>
      </c>
      <c r="B16" s="28" t="s">
        <v>169</v>
      </c>
      <c r="C16" s="11" t="s">
        <v>170</v>
      </c>
      <c r="D16" s="11"/>
    </row>
    <row r="17" spans="1:4" ht="28" x14ac:dyDescent="0.15">
      <c r="A17" s="11" t="s">
        <v>171</v>
      </c>
      <c r="B17" s="28" t="s">
        <v>172</v>
      </c>
      <c r="C17" s="11" t="s">
        <v>173</v>
      </c>
      <c r="D17" s="11" t="s">
        <v>174</v>
      </c>
    </row>
    <row r="18" spans="1:4" ht="28" x14ac:dyDescent="0.15">
      <c r="A18" s="11" t="s">
        <v>175</v>
      </c>
      <c r="B18" s="11" t="s">
        <v>176</v>
      </c>
      <c r="C18" s="11" t="s">
        <v>177</v>
      </c>
      <c r="D18" s="11" t="s">
        <v>174</v>
      </c>
    </row>
    <row r="19" spans="1:4" ht="28" x14ac:dyDescent="0.15">
      <c r="A19" s="11" t="s">
        <v>178</v>
      </c>
      <c r="B19" s="11" t="s">
        <v>179</v>
      </c>
      <c r="C19" s="11" t="s">
        <v>180</v>
      </c>
      <c r="D19" s="11" t="s">
        <v>181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3" t="s">
        <v>182</v>
      </c>
      <c r="B1" s="3" t="s">
        <v>183</v>
      </c>
    </row>
    <row r="2" spans="1:2" ht="17" x14ac:dyDescent="0.2">
      <c r="A2" s="5" t="s">
        <v>184</v>
      </c>
      <c r="B2" s="5" t="s">
        <v>185</v>
      </c>
    </row>
    <row r="3" spans="1:2" ht="17" x14ac:dyDescent="0.2">
      <c r="A3" s="5" t="s">
        <v>186</v>
      </c>
      <c r="B3" s="5" t="s">
        <v>187</v>
      </c>
    </row>
    <row r="4" spans="1:2" ht="17" x14ac:dyDescent="0.2">
      <c r="A4" s="5" t="s">
        <v>188</v>
      </c>
      <c r="B4" s="5" t="s">
        <v>189</v>
      </c>
    </row>
    <row r="5" spans="1:2" ht="17" x14ac:dyDescent="0.2">
      <c r="A5" s="5" t="s">
        <v>190</v>
      </c>
      <c r="B5" s="5" t="s">
        <v>191</v>
      </c>
    </row>
    <row r="6" spans="1:2" ht="17" x14ac:dyDescent="0.2">
      <c r="A6" s="5" t="s">
        <v>192</v>
      </c>
      <c r="B6" s="5" t="s">
        <v>193</v>
      </c>
    </row>
    <row r="7" spans="1:2" ht="17" x14ac:dyDescent="0.2">
      <c r="A7" s="5" t="s">
        <v>194</v>
      </c>
      <c r="B7" s="5" t="s">
        <v>195</v>
      </c>
    </row>
    <row r="8" spans="1:2" ht="17" x14ac:dyDescent="0.2">
      <c r="A8" s="5" t="s">
        <v>196</v>
      </c>
      <c r="B8" s="5" t="s">
        <v>197</v>
      </c>
    </row>
    <row r="9" spans="1:2" ht="17" x14ac:dyDescent="0.2">
      <c r="A9" s="5" t="s">
        <v>198</v>
      </c>
      <c r="B9" s="5" t="s">
        <v>199</v>
      </c>
    </row>
    <row r="10" spans="1:2" ht="17" x14ac:dyDescent="0.2">
      <c r="A10" s="5" t="s">
        <v>200</v>
      </c>
      <c r="B10" s="5" t="s">
        <v>201</v>
      </c>
    </row>
    <row r="11" spans="1:2" ht="17" x14ac:dyDescent="0.2">
      <c r="A11" s="5" t="s">
        <v>202</v>
      </c>
      <c r="B11" s="5" t="s">
        <v>203</v>
      </c>
    </row>
    <row r="12" spans="1:2" ht="17" x14ac:dyDescent="0.2">
      <c r="A12" s="5" t="s">
        <v>204</v>
      </c>
      <c r="B12" s="5" t="s">
        <v>205</v>
      </c>
    </row>
    <row r="13" spans="1:2" ht="17" x14ac:dyDescent="0.2">
      <c r="A13" s="5" t="s">
        <v>206</v>
      </c>
      <c r="B13" s="5" t="s">
        <v>207</v>
      </c>
    </row>
    <row r="14" spans="1:2" ht="17" x14ac:dyDescent="0.2">
      <c r="A14" s="5" t="s">
        <v>208</v>
      </c>
      <c r="B14" s="5" t="s">
        <v>209</v>
      </c>
    </row>
    <row r="15" spans="1:2" ht="17" x14ac:dyDescent="0.2">
      <c r="A15" s="5" t="s">
        <v>210</v>
      </c>
      <c r="B15" s="5" t="s">
        <v>211</v>
      </c>
    </row>
    <row r="16" spans="1:2" ht="17" x14ac:dyDescent="0.2">
      <c r="A16" s="5" t="s">
        <v>212</v>
      </c>
      <c r="B16" s="5" t="s">
        <v>213</v>
      </c>
    </row>
    <row r="17" spans="1:2" ht="17" x14ac:dyDescent="0.2">
      <c r="A17" s="5" t="s">
        <v>214</v>
      </c>
      <c r="B17" s="5" t="s">
        <v>215</v>
      </c>
    </row>
    <row r="18" spans="1:2" ht="17" x14ac:dyDescent="0.2">
      <c r="A18" s="5" t="s">
        <v>216</v>
      </c>
      <c r="B18" s="5" t="s">
        <v>217</v>
      </c>
    </row>
    <row r="19" spans="1:2" ht="17" x14ac:dyDescent="0.2">
      <c r="A19" s="5" t="s">
        <v>218</v>
      </c>
      <c r="B19" s="5" t="s">
        <v>219</v>
      </c>
    </row>
    <row r="20" spans="1:2" ht="17" x14ac:dyDescent="0.2">
      <c r="A20" s="5" t="s">
        <v>220</v>
      </c>
      <c r="B20" s="5" t="s">
        <v>221</v>
      </c>
    </row>
    <row r="21" spans="1:2" ht="17" x14ac:dyDescent="0.2">
      <c r="A21" s="5" t="s">
        <v>222</v>
      </c>
      <c r="B21" s="5" t="s">
        <v>223</v>
      </c>
    </row>
    <row r="22" spans="1:2" ht="17" x14ac:dyDescent="0.2">
      <c r="A22" s="5" t="s">
        <v>224</v>
      </c>
      <c r="B22" s="5" t="s">
        <v>225</v>
      </c>
    </row>
    <row r="23" spans="1:2" ht="17" x14ac:dyDescent="0.2">
      <c r="A23" s="5" t="s">
        <v>226</v>
      </c>
      <c r="B23" s="5" t="s">
        <v>227</v>
      </c>
    </row>
    <row r="24" spans="1:2" ht="17" x14ac:dyDescent="0.2">
      <c r="A24" s="5" t="s">
        <v>228</v>
      </c>
      <c r="B24" s="5" t="s">
        <v>229</v>
      </c>
    </row>
    <row r="25" spans="1:2" ht="17" x14ac:dyDescent="0.2">
      <c r="A25" s="5" t="s">
        <v>230</v>
      </c>
      <c r="B25" s="5" t="s">
        <v>231</v>
      </c>
    </row>
    <row r="26" spans="1:2" ht="17" x14ac:dyDescent="0.2">
      <c r="A26" s="5" t="s">
        <v>232</v>
      </c>
      <c r="B26" s="5" t="s">
        <v>233</v>
      </c>
    </row>
    <row r="27" spans="1:2" ht="17" x14ac:dyDescent="0.2">
      <c r="A27" s="5" t="s">
        <v>234</v>
      </c>
      <c r="B27" s="5" t="s">
        <v>235</v>
      </c>
    </row>
    <row r="28" spans="1:2" ht="17" x14ac:dyDescent="0.2">
      <c r="A28" s="5" t="s">
        <v>236</v>
      </c>
      <c r="B28" s="5" t="s">
        <v>237</v>
      </c>
    </row>
    <row r="29" spans="1:2" ht="17" x14ac:dyDescent="0.2">
      <c r="A29" s="5" t="s">
        <v>238</v>
      </c>
      <c r="B29" s="5" t="s">
        <v>239</v>
      </c>
    </row>
    <row r="30" spans="1:2" ht="17" x14ac:dyDescent="0.2">
      <c r="A30" s="5" t="s">
        <v>240</v>
      </c>
      <c r="B30" s="5" t="s">
        <v>241</v>
      </c>
    </row>
    <row r="31" spans="1:2" ht="17" x14ac:dyDescent="0.2">
      <c r="A31" s="5" t="s">
        <v>242</v>
      </c>
      <c r="B31" s="5" t="s">
        <v>243</v>
      </c>
    </row>
    <row r="32" spans="1:2" ht="17" x14ac:dyDescent="0.2">
      <c r="A32" s="5" t="s">
        <v>244</v>
      </c>
      <c r="B32" s="5" t="s">
        <v>245</v>
      </c>
    </row>
    <row r="33" spans="1:2" ht="17" x14ac:dyDescent="0.2">
      <c r="A33" s="5" t="s">
        <v>246</v>
      </c>
      <c r="B33" s="5" t="s">
        <v>247</v>
      </c>
    </row>
    <row r="34" spans="1:2" ht="17" x14ac:dyDescent="0.2">
      <c r="A34" s="5" t="s">
        <v>248</v>
      </c>
      <c r="B34" s="5" t="s">
        <v>249</v>
      </c>
    </row>
    <row r="35" spans="1:2" ht="17" x14ac:dyDescent="0.2">
      <c r="A35" s="5" t="s">
        <v>250</v>
      </c>
      <c r="B35" s="5" t="s">
        <v>251</v>
      </c>
    </row>
    <row r="36" spans="1:2" ht="17" x14ac:dyDescent="0.2">
      <c r="A36" s="5" t="s">
        <v>252</v>
      </c>
      <c r="B36" s="5" t="s">
        <v>253</v>
      </c>
    </row>
    <row r="37" spans="1:2" ht="17" x14ac:dyDescent="0.2">
      <c r="A37" s="5" t="s">
        <v>254</v>
      </c>
      <c r="B37" s="5" t="s">
        <v>255</v>
      </c>
    </row>
    <row r="38" spans="1:2" ht="17" x14ac:dyDescent="0.2">
      <c r="A38" s="5" t="s">
        <v>256</v>
      </c>
      <c r="B38" s="5" t="s">
        <v>257</v>
      </c>
    </row>
    <row r="39" spans="1:2" ht="17" x14ac:dyDescent="0.2">
      <c r="A39" s="5" t="s">
        <v>258</v>
      </c>
      <c r="B39" s="5" t="s">
        <v>259</v>
      </c>
    </row>
    <row r="40" spans="1:2" ht="17" x14ac:dyDescent="0.2">
      <c r="A40" s="5" t="s">
        <v>260</v>
      </c>
      <c r="B40" s="5" t="s">
        <v>261</v>
      </c>
    </row>
    <row r="41" spans="1:2" ht="17" x14ac:dyDescent="0.2">
      <c r="A41" s="5" t="s">
        <v>262</v>
      </c>
      <c r="B41" s="5" t="s">
        <v>263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53.25" customHeight="1" x14ac:dyDescent="0.25">
      <c r="A1" s="6" t="s">
        <v>264</v>
      </c>
      <c r="B1" s="6"/>
    </row>
    <row r="2" spans="1:2" ht="60.25" customHeight="1" x14ac:dyDescent="0.2">
      <c r="A2" s="7" t="s">
        <v>265</v>
      </c>
      <c r="B2" s="3" t="s">
        <v>266</v>
      </c>
    </row>
    <row r="3" spans="1:2" ht="60.25" customHeight="1" x14ac:dyDescent="0.2">
      <c r="A3" s="7" t="s">
        <v>267</v>
      </c>
      <c r="B3" s="3" t="s">
        <v>268</v>
      </c>
    </row>
    <row r="4" spans="1:2" ht="60.25" customHeight="1" x14ac:dyDescent="0.2">
      <c r="A4" s="7" t="s">
        <v>269</v>
      </c>
      <c r="B4" s="3" t="s">
        <v>270</v>
      </c>
    </row>
    <row r="5" spans="1:2" ht="60.25" customHeight="1" x14ac:dyDescent="0.2">
      <c r="A5" s="7" t="s">
        <v>271</v>
      </c>
      <c r="B5" s="3" t="s">
        <v>272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2026-08-01T14:43:55Z</dcterms:modified>
</cp:coreProperties>
</file>