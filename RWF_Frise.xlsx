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dfbe8f764d947a3" /></Relationships>
</file>

<file path=xl/workbook.xml><?xml version="1.0" encoding="utf-8"?>
<x:workbook xmlns:x="http://schemas.openxmlformats.org/spreadsheetml/2006/main">
  <x:sheets>
    <x:sheet xmlns:r="http://schemas.openxmlformats.org/officeDocument/2006/relationships" name="Périodes" sheetId="1" r:id="R0ff2b39701f746c7"/>
    <x:sheet xmlns:r="http://schemas.openxmlformats.org/officeDocument/2006/relationships" name="Années" sheetId="2" r:id="Rc266c3980de040f8"/>
    <x:sheet xmlns:r="http://schemas.openxmlformats.org/officeDocument/2006/relationships" name="Sources générales" sheetId="5" r:id="Rd49601a0534b43ff"/>
    <x:sheet xmlns:r="http://schemas.openxmlformats.org/officeDocument/2006/relationships" name="Référentiel films" sheetId="3" r:id="R79559e2b85bd4484"/>
    <x:sheet xmlns:r="http://schemas.openxmlformats.org/officeDocument/2006/relationships" name="Mode_emploi" sheetId="4" r:id="R1e48d41e5b2a461c"/>
  </x:sheets>
</x:workbook>
</file>

<file path=xl/sharedStrings.xml><?xml version="1.0" encoding="utf-8"?>
<x:sst xmlns:x="http://schemas.openxmlformats.org/spreadsheetml/2006/main">
  <x:si>
    <x:t xml:space="preserve">ID période</x:t>
  </x:si>
  <x:si>
    <x:t xml:space="preserve">Titre période</x:t>
  </x:si>
  <x:si>
    <x:t xml:space="preserve">question directrice</x:t>
  </x:si>
  <x:si>
    <x:t xml:space="preserve">Événement histoire et politique</x:t>
  </x:si>
  <x:si>
    <x:t xml:space="preserve">Contexte culturel</x:t>
  </x:si>
  <x:si>
    <x:t xml:space="preserve">Biographie de Fassbinder</x:t>
  </x:si>
  <x:si>
    <x:t xml:space="preserve">Œuvres</x:t>
  </x:si>
  <x:si>
    <x:t xml:space="preserve">ID films - Œuvres</x:t>
  </x:si>
  <x:si>
    <x:t xml:space="preserve">Analyse et réception critique</x:t>
  </x:si>
  <x:si>
    <x:t xml:space="preserve">Liens</x:t>
  </x:si>
  <x:si>
    <x:t xml:space="preserve">Citation</x:t>
  </x:si>
  <x:si>
    <x:t xml:space="preserve">Image</x:t>
  </x:si>
  <x:si>
    <x:t xml:space="preserve">Legende</x:t>
  </x:si>
  <x:si>
    <x:t xml:space="preserve">Notion</x:t>
  </x:si>
  <x:si>
    <x:t xml:space="preserve">1945-1946</x:t>
  </x:si>
  <x:si>
    <x:t xml:space="preserve">Les ruines l'Heure zéro</x:t>
  </x:si>
  <x:si>
    <x:t xml:space="preserve">Le "point zéro" de l'histoire de l'Allemagne d'après-guerre est-il un point zéro pour la vie et l'œuvre de RWF ?</x:t>
  </x:si>
  <x:si>
    <x:t xml:space="preserve">Naissance de Rainer Werner Fassbinder le 31 mai à Bad Wörishofen, Bavière.</x:t>
  </x:si>
  <x:si>
    <x:r>
      <x:rPr>
        <x:sz val="1000"/>
        <x:color rgb="FF000000"/>
      </x:rPr>
      <x:t xml:space="preserve">L'œuvre de Fassbinder proposera plus tard une radiographie critique de ce "point zéro" de la nouvelle Allemagne, notamment dans </x:t>
    </x:r>
    <x:r>
      <x:rPr>
        <x:i/>
        <x:sz val="1000"/>
        <x:color rgb="FF000000"/>
        <x:rFont val="Arial"/>
        <x:family val="2"/>
      </x:rPr>
      <x:t xml:space="preserve">Le mariage de Maria Braun</x:t>
    </x:r>
  </x:si>
  <x:si>
    <x:t xml:space="preserve">Les génériques de Fassbinder</x:t>
  </x:si>
  <x:si>
    <x:t xml:space="preserve">"Nous devons nous débarrasser du passé pour construire l'avenir". Konrad Adenauer</x:t>
  </x:si>
  <x:si>
    <x:t xml:space="preserve">Allemagne_zones.jpeg</x:t>
  </x:si>
  <x:si>
    <x:t xml:space="preserve">Le découpage de l'Allemagne et de Berlin en 4 zones d'occupation alliée</x:t>
  </x:si>
  <x:si>
    <x:t xml:space="preserve">1947-1960</x:t>
  </x:si>
  <x:si>
    <x:t xml:space="preserve">Le miracle économique</x:t>
  </x:si>
  <x:si>
    <x:t xml:space="preserve">Comment l'Allemagne de l'ouest a-t-elle pu devenir une des premières nations industrielles capitalistes et une démocratie alors même qu'elle était marquée par le provincialisme, l'absence de morale et l'hypocrisie ? </x:t>
  </x:si>
  <x:si>
    <x:t xml:space="preserve">Enfance marquée par le divorce de ses parents (1951) et l'absence du père. Passion précoce pour le cinéma (refuge). Première lecture de Berlin Alexanderplatz vers 14 ans.</x:t>
  </x:si>
  <x:si>
    <x:r>
      <x:rPr>
        <x:sz val="1000"/>
        <x:color rgb="FF000000"/>
      </x:rPr>
      <x:t xml:space="preserve">Jochen et ses collègues, dans </x:t>
    </x:r>
    <x:r>
      <x:rPr>
        <x:i/>
        <x:sz val="1000"/>
        <x:color rgb="FF000000"/>
        <x:rFont val="Arial"/>
        <x:family val="2"/>
      </x:rPr>
      <x:t xml:space="preserve">Huit heures ne font pas un jour, </x:t>
    </x:r>
    <x:r>
      <x:rPr>
        <x:sz val="1000"/>
        <x:color rgb="FF000000"/>
        <x:rFont val="Arial"/>
        <x:family val="2"/>
      </x:rPr>
      <x: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x:t>
    </x:r>
    <x:r>
      <x:rPr>
        <x:i/>
        <x:sz val="1000"/>
        <x:color rgb="FF000000"/>
        <x:rFont val="Arial"/>
        <x:family val="2"/>
      </x:rPr>
      <x:t xml:space="preserve">Huit heures ne font pas un jour</x:t>
    </x:r>
    <x:r>
      <x:rPr>
        <x:sz val="1000"/>
        <x:color rgb="FF000000"/>
        <x:rFont val="Arial"/>
        <x:family val="2"/>
      </x:rPr>
      <x:t xml:space="preserve">, l'ascension de </x:t>
    </x:r>
    <x:r>
      <x:rPr>
        <x:i/>
        <x:sz val="1000"/>
        <x:color rgb="FF000000"/>
        <x:rFont val="Arial"/>
        <x:family val="2"/>
      </x:rPr>
      <x:t xml:space="preserve">Maria Braun)</x:t>
    </x:r>
  </x:si>
  <x:si>
    <x:t xml:space="preserve">De l’année zéro au miracle économique|https://youtu.be/BC4BffkWyY8?si=e80MWCLF0K9Fgiub; Jalousie de Catharina Valente|https://youtu.be/-ugDTj7UFtU?si=vzGNySrsaYGKZW0k</x:t>
  </x:si>
  <x:si>
    <x:t xml:space="preserve">l-industrie-de-l-industrie-automobile-l-usine-volkswagen-vue-de-l-interieur-usine-wolfsburg-vers-1950.jpg</x:t>
  </x:si>
  <x:si>
    <x:t xml:space="preserve">1961-1966</x:t>
  </x:si>
  <x:si>
    <x:t xml:space="preserve">naissance du Nouveau cinéma allemand</x:t>
  </x:si>
  <x:si>
    <x:t xml:space="preserve">Que serait un cinéma nouveau prenant à bras le corps l'histoire de l'Allemagne et du cinéma, tout en s'en détachant ? </x:t>
  </x:si>
  <x:si>
    <x:t xml:space="preserve">Échec au concours d'entrée de la DFFB. Rencontre Hanna Schygulla et Irm Hermann dans un cours d'art dramatique. Rejoint l'Action-Theater (1967).</x:t>
  </x:si>
  <x:si>
    <x:t xml:space="preserve">Réalise ses premiers courts métrages : This Night (1966) et Le Clochard (1966). Confrontation de la mémoire de la Shoah.</x:t>
  </x:si>
  <x:si>
    <x:t xml:space="preserve">Documentaire sur le nouveau cinéma allemand</x:t>
  </x:si>
  <x:si>
    <x:t xml:space="preserve">"Le cinéma de Papa est mort. Nous croyons au nouveau cinéma " Manifeste d'Oberhausen (1962)
« Toute une génération exorcisa son enfance déjà presque oubliée en soulignant sans répit combien étaient encombrantes et dévastatrices les ombres que le passé des parents avaient jetées sur le présent de leurs enfants ».Thomas Elsaesser, RWF un cinéaste d'Allemagne (2005) p.201</x:t>
  </x:si>
  <x:si>
    <x:t xml:space="preserve">1967-1970</x:t>
  </x:si>
  <x:si>
    <x:t xml:space="preserve">Antitheater et politisation</x:t>
  </x:si>
  <x:si>
    <x:t xml:space="preserve">Qu'-est-ce qu'un cinéaste engagé ? </x:t>
  </x:si>
  <x:si>
    <x:t xml:space="preserve">Fonde l' antiteater (1968). Collaboration intense avec sa "troupe" (Schygulla, Hermann, Raab, Baer, Lommel). Mariage avec Ingrid Caven (1970).</x:t>
  </x:si>
  <x:si>
    <x:t xml:space="preserve">L'amour est plus froid que la mort (1969),  Le Bouc (1969)</x:t>
  </x:si>
  <x:si>
    <x:r>
      <x:rPr>
        <x:i/>
        <x:sz val="1200"/>
        <x:color theme="1"/>
        <x:rFont val="Aptos Narrow"/>
      </x:rPr>
      <x:t xml:space="preserve">Le bouc</x:t>
    </x:r>
    <x:r>
      <x:rPr>
        <x:sz val="1200"/>
        <x:color theme="1"/>
        <x:rFont val="Aptos Narrow"/>
      </x:rPr>
      <x:t xml:space="preserve"> est un tournant  tant en termes de reconnaissance que du point de vue économique. Le film aborde des problématiques contemporaines (sort des travailleurs immigrés) et des thématiques chères à RWF (l'univers étriqué de la bourgeoisie, en particulière bavaroise). </x:t>
    </x:r>
  </x:si>
  <x:si>
    <x:t xml:space="preserve">1971-1974</x:t>
  </x:si>
  <x:si>
    <x:t xml:space="preserve">Terrorisme et mélodrame</x:t>
  </x:si>
  <x:si>
    <x:t xml:space="preserve">Comment faire du cinéma allemand hollywoodien, qui attire et séduise le public le plus large tout en l'amenant à l'analyse et à la réflexion, sans didactisme ? </x:t>
  </x:si>
  <x:si>
    <x:t xml:space="preserve">Découverte des mélodrames de Douglas Sirk grâce à Peer Raben .Liaison avec El Hedi ben Salem. Direction du TAT à Francfort. Collaboration avec le caméraman Michael Ballhaus. Succès international. Les films de RWF deviennent incontournables dans les grands festivals internationaux (Cannes, Venise, Berlin). </x:t>
  </x:si>
  <x:si>
    <x:t xml:space="preserve">Période Sirkienne : Le Marchand des quatre saisons (1971). Tous les autres s'appellent Ali (1974, succès mondial à Cannes) : critique du racisme ordinaire. Martha (1974).</x:t>
  </x:si>
  <x:si>
    <x:t xml:space="preserve">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figées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x:t>
  </x:si>
  <x:si>
    <x:t xml:space="preserve">1975-1976</x:t>
  </x:si>
  <x:si>
    <x:t xml:space="preserve">Comment le rapport dominant/dominé structure-t-il toute relation, affective ou sociale ? </x:t>
  </x:si>
  <x:si>
    <x:t xml:space="preserve">Scandale théâtral autour de la pièce L'Ordure, la ville et la mort (accusations d'antisémitisme). Liaison avec Armin Meier.</x:t>
  </x:si>
  <x:si>
    <x:t xml:space="preserve">Maman Küsters s'en va au ciel (1975). Le Droit du plus fort (1975) : </x:t>
  </x:si>
  <x:si>
    <x:t xml:space="preserve">Fassbinder y joue un rôle principal, assumant une visibilité politique de son homosexualité.</x:t>
  </x:si>
  <x:si>
    <x:t xml:space="preserve">1977-1979</x:t>
  </x:si>
  <x:si>
    <x:t xml:space="preserve">Le retour de l'histoire</x:t>
  </x:si>
  <x:si>
    <x:t xml:space="preserve">Jusqu'à quel point les femmes de la trilogie RFA sont-elles une allégorie de la nation allemande ? Quelle distance RWF prend-il avec la critique historique de son pays ? </x:t>
  </x:si>
  <x:si>
    <x:t xml:space="preserve">Suicide d'Armin Meier (31 mai 1978). Début de la collaboration avec Juliane Lorenz. Fassbinder se filme en crise, exposant son angoisse face à l'État.</x:t>
  </x:si>
  <x:si>
    <x:t xml:space="preserve">L'Année des treize lunes (1978) : œuvre radicale sur le désespoir. Le Mariage de Maria Braun (1979) : triomphe international, allégorie de la reconstruction.</x:t>
  </x:si>
  <x:si>
    <x:t xml:space="preserve">le cinéaste Edgar Reitz affirme la nécessité " de films, de livres, d'images qui nous fassent reprendre connaissance et rétablissent nos réflexes", Medium, 5/1979, p.21</x:t>
  </x:si>
  <x:si>
    <x:t xml:space="preserve">mélodrame</x:t>
  </x:si>
  <x:si>
    <x:t xml:space="preserve">1980-1981</x:t>
  </x:si>
  <x:si>
    <x:t xml:space="preserve">La fin d'un ère</x:t>
  </x:si>
  <x:si>
    <x:t xml:space="preserve">Quelles ambitions pour la série télévisuelle ?</x:t>
  </x:si>
  <x:si>
    <x:t xml:space="preserve">Travaille frénétiquement. Réalise son projet de vie : l'adaptation de Döblin. Épuisement physique dû aux excès.</x:t>
  </x:si>
  <x:si>
    <x:t xml:space="preserve">Monumental Berlin Alexanderplatz (1980, 15h). Suite de la Trilogie de la RFA : Lola, une femme allemande (1981) et Lili Marleen (1981).</x:t>
  </x:si>
  <x:si>
    <x:t xml:space="preserve">La mort du Maître</x:t>
  </x:si>
  <x:si>
    <x:t xml:space="preserve">RWF, figure du collectif  politique des années 60 et 70 ou d'héritier de la figure du génie romantique et du poète maudit ? Auteur ou cinéaste populaire ? </x:t>
  </x:si>
  <x:si>
    <x:t xml:space="preserve">Décès de Fassbinder le 10 juin à Munich, à l'âge de 37 ans (épuisement et overdose).</x:t>
  </x:si>
  <x:si>
    <x:t xml:space="preserve">Le Secret de Veronika Voss (Ours d'Or à Berlin). Querelle (œuvre posthume). Fassbinder laisse un héritage de plus de 40 films.</x:t>
  </x:si>
  <x:si>
    <x:t xml:space="preserve">Année</x:t>
  </x:si>
  <x:si>
    <x:t xml:space="preserve">Analyse et Réception critique</x:t>
  </x:si>
  <x:si>
    <x:t xml:space="preserve">Extraits</x:t>
  </x:si>
  <x:si>
    <x:t xml:space="preserve">Description de l'extrait</x:t>
  </x:si>
  <x:si>
    <x:t xml:space="preserve">Consigne d'analyse</x:t>
  </x:si>
  <x:si>
    <x:t xml:space="preserve">Image 1</x:t>
  </x:si>
  <x:si>
    <x:t xml:space="preserve">Légende 1</x:t>
  </x:si>
  <x:si>
    <x:t xml:space="preserve">Image 2</x:t>
  </x:si>
  <x:si>
    <x:t xml:space="preserve">Légende 2</x:t>
  </x:si>
  <x:si>
    <x:t xml:space="preserve">Image 3</x:t>
  </x:si>
  <x:si>
    <x:t xml:space="preserve">Légende 3</x:t>
  </x:si>
  <x:si>
    <x:t xml:space="preserve">Source</x:t>
  </x:si>
  <x:si>
    <x:t xml:space="preserve">IDs films — Œuvres</x:t>
  </x:si>
  <x:si>
    <x:t xml:space="preserve">Naissance de Rainer Werner Fassbinder le 31 mai à Bad Wörishofen, Bavière. Père médecin généraliste, mère traductrice. Première année passée chez son oncle paternel</x:t>
  </x:si>
  <x:si>
    <x:t xml:space="preserve">Le couple Fassbinder prend l'enfant avec eux à Munich. Une partie de la famille vit dans le même appartement, notamment la grand-mère de Rainer. </x:t>
  </x:si>
  <x:si>
    <x:t xml:space="preserve">Le procès de Nuremberg</x:t>
  </x:si>
  <x:si>
    <x:t xml:space="preserve">Elsaesser, Wikipedia</x:t>
  </x:si>
  <x:si>
    <x:t xml:space="preserve">Le blocus de Berlin en 3 minutes</x:t>
  </x:si>
  <x:si>
    <x:t xml:space="preserve">Allemagne_annee_0_Reichstag.mp4</x:t>
  </x:si>
  <x:si>
    <x:r>
      <x:rPr>
        <x:i/>
        <x:sz val="1000"/>
        <x:color rgb="FF000000"/>
      </x:rPr>
      <x:t xml:space="preserve">Allemagne année zéro </x:t>
    </x:r>
    <x:r>
      <x:rPr>
        <x:sz val="1000"/>
        <x:color rgb="FF000000"/>
        <x:rFont val="Arial"/>
        <x:family val="2"/>
      </x:rPr>
      <x:t xml:space="preserve">de Rossellini (1948) ) Le protagoniste Edmund tente de vendre un enregistrement d'un discours d'Hitler sur disque à des soldats alliés. La voix du Fürher se met à résonner dans les ruines du Reichstag, siège du parlement incendié en 1933</x:t>
    </x:r>
  </x:si>
  <x:si>
    <x:t xml:space="preserve">Comment Rossellini traduit-il une relation complexe avec l'Histoire, entre fascination, terreur, et hantise ?</x:t>
  </x:si>
  <x:si>
    <x:t xml:space="preserve">Bande Annonce de Fatherland de Pavel Pawlikoski</x:t>
  </x:si>
  <x:si>
    <x:t xml:space="preserve">Adenauer.jpeg</x:t>
  </x:si>
  <x:si>
    <x:t xml:space="preserve">Portrait d'Adenauer</x:t>
  </x:si>
  <x:si>
    <x:t xml:space="preserve">La mère de Fassbinder Lisolette Eder, née Pempeit, dite aussi Lilo Pempeit, est hospitalisée pour cause de tuberculose. </x:t>
  </x:si>
  <x:si>
    <x:t xml:space="preserve">,,,,,,,,,,,,,,,,,,,,,,,,,,,,,,,,,,,,,,,,,,,,,,,,,,,,,,,,,,,,,,,,,,,,,,,,,,,,,,,,,,,,,,,,,,,,,,,,,,,,,,,,,,,,,,,,,,,,,,,,,,,,,,,,,,,,,,,,,,,,,,,,,,,,,,,,,,,,,,,,,,,,,,,,,,,,,,,,,,,,,,,,,,,,,,,,,,,,,,,,,,,,,,,,,,,,,,,,,,,,,</x:t>
  </x:si>
  <x:si>
    <x:t xml:space="preserve">Divorce des parents. Le père de RWF, Helmut Fassbinder, s'installe à Cologne. RWF reste à Munich avec sa mère. </x:t>
  </x:si>
  <x:si>
    <x:t xml:space="preserve">La mère de RWF l'inscrit dans une école Rudolf Steiner. Nbx séjours de la mère à l'hopital ou en sanatorium. RWF est confié à des voisins ou parents. Il commence à fréquenter assidument les salles de cinéma. </x:t>
  </x:si>
  <x:si>
    <x:t xml:space="preserve">Fassbinder_enfant.jpeg</x:t>
  </x:si>
  <x:si>
    <x:t xml:space="preserve">Fassbinder enfant</x:t>
  </x:si>
  <x:si>
    <x:t xml:space="preserve">La révolte des ouvriers est-allemands</x:t>
  </x:si>
  <x:si>
    <x:r>
      <x:rPr>
        <x:i/>
        <x:sz val="1000"/>
        <x:color rgb="FF000000"/>
      </x:rPr>
      <x:t xml:space="preserve">Sissi</x:t>
    </x:r>
    <x:r>
      <x:rPr>
        <x:sz val="1000"/>
        <x:color rgb="FF000000"/>
        <x:rFont val="Arial"/>
        <x:family val="2"/>
      </x:rPr>
      <x:t xml:space="preserve"> d'Ernst Marischka avec Romy Schneider et Karlheinz Böhm, qui deviendra un acteur récurrent du cinéma de Fassbinder </x:t>
    </x:r>
  </x:si>
  <x:si>
    <x:t xml:space="preserve">Bande Annonce de Sissi (1955)</x:t>
  </x:si>
  <x:si>
    <x:t xml:space="preserve">Bohm.jpg</x:t>
  </x:si>
  <x:si>
    <x:t xml:space="preserve">Karlheinz Böhm</x:t>
  </x:si>
  <x:si>
    <x:t xml:space="preserve">RWF est lycéen à Munich. </x:t>
  </x:si>
  <x:si>
    <x:r>
      <x:rPr>
        <x:sz val="1000"/>
        <x:color rgb="FF000000"/>
      </x:rPr>
      <x:t xml:space="preserve">Décès de Bertold Brecht
</x:t>
    </x:r>
    <x:r>
      <x:rPr>
        <x:i/>
        <x:sz val="1000"/>
        <x:color rgb="FF000000"/>
        <x:rFont val="Arial"/>
        <x:family val="2"/>
      </x:rPr>
      <x:t xml:space="preserve">Nuit et brouillard </x:t>
    </x:r>
    <x:r>
      <x:rPr>
        <x:sz val="1000"/>
        <x:color rgb="FF000000"/>
        <x:rFont val="Arial"/>
        <x:family val="2"/>
      </x:rPr>
      <x:t xml:space="preserve">d'Alain Resnais. </x:t>
    </x:r>
  </x:si>
  <x:si>
    <x:t xml:space="preserve">RWF est pensionnaire à Augsbourg, sa mère étant hospitalisée pendant près de deux ans à la suite d'une opération. Il continue à fréquenter les salles obscures. Il voit toutes sortes de film sans distinction, des films noirs américains doublés en allemand, des films pornos sans budget qui se développent à partir de 1960. Le cinéma hollywoodien est alors plutôt dénigré par la bourgeoisie.</x:t>
  </x:si>
  <x:si>
    <x:t xml:space="preserve">découvrir Brecht avec l'INA</x:t>
  </x:si>
  <x:si>
    <x:r>
      <x:rPr>
        <x:i/>
        <x:sz val="1000"/>
        <x:color rgb="FF000000"/>
        <x:rFont val="Arial"/>
        <x:family val="2"/>
      </x:rPr>
      <x:t xml:space="preserve">L'opéra de quat'sous</x:t>
    </x:r>
    <x:r>
      <x:rPr>
        <x:sz val="1000"/>
        <x:color rgb="FF000000"/>
        <x:rFont val="Arial"/>
        <x:family val="2"/>
      </x:rPr>
      <x:t xml:space="preserve"> de Brecht (1928) est diffusé à la télévision est obient un taux d'audience de 81,2%. 
L'appel à boycotter les pièces de Brecht est refusé par la plupart des théâtres ouest-allemands. </x:t>
    </x:r>
  </x:si>
  <x:si>
    <x:r>
      <x:rPr>
        <x:sz val="1000"/>
        <x:color rgb="FF000000"/>
      </x:rPr>
      <x:t xml:space="preserve">La vogue du </x:t>
    </x:r>
    <x:r>
      <x:rPr>
        <x:i/>
        <x:sz val="1000"/>
        <x:color rgb="FF000000"/>
        <x:rFont val="Arial"/>
        <x:family val="2"/>
      </x:rPr>
      <x:t xml:space="preserve">hula-hoop </x:t>
    </x:r>
    <x:r>
      <x:rPr>
        <x:sz val="1000"/>
        <x:color rgb="FF000000"/>
        <x:rFont val="Arial"/>
        <x:family val="2"/>
      </x:rPr>
      <x:t xml:space="preserve">déferle sur l'Allemagne</x:t>
    </x:r>
  </x:si>
  <x:si>
    <x:t xml:space="preserve">Remariage de Lilo avec un journaliste, Wolff Eder. Relations difficiles entre RWF et son beau-père. 
RWF revient à Munich mais vit dans un pensionnat.
RWF commence à assumer ouvertement son homosexualité, fait rare pour l'époque.</x:t>
  </x:si>
  <x:si>
    <x:r>
      <x:rPr>
        <x:sz val="1000"/>
        <x:color theme="1"/>
      </x:rPr>
      <x:t xml:space="preserve">Les œuvres de Fassbinder témoignent de l'influence du Rock'nRoll sur la culture populaire ouest-allemande, notamment dans </x:t>
    </x:r>
    <x:r>
      <x:rPr>
        <x:i/>
        <x:sz val="1000"/>
        <x:color theme="1"/>
        <x:rFont val="Arial"/>
        <x:family val="2"/>
      </x:rPr>
      <x:t xml:space="preserve">huit heures ne font pas un jour. </x:t>
    </x:r>
  </x:si>
  <x:si>
    <x:r>
      <x:rPr>
        <x:sz val="1000"/>
        <x:color rgb="FF000000"/>
      </x:rPr>
      <x:t xml:space="preserve">Fin de la série télévisée </x:t>
    </x:r>
    <x:r>
      <x:rPr>
        <x:i/>
        <x:sz val="1000"/>
        <x:color rgb="FF000000"/>
        <x:rFont val="Arial"/>
        <x:family val="2"/>
      </x:rPr>
      <x:t xml:space="preserve">Die familie Schölermann </x:t>
    </x:r>
    <x:r>
      <x:rPr>
        <x:sz val="1000"/>
        <x:color rgb="FF000000"/>
        <x:rFont val="Arial"/>
        <x:family val="2"/>
      </x:rPr>
      <x:t xml:space="preserve">(111 épisodes depuis 1954), extrêmement populaire (70% à 90% d'audience). Elle est remplacée par un nouveau feuilleton </x:t>
    </x:r>
    <x:r>
      <x:rPr>
        <x:i/>
        <x:sz val="1000"/>
        <x:color rgb="FF000000"/>
        <x:rFont val="Arial"/>
        <x:family val="2"/>
      </x:rPr>
      <x:t xml:space="preserve">Die Firma Hesselbach</x:t>
    </x:r>
  </x:si>
  <x:si>
    <x:t xml:space="preserve">RWF commence à écrire des nouvelles et de petites pièces de théâtre</x:t>
  </x:si>
  <x:si>
    <x:t xml:space="preserve">RWF interrompt ses études avant le baccalauréat. Il rejoint son père à Cologne. Il collecte pour lui des loyers dans des immeubles principalement occupés par des Gastarbeiters (travaillers "invités" c'est-à-dire immigrés). RWF prend des cours du soir, écrit, f'équente les bars homosexuels. </x:t>
  </x:si>
  <x:si>
    <x:t xml:space="preserve">A l'occasion du festival du film documentaire d'Oberhausen, publication du Manifeste d'Oberhausen : naissance du Nouveau Cinéma Allemand ("Le vieux cinéma est mort").
Les Beatles entament eur carrière par un concert à Hambourg</x:t>
  </x:si>
  <x:si>
    <x:r>
      <x:rPr>
        <x:sz val="1000"/>
        <x:color theme="1"/>
      </x:rPr>
      <x:t xml:space="preserve">"Représenter l'Allemagne, ce n'est pas seulement adopter une position critique, c'est inventer une nouvelle manière". </x:t>
    </x:r>
    <x:r>
      <x:rPr>
        <x:i/>
        <x:sz val="1000"/>
        <x:color theme="1"/>
        <x:rFont val="Arial"/>
        <x:family val="2"/>
      </x:rPr>
      <x:t xml:space="preserve">R. W. Fassbinder, cinéaste d’Allemagne</x:t>
    </x:r>
    <x:r>
      <x:rPr>
        <x:sz val="1000"/>
        <x:color theme="1"/>
        <x:rFont val="Arial"/>
        <x:family val="2"/>
      </x:rPr>
      <x:t xml:space="preserve">, de Thomas Elsaesser, Centre Pompidou, 2005, p.26</x:t>
    </x:r>
  </x:si>
  <x:si>
    <x:r>
      <x:rPr>
        <x:sz val="1000"/>
        <x:color rgb="FF000000"/>
      </x:rPr>
      <x:t xml:space="preserve">Jean-Marie Straub sort son premier court-métrage, </x:t>
    </x:r>
    <x:r>
      <x:rPr>
        <x:i/>
        <x:sz val="1000"/>
        <x:color rgb="FF000000"/>
        <x:rFont val="Arial"/>
        <x:family val="2"/>
      </x:rPr>
      <x:t xml:space="preserve">Machorka Muff,</x:t>
    </x:r>
    <x:r>
      <x:rPr>
        <x:sz val="1000"/>
        <x:color rgb="FF000000"/>
        <x:rFont val="Arial"/>
        <x:family val="2"/>
      </x:rPr>
      <x:t xml:space="preserve"> d'après un roman d'Heinrich Böll.
Création de la deuxième chaîne de télévision ouest-allemande, la ZDF.
Hannah Arendt, qui a suivi le procès d'Eichmann pour la revue Le New-Yorke</x:t>
    </x:r>
    <x:r>
      <x:rPr>
        <x:i/>
        <x:sz val="1000"/>
        <x:color rgb="FF000000"/>
        <x:rFont val="Arial"/>
        <x:family val="2"/>
      </x:rPr>
      <x:t xml:space="preserve">r</x:t>
    </x:r>
    <x:r>
      <x:rPr>
        <x:sz val="1000"/>
        <x:color rgb="FF000000"/>
        <x:rFont val="Arial"/>
        <x:family val="2"/>
      </x:rPr>
      <x:t xml:space="preserve">,  publie </x:t>
    </x:r>
    <x:r>
      <x:rPr>
        <x:i/>
        <x:sz val="1000"/>
        <x:color rgb="FF000000"/>
        <x:rFont val="Arial"/>
        <x:family val="2"/>
      </x:rPr>
      <x:t xml:space="preserve">Eichmann à Jérusalem : Rapport sur la banalité du mal</x:t>
    </x:r>
    <x:r>
      <x:rPr>
        <x:sz val="1000"/>
        <x:color rgb="FF000000"/>
        <x:rFont val="Arial"/>
        <x:family val="2"/>
      </x:rPr>
      <x:t xml:space="preserve">
Alexander Mitscherlich publie</x:t>
    </x:r>
    <x:r>
      <x:rPr>
        <x:i/>
        <x:sz val="1000"/>
        <x:color rgb="FF000000"/>
        <x:rFont val="Arial"/>
        <x:family val="2"/>
      </x:rPr>
      <x:t xml:space="preserve"> La société sans père </x:t>
    </x:r>
    <x:r>
      <x:rPr>
        <x:sz val="1000"/>
        <x:color rgb="FF000000"/>
        <x:rFont val="Arial"/>
        <x:family val="2"/>
      </x:rPr>
      <x: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entraine l'expression, plus ou moins anarchique et violente, des forces pulsionnelles négatives. celles-ci sont le fait d'une autorité sociale dont les contraintes paraissent de plus en plus absurdes et répressives puisqu'elles ne sont plus intégrées par l'identificaion à une figure individuelle affective. </x:t>
    </x:r>
  </x:si>
  <x:si>
    <x:t xml:space="preserve">RWF retourne à Munich et contitnue d'écire, pièces, romans, scénarios. Il travaille quelques temps au département documentation au journal Südedeutsche Zeitung . 
RWF prend des cours privés de théâtre.</x:t>
  </x:si>
  <x:si>
    <x:t xml:space="preserve">Portrait de Straub et carrière</x:t>
  </x:si>
  <x:si>
    <x:t xml:space="preserve">Machorka Muff de Jean-Marie Straub</x:t>
  </x:si>
  <x:si>
    <x:t xml:space="preserve">Court-métrage de Jean-Marie Straub. Straub exercera une influence certaine sur le début de carrière de RWF. Le court-métrage s'inscrit dans une réflexion sur le passé nazi de l'Allemagne et dénonce la remilitarisation de l'Allemagne. </x:t>
  </x:si>
  <x:si>
    <x:t xml:space="preserve">Jean-Marie Straub.jpg</x:t>
  </x:si>
  <x:si>
    <x:t xml:space="preserve">Jean-Marie Straub</x:t>
  </x:si>
  <x:si>
    <x:t xml:space="preserve">RWF s'inscrit à l'école d'art dramatique Fridl Loeonhard</x:t>
  </x:si>
  <x:si>
    <x:r>
      <x:rPr>
        <x:sz val="1000"/>
        <x:color rgb="FF000000"/>
      </x:rPr>
      <x:t xml:space="preserve">Réalise ses premiers courts métrages : </x:t>
    </x:r>
    <x:r>
      <x:rPr>
        <x:i/>
        <x:sz val="1000"/>
        <x:color rgb="FF000000"/>
        <x:rFont val="Arial"/>
        <x:family val="2"/>
      </x:rPr>
      <x:t xml:space="preserve">This Night</x:t>
    </x:r>
    <x:r>
      <x:rPr>
        <x:sz val="1000"/>
        <x:color rgb="FF000000"/>
        <x:rFont val="Arial"/>
        <x:family val="2"/>
      </x:rPr>
      <x:t xml:space="preserve"> (1966) et </x:t>
    </x:r>
    <x:r>
      <x:rPr>
        <x:i/>
        <x:sz val="1000"/>
        <x:color rgb="FF000000"/>
        <x:rFont val="Arial"/>
        <x:family val="2"/>
      </x:rPr>
      <x:t xml:space="preserve">Le Clochard </x:t>
    </x:r>
    <x:r>
      <x:rPr>
        <x:sz val="1000"/>
        <x:color rgb="FF000000"/>
        <x:rFont val="Arial"/>
        <x:family val="2"/>
      </x:rPr>
      <x:t xml:space="preserve">(1966). Confrontation de la mémoire de la Shoah.</x:t>
    </x:r>
  </x:si>
  <x:si>
    <x:r>
      <x:rPr>
        <x:sz val="1000"/>
        <x:color rgb="FF000000"/>
      </x:rPr>
      <x:t xml:space="preserve">La parution du </x:t>
    </x:r>
    <x:r>
      <x:rPr>
        <x:i/>
        <x:sz val="1000"/>
        <x:color rgb="FF000000"/>
        <x:rFont val="Arial"/>
        <x:family val="2"/>
      </x:rPr>
      <x:t xml:space="preserve">Deuil impossible</x:t>
    </x:r>
    <x:r>
      <x:rPr>
        <x:sz val="1000"/>
        <x:color rgb="FF000000"/>
        <x:rFont val="Arial"/>
        <x:family val="2"/>
      </x:rPr>
      <x:t xml:space="preserve"> de Alexander et Margarete Mitscherlich fait scandale. A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règnent RFA, le refoulement dedu passé. L'ouvrage exercce une influence sur les artistes allemands de l'époque. 
Une réflexion sur la mémoire et l'oubli qui n'a rien perdu de son actualité</x:t>
    </x:r>
  </x:si>
  <x:si>
    <x:t xml:space="preserve">Rejoint l'Action-Theater (1967).</x:t>
  </x:si>
  <x:si>
    <x:t xml:space="preserve">Petit chaos, court-métrage</x:t>
  </x:si>
  <x:si>
    <x:t xml:space="preserve">Premier film accueili froidement à Berlin. Le second,une critique de la xénophobie et de l'apathie bourgeoise,  remporte 5 distinctions cinématographiques en Allemagne. Le coût de production de 80000 marks est largement couvert : avec 650000 malrs de prix et 200000 marks de subventions a posteri, le film assure à RWF de quoi poursuivre son travail pour quelques années. </x:t>
  </x:si>
  <x:si>
    <x:r>
      <x:rPr>
        <x:i/>
        <x:sz val="1000"/>
        <x:color rgb="FF000000"/>
        <x:rFont val="Arial"/>
        <x:family val="2"/>
      </x:rPr>
      <x:t xml:space="preserve">Les damnés</x:t>
    </x:r>
    <x:r>
      <x:rPr>
        <x:sz val="1000"/>
        <x:color rgb="FF000000"/>
        <x:rFont val="Arial"/>
        <x:family val="2"/>
      </x:rPr>
      <x:t xml:space="preserve">, mélodrame de Visconti, travaille à interroger le régime nazi et sla manière dont l'imagerie nazie, qui érotise de manière spectaculaire le pouvoir, contamine moralement les esprits. L'éloignement du néoréalisme est maximal.</x:t>
    </x:r>
  </x:si>
  <x:si>
    <x:r>
      <x:rPr>
        <x:i/>
        <x:sz val="1000"/>
        <x:color rgb="FF000000"/>
        <x:rFont val="Arial"/>
        <x:family val="2"/>
      </x:rPr>
      <x:t xml:space="preserve">L'amour est plus froid que la mort
Le Bouc (</x:t>
    </x:r>
    <x:r>
      <x:rPr>
        <x:sz val="1000"/>
        <x:color rgb="FF000000"/>
        <x:rFont val="Arial"/>
        <x:family val="2"/>
      </x:rPr>
      <x:t xml:space="preserve">succès à Mannheim) : critique de la xénophobie et de l'apathie bourgeoise.</x:t>
    </x:r>
  </x:si>
  <x:si>
    <x:r>
      <x:rPr>
        <x:i/>
        <x:sz val="1000"/>
        <x:color rgb="FF000000"/>
        <x:rFont val="Arial"/>
        <x:family val="2"/>
      </x:rPr>
      <x:t xml:space="preserve">Les dieux de la peste
Pourquoi M. R. est-il atteint de folie meurtrière ?
Le soldat américain</x:t>
    </x:r>
    <x:r>
      <x:rPr>
        <x:sz val="1000"/>
        <x:color rgb="FF000000"/>
        <x:rFont val="Arial"/>
        <x:family val="2"/>
      </x:rPr>
      <x:t xml:space="preserve">
</x:t>
    </x:r>
    <x:r>
      <x:rPr>
        <x:i/>
        <x:sz val="1000"/>
        <x:color rgb="FF000000"/>
        <x:rFont val="Arial"/>
        <x:family val="2"/>
      </x:rPr>
      <x:t xml:space="preserve">Le Voyage à Niklashausen - Téléfilm
Rio das mortes
Le café -</x:t>
    </x:r>
    <x:r>
      <x:rPr>
        <x:sz val="1000"/>
        <x:color rgb="FF000000"/>
        <x:rFont val="Arial"/>
        <x:family val="2"/>
      </x:rPr>
      <x:t xml:space="preserve">Téléfilm tiré d'une création théâtrale de Peer Raben et RWF
</x:t>
    </x:r>
  </x:si>
  <x:si>
    <x:t xml:space="preserve">Fondation du Filmverlag der Autoren (1971), une société indépendante, par quelques cinéastes dont RWF. La société est d'abord autogérée.
Accords Film-Télévision (1974) favorisant les coproductions (WDR).</x:t>
  </x:si>
  <x:si>
    <x:t xml:space="preserve">Liaison avec El Hedi ben Salem. Direction du TAT à Francfort. Collaboration avec le caméraman Michael Ballhaus. Succès international.</x:t>
  </x:si>
  <x:si>
    <x:t xml:space="preserve">Whity
Prenez garde à la sainte putain
Pionniers à Ingolstadt - Téléfilm</x:t>
  </x:si>
  <x:si>
    <x:t xml:space="preserve">Si RWF ne renonce pas à l'expérimentation l'attention qu'il porte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oeuvre sentiment et distanciation réflexive, échappant à la seule création de cas sociaux.</x:t>
  </x:si>
  <x:si>
    <x:t xml:space="preserve">"Il m'est impossible de comprende qu'on puisse travailler avec un outil comme la caméra en ne se souciant pas du spectateur", interview avec Norbert Sparrow, in Cinéste, WIII/2 automne 1977</x:t>
  </x:si>
  <x:si>
    <x:t xml:space="preserve">Maria_braun.jpeg</x:t>
  </x:si>
  <x:si>
    <x:r>
      <x:rPr>
        <x:sz val="1000"/>
        <x:color rgb="FF000000"/>
      </x:rPr>
      <x:t xml:space="preserve">Affiche du </x:t>
    </x:r>
    <x:r>
      <x:rPr>
        <x:i/>
        <x:sz val="1000"/>
        <x:color rgb="FF000000"/>
        <x:rFont val="Arial"/>
        <x:family val="2"/>
      </x:rPr>
      <x:t xml:space="preserve">Mariage de Maria Braun</x:t>
    </x:r>
  </x:si>
  <x:si>
    <x:r>
      <x:rPr>
        <x:i/>
        <x:sz val="1000"/>
        <x:color rgb="FF000000"/>
        <x:rFont val="Arial"/>
        <x:family val="2"/>
      </x:rPr>
      <x:t xml:space="preserve">Aguirre, la colère de Dieu </x:t>
    </x:r>
    <x:r>
      <x:rPr>
        <x:sz val="1000"/>
        <x:color rgb="FF000000"/>
        <x:rFont val="Arial"/>
        <x:family val="2"/>
      </x:rPr>
      <x:t xml:space="preserve">de Werner Herzog (1972)
Cabaret de Bob Fosse met en scène la période de Weimar et l'ascension d'Htiler sous forme de comédie musicale. Sa mise en scène de l'homosexualité comme espace de réistance à l'oppression nazi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transfressions culturelles qui bouleversent l'histoire des représentations.</x:t>
    </x:r>
  </x:si>
  <x:si>
    <x:r>
      <x:rPr>
        <x:i/>
        <x:sz val="1000"/>
        <x:color rgb="FF000000"/>
      </x:rPr>
      <x:t xml:space="preserve">Le Marchand des quatre saisons
Les larmes amères de Petra von Kant
Liberté à Brême </x:t>
    </x:r>
    <x:r>
      <x:rPr>
        <x:sz val="1000"/>
        <x:color rgb="FF000000"/>
        <x:rFont val="Arial"/>
        <x:family val="2"/>
      </x:rPr>
      <x:t xml:space="preserve">- Téléfilm</x:t>
    </x:r>
    <x:r>
      <x:rPr>
        <x:i/>
        <x:sz val="1000"/>
        <x:color rgb="FF000000"/>
        <x:rFont val="Arial"/>
        <x:family val="2"/>
      </x:rPr>
      <x:t xml:space="preserve">
Huit heures ne font pas un jour </x:t>
    </x:r>
    <x:r>
      <x:rPr>
        <x:sz val="1000"/>
        <x:color rgb="FF000000"/>
        <x:rFont val="Arial"/>
        <x:family val="2"/>
      </x:rPr>
      <x:t xml:space="preserve"> - série</x:t>
    </x:r>
  </x:si>
  <x:si>
    <x:r>
      <x:rPr>
        <x:i/>
        <x:sz val="1000"/>
        <x:color rgb="FF000000"/>
        <x:rFont val="Arial"/>
        <x:family val="2"/>
      </x:rPr>
      <x:t xml:space="preserve">Portier de nuit</x:t>
    </x:r>
    <x:r>
      <x:rPr>
        <x:sz val="1000"/>
        <x:color rgb="FF000000"/>
        <x:rFont val="Arial"/>
        <x:family val="2"/>
      </x:rPr>
      <x:t xml:space="preserve"> de Liliana Cavani</x:t>
    </x:r>
  </x:si>
  <x:si>
    <x:r>
      <x:rPr>
        <x:i/>
        <x:sz val="1000"/>
        <x:color rgb="FF000000"/>
      </x:rPr>
      <x:t xml:space="preserve">Gibier de passage </x:t>
    </x:r>
    <x:r>
      <x:rPr>
        <x:sz val="1000"/>
        <x:color rgb="FF000000"/>
        <x:rFont val="Arial"/>
        <x:family val="2"/>
      </x:rPr>
      <x:t xml:space="preserve">-Téléfilm</x:t>
    </x:r>
    <x:r>
      <x:rPr>
        <x:i/>
        <x:sz val="1000"/>
        <x:color rgb="FF000000"/>
        <x:rFont val="Arial"/>
        <x:family val="2"/>
      </x:rPr>
      <x:t xml:space="preserve">
Le monde sur un fil</x:t>
    </x:r>
    <x:r>
      <x:rPr>
        <x:sz val="1000"/>
        <x:color rgb="FF000000"/>
        <x:rFont val="Arial"/>
        <x:family val="2"/>
      </x:rPr>
      <x:t xml:space="preserve"> - Téléfilm en parties</x:t>
    </x:r>
  </x:si>
  <x:si>
    <x:r>
      <x:rPr>
        <x:sz val="1000"/>
        <x:color theme="1"/>
      </x:rPr>
      <x:t xml:space="preserve">"Mein Herr", numéro de </x:t>
    </x:r>
    <x:r>
      <x:rPr>
        <x:i/>
        <x:sz val="1000"/>
        <x:color theme="1"/>
        <x:rFont val="Arial"/>
        <x:family val="2"/>
      </x:rPr>
      <x:t xml:space="preserve">Cabaret |</x:t>
    </x:r>
    <x:r>
      <x:rPr>
        <x:sz val="1000"/>
        <x:color theme="1"/>
        <x:rFont val="Arial"/>
        <x:family val="2"/>
      </x:rPr>
      <x:t xml:space="preserve">https://www.youtube.com/watch?v=qBjiQ5oDHBc</x:t>
    </x:r>
  </x:si>
  <x:si>
    <x:r>
      <x:rPr>
        <x:i/>
        <x:sz val="1000"/>
        <x:color rgb="FF000000"/>
      </x:rPr>
      <x:t xml:space="preserve">Effi Briest
Martha - Téléfilm
Tous les autres s'appellent Ali
Noral Helmer - </x:t>
    </x:r>
    <x:r>
      <x:rPr>
        <x:sz val="1000"/>
        <x:color rgb="FF000000"/>
        <x:rFont val="Arial"/>
        <x:family val="2"/>
      </x:rPr>
      <x:t xml:space="preserve">Téléfilm</x:t>
    </x:r>
  </x:si>
  <x:si>
    <x:t xml:space="preserve">Effi Briest permet à RWF d'obtenir une reconnaissance plus large en Allemagne, qui tempère sa réputation d'enfant terrible du cinéma</x:t>
  </x:si>
  <x:si>
    <x:t xml:space="preserve">Développement du "film amphibie" (cinéma/TV). Le cinéma devient un outil de critique sociale directe.</x:t>
  </x:si>
  <x:si>
    <x:r>
      <x:rPr>
        <x:sz val="1000"/>
        <x:color rgb="FF000000"/>
      </x:rPr>
      <x:t xml:space="preserve">RWF écrit la pièce </x:t>
    </x:r>
    <x:r>
      <x:rPr>
        <x:i/>
        <x:sz val="1000"/>
        <x:color rgb="FF000000"/>
        <x:rFont val="Arial"/>
        <x:family val="2"/>
      </x:rPr>
      <x:t xml:space="preserve">Les ordures, la ville et la mort</x:t>
    </x:r>
    <x:r>
      <x:rPr>
        <x:sz val="1000"/>
        <x:color rgb="FF000000"/>
        <x:rFont val="Arial"/>
        <x:family val="2"/>
      </x:rPr>
      <x:t xml:space="preserve">, qu'il doit mettre en scène au Theater und Sturm de Francfort. La pièce, qui traite de corruption et de spéculation immobilière, a pour protagoniste un homme juif, désigné comme "le juif riche". Son ton satirique vise surtout l'administration municipale de la ville. Avant même sa plublication et l'ouverture du spectacle, la pièce fait scandale. Suite à la circulation de quelques copies du texte et de la publication d'un communiqué de presse,</x:t>
    </x:r>
    <x:r>
      <x:rPr>
        <x:i/>
        <x:sz val="1000"/>
        <x:color rgb="FF000000"/>
        <x:rFont val="Arial"/>
        <x:family val="2"/>
      </x:rPr>
      <x:t xml:space="preserve"> </x:t>
    </x:r>
    <x:r>
      <x:rPr>
        <x:sz val="1000"/>
        <x:color rgb="FF000000"/>
        <x:rFont val="Arial"/>
        <x:family val="2"/>
      </x:rPr>
      <x:t xml:space="preserve">RWF est accusé d'antisémtisme, notammant par Joachim C. Fest dont le livre </x:t>
    </x:r>
    <x:r>
      <x:rPr>
        <x:i/>
        <x:sz val="1000"/>
        <x:color rgb="FF000000"/>
        <x:rFont val="Arial"/>
        <x:family val="2"/>
      </x:rPr>
      <x:t xml:space="preserve">Hitler une carrière </x:t>
    </x:r>
    <x:r>
      <x:rPr>
        <x:sz val="1000"/>
        <x:color rgb="FF000000"/>
        <x:rFont val="Arial"/>
        <x:family val="2"/>
      </x:rPr>
      <x:t xml:space="preserve">avait contribué à mettre à jour l'existence d'une "vague Hitler" nostalgique au sein de la population, qu'il associait notamment à une gauche "rouge" affilée au fascisme de Moscou. La pièce est abandonnée et RWF interdit qu'on la représente de son vivant en Allemagne. Le projet de téléfilm </x:t>
    </x:r>
    <x:r>
      <x:rPr>
        <x:i/>
        <x:sz val="1000"/>
        <x:color rgb="FF000000"/>
        <x:rFont val="Arial"/>
        <x:family val="2"/>
      </x:rPr>
      <x:t xml:space="preserve">La terre est inhabitable comme la lune, </x:t>
    </x:r>
    <x:r>
      <x:rPr>
        <x:sz val="1000"/>
        <x:color rgb="FF000000"/>
        <x:rFont val="Arial"/>
        <x:family val="2"/>
      </x:rPr>
      <x:t xml:space="preserve">qui s'inspirait en partie des personnages de la pièce, perd ses financements. 
Liaison avec Armin Meier.</x:t>
    </x:r>
  </x:si>
  <x:si>
    <x:r>
      <x:rPr>
        <x:i/>
        <x:sz val="1000"/>
        <x:color rgb="FF000000"/>
        <x:rFont val="Arial"/>
        <x:family val="2"/>
      </x:rPr>
      <x:t xml:space="preserve">Maman Küsters s'en va au ciel</x:t>
    </x:r>
    <x:r>
      <x:rPr>
        <x:sz val="1000"/>
        <x:color rgb="FF000000"/>
        <x:rFont val="Arial"/>
        <x:family val="2"/>
      </x:rPr>
      <x:t xml:space="preserve"> 
</x:t>
    </x:r>
    <x:r>
      <x:rPr>
        <x:i/>
        <x:sz val="1000"/>
        <x:color rgb="FF000000"/>
        <x:rFont val="Arial"/>
        <x:family val="2"/>
      </x:rPr>
      <x:t xml:space="preserve">Le Droit du plus fort</x:t>
    </x:r>
    <x:r>
      <x:rPr>
        <x:sz val="1000"/>
        <x:color rgb="FF000000"/>
        <x:rFont val="Arial"/>
        <x:family val="2"/>
      </x:rPr>
      <x:t xml:space="preserve"> 
</x:t>
    </x:r>
    <x:r>
      <x:rPr>
        <x:i/>
        <x:sz val="1000"/>
        <x:color rgb="FF000000"/>
        <x:rFont val="Arial"/>
        <x:family val="2"/>
      </x:rPr>
      <x:t xml:space="preserve">Comme un oiseau sur le film</x:t>
    </x:r>
    <x:r>
      <x:rPr>
        <x:sz val="1000"/>
        <x:color rgb="FF000000"/>
        <x:rFont val="Arial"/>
        <x:family val="2"/>
      </x:rPr>
      <x:t xml:space="preserve"> - Téléfilm
</x:t>
    </x:r>
    <x:r>
      <x:rPr>
        <x:i/>
        <x:sz val="1000"/>
        <x:color rgb="FF000000"/>
        <x:rFont val="Arial"/>
        <x:family val="2"/>
      </x:rPr>
      <x:t xml:space="preserve">Peur de la peur</x:t>
    </x:r>
    <x:r>
      <x:rPr>
        <x:sz val="1000"/>
        <x:color rgb="FF000000"/>
        <x:rFont val="Arial"/>
        <x:family val="2"/>
      </x:rPr>
      <x:t xml:space="preserve"> -Téléfilm
</x:t>
    </x:r>
  </x:si>
  <x:si>
    <x:r>
      <x:rPr>
        <x:sz val="1000"/>
        <x:color rgb="FF000000"/>
      </x:rPr>
      <x: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x:t>
    </x:r>
    <x:r>
      <x:rPr>
        <x:i/>
        <x:sz val="1000"/>
        <x:color rgb="FF000000"/>
        <x:rFont val="Arial"/>
        <x:family val="2"/>
      </x:rPr>
      <x:t xml:space="preserve">Droit du plus fort</x:t>
    </x:r>
    <x:r>
      <x:rPr>
        <x:sz val="1000"/>
        <x:color rgb="FF000000"/>
        <x:rFont val="Arial"/>
        <x:family val="2"/>
      </x:rPr>
      <x:t xml:space="preserve">, assumant une visibilité politique de son homosexualité.
Une rétrospective de l'œuvre de RWF à New York suscite l'enthousiasme de la presse américaine. 
Suite au scandale déclenché par Les ordures, la ville et la mort</x:t>
    </x:r>
    <x:r>
      <x:rPr>
        <x:i/>
        <x:sz val="1000"/>
        <x:color rgb="FF000000"/>
        <x:rFont val="Arial"/>
        <x:family val="2"/>
      </x:rPr>
      <x:t xml:space="preserve">, </x:t>
    </x:r>
    <x:r>
      <x:rPr>
        <x:sz val="1000"/>
        <x:color rgb="FF000000"/>
        <x:rFont val="Arial"/>
        <x:family val="2"/>
      </x:rPr>
      <x:t xml:space="preserve">RWF subira le soupçon d'antisémtisme dans tous ses autres projets associés à cette question. Pour apprécier la position de RWF, lire "les philosémites sont des antisémites" dans </x:t>
    </x:r>
    <x:r>
      <x:rPr>
        <x:i/>
        <x:sz val="1000"/>
        <x:color rgb="FF000000"/>
        <x:rFont val="Arial"/>
        <x:family val="2"/>
      </x:rPr>
      <x:t xml:space="preserve">L'anarchie de l'imagination, </x:t>
    </x:r>
    <x:r>
      <x:rPr>
        <x:sz val="1000"/>
        <x:color rgb="FF000000"/>
        <x:rFont val="Arial"/>
        <x:family val="2"/>
      </x:rPr>
      <x:t xml:space="preserve">et "prise de postion à propos de L'ordure, la ville et la mort dans </x:t>
    </x:r>
    <x:r>
      <x:rPr>
        <x:i/>
        <x:sz val="1000"/>
        <x:color rgb="FF000000"/>
        <x:rFont val="Arial"/>
        <x:family val="2"/>
      </x:rPr>
      <x:t xml:space="preserve">Les films libèrent la tête. La pièce Les ordures, la ville et la mort est toujours un texte polémique, rarement monté. En 1985, le projet de le mettre sur scène à Francfort déclencha de vifs débats, le projet, d'abord retiré, fut monté à huis-clos devant un public restreint de journalistes dans unautre théâtre de Francfort dans un contexte politique d'affirmation de l'unité refondée du peuple allemand mais de sensibilités mémorielles toujours vives. </x:t>
    </x:r>
  </x:si>
  <x:si>
    <x:r>
      <x:rPr>
        <x:sz val="1000"/>
        <x:color theme="1"/>
      </x:rPr>
      <x: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de s'y produit ; rien que des gens gentils, sympas et rien que des gens qui veulent plaire. A long terme ce n'est pas possible". RWF, "les philosémites sont des antisémites", avril 1976, repris dans </x:t>
    </x:r>
    <x:r>
      <x:rPr>
        <x:i/>
        <x:sz val="1000"/>
        <x:color theme="1"/>
        <x:rFont val="Arial"/>
        <x:family val="2"/>
      </x:rPr>
      <x:t xml:space="preserve">L'anarchie de l'imagination P; 76</x:t>
    </x:r>
  </x:si>
  <x:si>
    <x:t xml:space="preserve">Fassbinder_fox.jpeg</x:t>
  </x:si>
  <x:si>
    <x:t xml:space="preserve"> </x:t>
  </x:si>
  <x:si>
    <x:t xml:space="preserve">M. Klein de Joseph Losey</x:t>
  </x:si>
  <x:si>
    <x:t xml:space="preserve">RFW devient actionnaire du Filmverlag der Autoren. 
</x:t>
  </x:si>
  <x:si>
    <x:r>
      <x:rPr>
        <x:sz val="1000"/>
        <x:color rgb="FF000000"/>
      </x:rPr>
      <x:t xml:space="preserve">L'ombre des anges de Daniel Schmid,  d'après la pièce </x:t>
    </x:r>
    <x:r>
      <x:rPr>
        <x:i/>
        <x:sz val="1000"/>
        <x:color rgb="FF000000"/>
        <x:rFont val="Arial"/>
        <x:family val="2"/>
      </x:rPr>
      <x:t xml:space="preserve">Les ordures, la ville et la mort</x:t>
    </x:r>
    <x:r>
      <x:rPr>
        <x:sz val="1000"/>
        <x:color rgb="FF000000"/>
        <x:rFont val="Arial"/>
        <x:family val="2"/>
      </x:rPr>
      <x:t xml:space="preserve">
Le rôti de satan 
Je veux seulement que vous m'aimiez - Téléfilm
Roulette chinoise </x:t>
    </x:r>
  </x:si>
  <x:si>
    <x:r>
      <x:rPr>
        <x:sz val="1000"/>
        <x:color rgb="FF000000"/>
      </x:rPr>
      <x:t xml:space="preserve">Il joue dans  </x:t>
    </x:r>
    <x:r>
      <x:rPr>
        <x:i/>
        <x:sz val="1000"/>
        <x:color rgb="FF000000"/>
        <x:rFont val="Arial"/>
        <x:family val="2"/>
      </x:rPr>
      <x:t xml:space="preserve">L'ombre des anges</x:t>
    </x:r>
    <x:r>
      <x:rPr>
        <x:sz val="1000"/>
        <x:color rgb="FF000000"/>
        <x:rFont val="Arial"/>
        <x:family val="2"/>
      </x:rPr>
      <x:t xml:space="preserve">, l'adaptation de sa propre pièce, </x:t>
    </x:r>
    <x:r>
      <x:rPr>
        <x:i/>
        <x:sz val="1000"/>
        <x:color rgb="FF000000"/>
        <x:rFont val="Arial"/>
        <x:family val="2"/>
      </x:rPr>
      <x:t xml:space="preserve">Les ordures la ville et la mort</x:t>
    </x:r>
    <x:r>
      <x:rPr>
        <x:sz val="1000"/>
        <x:color rgb="FF000000"/>
        <x:rFont val="Arial"/>
        <x:family val="2"/>
      </x:rPr>
      <x:t xml:space="preserve">, mise en scène au cinéma par D. Schmid, et en partie financée par Fassbinder et produit par la société Albatros films de Fengler. C'est tout l'entourage de Fassbinder qui se joint au film, notamment Ingrid Caven. </x:t>
    </x:r>
  </x:si>
  <x:si>
    <x:t xml:space="preserve">Femmes à New York  -Téléfilm
La femme du chef de gare  - Téléfilm</x:t>
  </x:si>
  <x:si>
    <x:t xml:space="preserve">Dans "devoir de l'avoir - avoir du devoir" un article repris dans Les films libèrent la tête, RWF revient sur le roman de Freytag  et son projet empêché .  Son propos marque la conscience précoce du cinéaste de l'antisémitisme  cosncient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x:t>
  </x:si>
  <x:si>
    <x:t xml:space="preserve">Les années 55-75, celles pendant lesquelles RWF est sorti de l'enfance et s'est développé comme adolescent puis adulte, seront celles qui nourriront son inspiration cinémétographique et sa réflexion politique. Même les films dont l'action se situent avant 1945 sont à envisager comme "une archéologie de la société allemande d'après-guerre" (Elsaesser, p. 34)</x:t>
  </x:si>
  <x:si>
    <x:r>
      <x:rPr>
        <x:sz val="1000"/>
        <x:color theme="1"/>
      </x:rPr>
      <x: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x:t>
    </x:r>
    <x:r>
      <x:rPr>
        <x:i/>
        <x:sz val="1000"/>
        <x:color theme="1"/>
        <x:rFont val="Arial"/>
        <x:family val="2"/>
      </x:rPr>
      <x:t xml:space="preserve">Die Zeit, </x:t>
    </x:r>
    <x:r>
      <x:rPr>
        <x:sz val="1000"/>
        <x:color theme="1"/>
        <x:rFont val="Arial"/>
        <x:family val="2"/>
      </x:rPr>
      <x: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 ge </x:t>
    </x:r>
    <x:r>
      <x:rPr>
        <x:i/>
        <x:sz val="1000"/>
        <x:color theme="1"/>
        <x:rFont val="Arial"/>
        <x:family val="2"/>
      </x:rPr>
      <x:t xml:space="preserve">Fassbinder par lui-même</x:t>
    </x:r>
    <x:r>
      <x:rPr>
        <x:sz val="1000"/>
        <x:color theme="1"/>
        <x:rFont val="Arial"/>
        <x:family val="2"/>
      </x:rPr>
      <x:t xml:space="preserve">, p.342-343, G3J éditeur, 2010</x:t>
    </x:r>
  </x:si>
  <x:si>
    <x:r>
      <x:rPr>
        <x:sz val="1000"/>
        <x:color rgb="FF000000"/>
      </x:rPr>
      <x:t xml:space="preserve">Mai 1978 : RWF quitte Armin Meier pendant un voyage à New York.Meier rentre seul à Munich tandis que RWF se rend à Cannes. Le 31 mai 1978, jour d'anniversaire de RWF, Armin Meier se suicide dans leur appartement. Le corps n'est découvert qu'une seumaine plus tard. Scandale. RWF se jette dans le travail. L'année des treize lunes, qui sort trois mois plus tard est dédié à Armin (et à tous les autres). 
Début de la collaboration avec Juliane Lorenz. </x:t>
    </x:r>
    <x:r>
      <x:rPr>
        <x:i/>
        <x:sz val="1000"/>
        <x:color rgb="FF000000"/>
        <x:rFont val="Arial"/>
        <x:family val="2"/>
      </x:rPr>
      <x:t xml:space="preserve">L'année des treize lunes devient un film </x:t>
    </x:r>
    <x:r>
      <x:rPr>
        <x:sz val="1000"/>
        <x:color rgb="FF000000"/>
        <x:rFont val="Arial"/>
        <x:family val="2"/>
      </x:rPr>
      <x:t xml:space="preserve">expiatoire. Le tournage de</x:t>
    </x:r>
    <x:r>
      <x:rPr>
        <x:i/>
        <x:sz val="1000"/>
        <x:color rgb="FF000000"/>
        <x:rFont val="Arial"/>
        <x:family val="2"/>
      </x:rPr>
      <x:t xml:space="preserve"> Maria Braun </x:t>
    </x:r>
    <x:r>
      <x:rPr>
        <x:sz val="1000"/>
        <x:color rgb="FF000000"/>
        <x:rFont val="Arial"/>
        <x:family val="2"/>
      </x:rPr>
      <x:t xml:space="preserve">est compliqué : dépassement de budget, consommation explosive de cocaïne. Ceci explique peut être la fin de la collaboration entre Ballhaus et RWF.
RWF travaille active à l'écriture de Berlin Alexander Platz, dont il dicte des passages dans </x:t>
    </x:r>
    <x:r>
      <x:rPr>
        <x:i/>
        <x:sz val="1000"/>
        <x:color rgb="FF000000"/>
        <x:rFont val="Arial"/>
        <x:family val="2"/>
      </x:rPr>
      <x:t xml:space="preserve">L'année des treize lunes. </x:t>
    </x:r>
  </x:si>
  <x:si>
    <x:r>
      <x:rPr>
        <x:i/>
        <x:sz val="1000"/>
        <x:color rgb="FF000000"/>
        <x:rFont val="Arial"/>
        <x:family val="2"/>
      </x:rPr>
      <x:t xml:space="preserve">Despair, </x:t>
    </x:r>
    <x:r>
      <x:rPr>
        <x:sz val="1000"/>
        <x:color rgb="FF000000"/>
        <x:rFont val="Arial"/>
        <x:family val="2"/>
      </x:rPr>
      <x:t xml:space="preserve">deuxième coproduction internationale de RWF avec Dirk Bogarde et Andra Ferreol, deux acteurs importants du cinéma moderne européen, en compétition à Cannes en 1978
</x:t>
    </x:r>
    <x:r>
      <x:rPr>
        <x:i/>
        <x:sz val="1000"/>
        <x:color rgb="FF000000"/>
        <x:rFont val="Arial"/>
        <x:family val="2"/>
      </x:rPr>
      <x:t xml:space="preserve">Le mariage de Maria Braun</x:t>
    </x:r>
    <x:r>
      <x:rPr>
        <x:sz val="1000"/>
        <x:color rgb="FF000000"/>
        <x:rFont val="Arial"/>
        <x:family val="2"/>
      </x:rPr>
      <x:t xml:space="preserve">, en compétition officielle à Berlin en 1979
</x:t>
    </x:r>
    <x:r>
      <x:rPr>
        <x:i/>
        <x:sz val="1000"/>
        <x:color rgb="FF000000"/>
        <x:rFont val="Arial"/>
        <x:family val="2"/>
      </x:rPr>
      <x:t xml:space="preserve">L'année des treize lunes</x:t>
    </x:r>
    <x:r>
      <x:rPr>
        <x:sz val="1000"/>
        <x:color rgb="FF000000"/>
        <x:rFont val="Arial"/>
        <x:family val="2"/>
      </x:rPr>
      <x:t xml:space="preserve"> poursuit la réflexion entamée sur le désespoir. 
L'épisode réalisé par RWF dans </x:t>
    </x:r>
    <x:r>
      <x:rPr>
        <x:i/>
        <x:sz val="1000"/>
        <x:color rgb="FF000000"/>
        <x:rFont val="Arial"/>
        <x:family val="2"/>
      </x:rPr>
      <x:t xml:space="preserve">L'Allemagne en automne</x:t>
    </x:r>
    <x:r>
      <x:rPr>
        <x:sz val="1000"/>
        <x:color rgb="FF000000"/>
        <x:rFont val="Arial"/>
        <x:family val="2"/>
      </x:rPr>
      <x:t xml:space="preserve"> offre une relecture des actions commises par la RAF sur le mode de l'autofiction.</x:t>
    </x:r>
  </x:si>
  <x:si>
    <x:r>
      <x:rPr>
        <x:i/>
        <x:sz val="1000"/>
        <x:color theme="1"/>
        <x:rFont val="Arial"/>
        <x:family val="2"/>
      </x:rPr>
      <x:t xml:space="preserve">L'année des treize lunes</x:t>
    </x:r>
    <x:r>
      <x:rPr>
        <x:sz val="1000"/>
        <x:color theme="1"/>
        <x:rFont val="Arial"/>
        <x:family val="2"/>
      </x:rPr>
      <x:t xml:space="preserve"> est un projet très personnel pour RWF. Outre son sujet, qui se nourrit du deuil et de la culpabilité liés à la mort d'Armin Meier, RWF y participe à toutes les étapes, y compris le cadrage et le montage. La critique est divisée, entre enthouasisme et rejet, entre lecture sentimentale et lecture politique. 
"</x:t>
    </x:r>
    <x:r>
      <x:rPr>
        <x:i/>
        <x:sz val="1000"/>
        <x:color theme="1"/>
        <x:rFont val="Arial"/>
        <x:family val="2"/>
      </x:rPr>
      <x:t xml:space="preserve">Despair </x:t>
    </x:r>
    <x:r>
      <x:rPr>
        <x:sz val="1000"/>
        <x:color theme="1"/>
        <x:rFont val="Arial"/>
        <x:family val="2"/>
      </x:rPr>
      <x:t xml:space="preserve">est le film le plus rempli d'espoir que j'ai jamais fait " RWF, </x:t>
    </x:r>
    <x:r>
      <x:rPr>
        <x:i/>
        <x:sz val="1000"/>
        <x:color theme="1"/>
        <x:rFont val="Arial"/>
        <x:family val="2"/>
      </x:rPr>
      <x:t xml:space="preserve">L'anarchie de l'imaginaire</x:t>
    </x:r>
    <x:r>
      <x:rPr>
        <x:sz val="1000"/>
        <x:color theme="1"/>
        <x:rFont val="Arial"/>
        <x:family val="2"/>
      </x:rPr>
      <x:t xml:space="preserve">, </x:t>
    </x:r>
    <x:r>
      <x:rPr>
        <x:i/>
        <x:sz val="1000"/>
        <x:color theme="1"/>
        <x:rFont val="Arial"/>
        <x:family val="2"/>
      </x:rPr>
      <x:t xml:space="preserve">p.80-81</x:t>
    </x:r>
    <x:r>
      <x:rPr>
        <x:sz val="1000"/>
        <x:color theme="1"/>
        <x:rFont val="Arial"/>
        <x:family val="2"/>
      </x:rPr>
      <x:t xml:space="preserve">. Le film constitue un nouveau tournant dans la carrière de RWF en l'intégrant au club fermé des auteurs importants du cinéma européen même si son écho critique reste mitigé. Mais RWF présente aussi à Cannes, en projection non officielle </x:t>
    </x:r>
    <x:r>
      <x:rPr>
        <x:i/>
        <x:sz val="1000"/>
        <x:color theme="1"/>
        <x:rFont val="Arial"/>
        <x:family val="2"/>
      </x:rPr>
      <x:t xml:space="preserve">Le mariage de Maria Braun. </x:t>
    </x:r>
    <x:r>
      <x:rPr>
        <x:sz val="1000"/>
        <x:color theme="1"/>
        <x:rFont val="Arial"/>
        <x:family val="2"/>
      </x:rPr>
      <x:t xml:space="preserve">ce film exclipse </x:t>
    </x:r>
    <x:r>
      <x:rPr>
        <x:i/>
        <x:sz val="1000"/>
        <x:color theme="1"/>
        <x:rFont val="Arial"/>
        <x:family val="2"/>
      </x:rPr>
      <x:t xml:space="preserve">Despair.
L'allemagne en automne n'est vu que par un public limité. </x:t>
    </x:r>
  </x:si>
  <x:si>
    <x:r>
      <x:rPr>
        <x:sz val="1000"/>
        <x:color theme="1"/>
      </x:rPr>
      <x:t xml:space="preserve">La première génération était celle de 1968. Des idéalistes qui voulaient changer le monde et qui s'imginaient pouvoir le faire avec des mots et des manifestes. La deuxième, celle du groupe Gaader-Meinhof, passa de la légalité à la lutte armée et à l'illégalité totale. la troisième génération est celle d'aujourd'hui, qui se contente d'agir sans réfélchir, qui n'a ni idéologie ni politique, et qui se fait manipuler à son insu comme une troupe de marionnettes" </x:t>
    </x:r>
    <x:r>
      <x:rPr>
        <x:i/>
        <x:sz val="1000"/>
        <x:color theme="1"/>
        <x:rFont val="Arial"/>
        <x:family val="2"/>
      </x:rPr>
      <x:t xml:space="preserve">Fassbinder</x:t>
    </x:r>
    <x:r>
      <x:rPr>
        <x:sz val="1000"/>
        <x:color theme="1"/>
        <x:rFont val="Arial"/>
        <x:family val="2"/>
      </x:rPr>
      <x:t xml:space="preserve">, Jansen/Schütte, Collection Rivages-cinéma, 1986, p.106</x:t>
    </x:r>
  </x:si>
  <x:si>
    <x:r>
      <x:rPr>
        <x:i/>
        <x:sz val="1000"/>
        <x:color rgb="FF000000"/>
        <x:rFont val="Arial"/>
        <x:family val="2"/>
      </x:rPr>
      <x:t xml:space="preserve">Le tambour</x:t>
    </x:r>
    <x:r>
      <x:rPr>
        <x:sz val="1000"/>
        <x:color rgb="FF000000"/>
        <x:rFont val="Arial"/>
        <x:family val="2"/>
      </x:rPr>
      <x:t xml:space="preserve"> de V. Schlondorff obtient la palme d'or à Cannes. 
La diffusion de la série américaine  </x:t>
    </x:r>
    <x:r>
      <x:rPr>
        <x:i/>
        <x:sz val="1000"/>
        <x:color rgb="FF000000"/>
        <x:rFont val="Arial"/>
        <x:family val="2"/>
      </x:rPr>
      <x:t xml:space="preserve">Holocaust</x:t>
    </x:r>
    <x:r>
      <x:rPr>
        <x:sz val="1000"/>
        <x:color rgb="FF000000"/>
        <x:rFont val="Arial"/>
        <x:family val="2"/>
      </x:rPr>
      <x:t xml:space="preserve"> de Marvin J. Chomsky (1976)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x:t>
    </x:r>
    <x:r>
      <x:rPr>
        <x:i/>
        <x:sz val="1000"/>
        <x:color rgb="FF000000"/>
        <x:rFont val="Arial"/>
        <x:family val="2"/>
      </x:rPr>
      <x:t xml:space="preserve">soap opera.</x:t>
    </x:r>
  </x:si>
  <x:si>
    <x:r>
      <x:rPr>
        <x:sz val="1000"/>
        <x:color rgb="FF000000"/>
      </x:rPr>
      <x:t xml:space="preserve">Le succès du </x:t>
    </x:r>
    <x:r>
      <x:rPr>
        <x:i/>
        <x:sz val="1000"/>
        <x:color rgb="FF000000"/>
        <x:rFont val="Arial"/>
        <x:family val="2"/>
      </x:rPr>
      <x:t xml:space="preserve">Mariage de Maria Braun</x:t>
    </x:r>
    <x:r>
      <x:rPr>
        <x:sz val="1000"/>
        <x:color rgb="FF000000"/>
        <x:rFont val="Arial"/>
        <x:family val="2"/>
      </x:rPr>
      <x:t xml:space="preserve"> amène RWF à espérer pour voir réaliser </x:t>
    </x:r>
    <x:r>
      <x:rPr>
        <x:i/>
        <x:sz val="1000"/>
        <x:color rgb="FF000000"/>
        <x:rFont val="Arial"/>
        <x:family val="2"/>
      </x:rPr>
      <x:t xml:space="preserve">Cocaïne</x:t>
    </x:r>
    <x:r>
      <x:rPr>
        <x:sz val="1000"/>
        <x:color rgb="FF000000"/>
        <x:rFont val="Arial"/>
        <x:family val="2"/>
      </x:rPr>
      <x:t xml:space="preserve">, l'adaptation d'un roman de Pitigrilli. Il lui permet aussi de renégocier à la hausse le budget de production de </x:t>
    </x:r>
    <x:r>
      <x:rPr>
        <x:i/>
        <x:sz val="1000"/>
        <x:color rgb="FF000000"/>
        <x:rFont val="Arial"/>
        <x:family val="2"/>
      </x:rPr>
      <x:t xml:space="preserve">Berlin Alexanderplatz</x:t>
    </x:r>
    <x:r>
      <x:rPr>
        <x:sz val="1000"/>
        <x:color rgb="FF000000"/>
        <x:rFont val="Arial"/>
        <x:family val="2"/>
      </x:rPr>
      <x:t xml:space="preserve"> : le projet devient le le plus coûteux de l'histoire de la télévision allemande. </x:t>
    </x:r>
  </x:si>
  <x:si>
    <x:r>
      <x:rPr>
        <x:i/>
        <x:sz val="1000"/>
        <x:color theme="1"/>
        <x:rFont val="Arial"/>
        <x:family val="2"/>
      </x:rPr>
      <x:t xml:space="preserve">La troisième génération, </x:t>
    </x:r>
    <x:r>
      <x:rPr>
        <x:sz val="1000"/>
        <x:color theme="1"/>
        <x:rFont val="Arial"/>
        <x:family val="2"/>
      </x:rPr>
      <x:t xml:space="preserve">film inspiré par les actions de la RAF et la violence d'Etat, est compliqué à produire. </x:t>
    </x:r>
    <x:r>
      <x:rPr>
        <x:i/>
        <x:sz val="1000"/>
        <x:color theme="1"/>
        <x:rFont val="Arial"/>
        <x:family val="2"/>
      </x:rPr>
      <x:t xml:space="preserve">Le Mariage de Maria Braun </x:t>
    </x:r>
    <x:r>
      <x:rPr>
        <x:sz val="1000"/>
        <x:color theme="1"/>
        <x:rFont val="Arial"/>
        <x:family val="2"/>
      </x:rPr>
      <x:t xml:space="preserve">allégorie de la reconstruction allemande, connaît un triomphe international.  </x:t>
    </x:r>
  </x:si>
  <x:si>
    <x:r>
      <x:rPr>
        <x:i/>
        <x:sz val="1000"/>
        <x:color theme="1"/>
        <x:rFont val="Arial"/>
        <x:family val="2"/>
      </x:rPr>
      <x:t xml:space="preserve">Le mariage de Maria Braun </x:t>
    </x:r>
    <x:r>
      <x:rPr>
        <x:sz val="1000"/>
        <x:color theme="1"/>
        <x:rFont val="Arial"/>
        <x:family val="2"/>
      </x:rPr>
      <x: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x:t>
    </x:r>
  </x:si>
  <x:si>
    <x:t xml:space="preserve">Holocaust, une serie eveille les consciences|https://www.ina.fr/ina-eclaire-actu/video/s1313279_001/1979-une-serie-eveille-les-consciences-sur-la-shoah; </x:t>
  </x:si>
  <x:si>
    <x:r>
      <x:rPr>
        <x:i/>
        <x:sz val="1000"/>
        <x:color rgb="FF000000"/>
      </x:rPr>
      <x:t xml:space="preserve">Allemagne mère blafarde </x:t>
    </x:r>
    <x:r>
      <x:rPr>
        <x:sz val="1000"/>
        <x:color rgb="FF000000"/>
        <x:rFont val="Arial"/>
        <x:family val="2"/>
      </x:rPr>
      <x:t xml:space="preserve">de Helma Sanders-Brahms. 
Début du tournage d'</x:t>
    </x:r>
    <x:r>
      <x:rPr>
        <x:i/>
        <x:sz val="1000"/>
        <x:color rgb="FF000000"/>
        <x:rFont val="Arial"/>
        <x:family val="2"/>
      </x:rPr>
      <x:t xml:space="preserve">Heima</x:t>
    </x:r>
    <x:r>
      <x:rPr>
        <x:sz val="1000"/>
        <x:color rgb="FF000000"/>
        <x:rFont val="Arial"/>
        <x:family val="2"/>
      </x:rPr>
      <x:t xml:space="preserve">t</x:t>
    </x:r>
    <x:r>
      <x:rPr>
        <x:i/>
        <x:sz val="1000"/>
        <x:color rgb="FF000000"/>
        <x:rFont val="Arial"/>
        <x:family val="2"/>
      </x:rPr>
      <x:t xml:space="preserve"> de Karl Reitz qui sera diffusé en 1984</x:t>
    </x:r>
  </x:si>
  <x:si>
    <x:r>
      <x:rPr>
        <x:sz val="1000"/>
        <x:color rgb="FF000000"/>
      </x:rPr>
      <x:t xml:space="preserve">Monumental </x:t>
    </x:r>
    <x:r>
      <x:rPr>
        <x:i/>
        <x:sz val="1000"/>
        <x:color rgb="FF000000"/>
        <x:rFont val="Arial"/>
        <x:family val="2"/>
      </x:rPr>
      <x:t xml:space="preserve">Berlin Alexanderplatz</x:t>
    </x:r>
    <x:r>
      <x:rPr>
        <x:sz val="1000"/>
        <x:color rgb="FF000000"/>
        <x:rFont val="Arial"/>
        <x:family val="2"/>
      </x:rPr>
      <x:t xml:space="preserve">  - série en 14 épisodes et un épiloque </x:t>
    </x:r>
  </x:si>
  <x:si>
    <x:t xml:space="preserve">La première diffusion de Berlin Alexander Platz à la télévision déclenche une violente campagne de haine contre le réalisateur. Le journaliste Klaus Eder qualifie l'oeuvre de "mastubations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x:t>
  </x:si>
  <x:si>
    <x:r>
      <x:rPr>
        <x:sz val="1000"/>
        <x:color theme="1"/>
      </x:rPr>
      <x:t xml:space="preserve">"je ferai des films jusqu'à ce que j'ai conduit mon histoire de la RFA jusqu'à ici et aujourd'hui. Les histoires de </x:t>
    </x:r>
    <x:r>
      <x:rPr>
        <x:i/>
        <x:sz val="1000"/>
        <x:color theme="1"/>
        <x:rFont val="Arial"/>
        <x:family val="2"/>
      </x:rPr>
      <x:t xml:space="preserve">Lola </x:t>
    </x:r>
    <x:r>
      <x:rPr>
        <x:sz val="1000"/>
        <x:color theme="1"/>
        <x:rFont val="Arial"/>
        <x:family val="2"/>
      </x:rPr>
      <x:t xml:space="preserve">et </x:t>
    </x:r>
    <x:r>
      <x:rPr>
        <x:i/>
        <x:sz val="1000"/>
        <x:color theme="1"/>
        <x:rFont val="Arial"/>
        <x:family val="2"/>
      </x:rPr>
      <x:t xml:space="preserve">Maria Braun</x:t>
    </x:r>
    <x:r>
      <x:rPr>
        <x:sz val="1000"/>
        <x:color theme="1"/>
        <x:rFont val="Arial"/>
        <x:family val="2"/>
      </x:rPr>
      <x: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x:t>
    </x:r>
    <x:r>
      <x:rPr>
        <x:i/>
        <x:sz val="1000"/>
        <x:color theme="1"/>
        <x:rFont val="Arial"/>
        <x:family val="2"/>
      </x:rPr>
      <x:t xml:space="preserve">Rainer Werner Fassbinder, Dichter, Schapuspieler, Filmemacher, </x:t>
    </x:r>
    <x:r>
      <x:rPr>
        <x:sz val="1000"/>
        <x:color theme="1"/>
        <x:rFont val="Arial"/>
        <x:family val="2"/>
      </x:rPr>
      <x:t xml:space="preserve">Argon, 1992, p.77</x:t>
    </x:r>
  </x:si>
  <x:si>
    <x:r>
      <x:rPr>
        <x:sz val="1000"/>
        <x:color theme="1"/>
      </x:rPr>
      <x:t xml:space="preserve">Hanna Schygulla doit interpréter </x:t>
    </x:r>
    <x:r>
      <x:rPr>
        <x:i/>
        <x:sz val="1000"/>
        <x:color theme="1"/>
        <x:rFont val="Arial"/>
        <x:family val="2"/>
      </x:rPr>
      <x:t xml:space="preserve">Lola une femme allemande</x:t>
    </x:r>
    <x:r>
      <x:rPr>
        <x:sz val="1000"/>
        <x:color theme="1"/>
        <x:rFont val="Arial"/>
        <x:family val="2"/>
      </x:rPr>
      <x:t xml:space="preserve">, mais Fassbinder lui retire le rôle furieux que l'actrice ait déclaré qu'elle s'était elle-même distribuée dans le film.</x:t>
    </x:r>
  </x:si>
  <x:si>
    <x:r>
      <x:rPr>
        <x:i/>
        <x:sz val="1000"/>
        <x:color rgb="FF000000"/>
        <x:rFont val="Arial"/>
        <x:family val="2"/>
      </x:rPr>
      <x:t xml:space="preserve">Lili Marleen</x:t>
    </x:r>
    <x:r>
      <x:rPr>
        <x:sz val="1000"/>
        <x:color rgb="FF000000"/>
        <x:rFont val="Arial"/>
        <x:family val="2"/>
      </x:rPr>
      <x:t xml:space="preserve">
Suite de la Trilogie de la RFA :   </x:t>
    </x:r>
    <x:r>
      <x:rPr>
        <x:i/>
        <x:sz val="1000"/>
        <x:color rgb="FF000000"/>
        <x:rFont val="Arial"/>
        <x:family val="2"/>
      </x:rPr>
      <x:t xml:space="preserve">Lola, une femme allemande</x:t>
    </x:r>
    <x:r>
      <x:rPr>
        <x:sz val="1000"/>
        <x:color rgb="FF000000"/>
        <x:rFont val="Arial"/>
        <x:family val="2"/>
      </x:rPr>
      <x:t xml:space="preserve"> 
</x:t>
    </x:r>
    <x:r>
      <x:rPr>
        <x:i/>
        <x:sz val="1000"/>
        <x:color rgb="FF000000"/>
        <x:rFont val="Arial"/>
        <x:family val="2"/>
      </x:rPr>
      <x:t xml:space="preserve">Théâtre en transe</x:t>
    </x:r>
    <x:r>
      <x:rPr>
        <x:sz val="1000"/>
        <x:color rgb="FF000000"/>
        <x:rFont val="Arial"/>
        <x:family val="2"/>
      </x:rPr>
      <x:t xml:space="preserve">, documentaire</x:t>
    </x:r>
  </x:si>
  <x:si>
    <x:r>
      <x:rPr>
        <x:i/>
        <x:sz val="1000"/>
        <x:color rgb="FF000000"/>
        <x:rFont val="Arial"/>
        <x:family val="2"/>
      </x:rPr>
      <x:t xml:space="preserve">Lola, une femme allemande</x:t>
    </x:r>
    <x:r>
      <x:rPr>
        <x:sz val="1000"/>
        <x:color rgb="FF000000"/>
        <x:rFont val="Arial"/>
        <x:family val="2"/>
      </x:rPr>
      <x:t xml:space="preserve"> est d'abord conçu comme un remake de L</x:t>
    </x:r>
    <x:r>
      <x:rPr>
        <x:i/>
        <x:sz val="1000"/>
        <x:color rgb="FF000000"/>
        <x:rFont val="Arial"/>
        <x:family val="2"/>
      </x:rPr>
      <x:t xml:space="preserve">'ange bleu </x:t>
    </x:r>
    <x:r>
      <x:rPr>
        <x:sz val="1000"/>
        <x:color rgb="FF000000"/>
        <x:rFont val="Arial"/>
        <x:family val="2"/>
      </x:rPr>
      <x:t xml:space="preserve">de Josphe von Sternberg (1930).</x:t>
    </x:r>
  </x:si>
  <x:si>
    <x:r>
      <x:rPr>
        <x:i/>
        <x:sz val="1000"/>
        <x:color theme="1"/>
        <x:rFont val="Arial"/>
        <x:family val="2"/>
      </x:rPr>
      <x:t xml:space="preserve">Lola</x:t>
    </x:r>
    <x:r>
      <x:rPr>
        <x:sz val="1000"/>
        <x:color theme="1"/>
        <x:rFont val="Arial"/>
        <x:family val="2"/>
      </x:rPr>
      <x:t xml:space="preserve"> est "un des films les plus intelligents, les plus pénétrants, mais aussi les plus grinçants sur la période d'après-guerre", Thomas Elsaesser, </x:t>
    </x:r>
    <x:r>
      <x:rPr>
        <x:i/>
        <x:sz val="1000"/>
        <x:color theme="1"/>
        <x:rFont val="Arial"/>
        <x:family val="2"/>
      </x:rPr>
      <x:t xml:space="preserve">RWF un cinéaste d'Allemagne</x:t>
    </x:r>
    <x:r>
      <x:rPr>
        <x:sz val="1000"/>
        <x:color theme="1"/>
        <x:rFont val="Arial"/>
        <x:family val="2"/>
      </x:rPr>
      <x:t xml:space="preserve">, p. 1965
</x:t>
    </x:r>
    <x:r>
      <x:rPr>
        <x:i/>
        <x:sz val="1000"/>
        <x:color theme="1"/>
        <x:rFont val="Arial"/>
        <x:family val="2"/>
      </x:rPr>
      <x:t xml:space="preserve">Lili Marleen (…) est ma première tentative de faire un film sur le IIIe Reich. Et je fera certainement encore plusieurs films sur le IIIe Reich. (...) Il en résultera peut-être pour finir un tableau d'ensemble de la bourgeoisie depuis 1848" Rainer Werner Fassbinder. Dichter, Schauspieler, Filmemacher</x:t>
    </x:r>
    <x:r>
      <x:rPr>
        <x:sz val="1000"/>
        <x:color theme="1"/>
        <x:rFont val="Arial"/>
        <x:family val="2"/>
      </x:rPr>
      <x:t xml:space="preserve">, 1992, p.178</x:t>
    </x:r>
  </x:si>
  <x:si>
    <x:t xml:space="preserve">RWF parvient à évincer Werner Schroeter qui souhaitait réaliser une adaptation de Querelle de Jean Genet.  Mort de Fassbinder marquant symboliquement la fin du Nouveau Cinéma Allemand.</x:t>
  </x:si>
  <x:si>
    <x:r>
      <x:rPr>
        <x:i/>
        <x:sz val="1000"/>
        <x:color rgb="FF000000"/>
      </x:rPr>
      <x:t xml:space="preserve">Le secret de Veronika Voss, </x:t>
    </x:r>
    <x:r>
      <x:rPr>
        <x:sz val="1000"/>
        <x:color rgb="FF000000"/>
        <x:rFont val="Arial"/>
        <x:family val="2"/>
      </x:rPr>
      <x:t xml:space="preserve">ours d'or à Berlin</x:t>
    </x:r>
    <x:r>
      <x:rPr>
        <x:i/>
        <x:sz val="1000"/>
        <x:color rgb="FF000000"/>
        <x:rFont val="Arial"/>
        <x:family val="2"/>
      </x:rPr>
      <x:t xml:space="preserve">
Querelle
RWF laisse un héritage de plus de 40 films.</x:t>
    </x:r>
  </x:si>
  <x:si>
    <x:r>
      <x:rPr>
        <x:sz val="1000"/>
        <x:color theme="1"/>
      </x:rPr>
      <x:t xml:space="preserve">"Je ne pense pas qu'il fait fait un seul que l'on pourrait qualifier de chef-d'œuvre. Le chef-d'œuvre, c'est les 41 films et la vie et tout le reste. Les films ne sont que le résidu de cette vie."Peter Chatel </x:t>
    </x:r>
    <x:r>
      <x:rPr>
        <x:i/>
        <x:sz val="1000"/>
        <x:color theme="1"/>
        <x:rFont val="Arial"/>
        <x:family val="2"/>
      </x:rPr>
      <x:t xml:space="preserve">in  Die Sehnsucht des Rainer Werner Fassbinder » (La Nostalgie de Rainer Werner Fassbinder), De Kurt Raab et Karsten Peters, 1982, éditions Bertelsmann </x:t>
    </x:r>
  </x:si>
  <x:si>
    <x:t xml:space="preserve">Catégorie</x:t>
  </x:si>
  <x:si>
    <x:t xml:space="preserve">Référence bibliographique</x:t>
  </x:si>
  <x:si>
    <x:t xml:space="preserve">Usage dans la frise</x:t>
  </x:si>
  <x:si>
    <x:t xml:space="preserve">Lien</x:t>
  </x:si>
  <x:si>
    <x:t xml:space="preserve">Histoire allemande</x:t>
  </x:si>
  <x:si>
    <x:r>
      <x:rPr>
        <x:i/>
        <x:sz val="1200"/>
        <x:color rgb="FF000000"/>
      </x:rPr>
      <x:t xml:space="preserve">R. W. Fassbinder, cinéaste d’Allemagne</x:t>
    </x:r>
    <x:r>
      <x:rPr>
        <x:sz val="1200"/>
        <x:color rgb="FF000000"/>
        <x:rFont val="Aptos"/>
      </x:rPr>
      <x:t xml:space="preserve">, de Thomas Elsaesser, Centre Pompidou, 2005</x:t>
    </x:r>
    <x:r>
      <x:rPr>
        <x:i/>
        <x:sz val="1200"/>
        <x:color rgb="FF000000"/>
        <x:rFont val="Aptos"/>
      </x:rPr>
      <x:t xml:space="preserve">, pp. 490-507</x:t>
    </x:r>
  </x:si>
  <x:si>
    <x:t xml:space="preserve">Repères historiques, chronologie politique</x:t>
  </x:si>
  <x:si>
    <x:t xml:space="preserve">Fassbinder</x:t>
  </x:si>
  <x:si>
    <x:r>
      <x:rPr>
        <x:i/>
        <x:sz val="1200"/>
        <x:color rgb="FF000000"/>
      </x:rPr>
      <x:t xml:space="preserve">R. W. Fassbinder, cinéaste d’Allemagne</x:t>
    </x:r>
    <x:r>
      <x:rPr>
        <x:sz val="1200"/>
        <x:color rgb="FF000000"/>
        <x:rFont val="Aptos"/>
      </x:rPr>
      <x:t xml:space="preserve">, de Thomas Elsaesser, Centre Pompidou, 2005</x:t>
    </x:r>
  </x:si>
  <x:si>
    <x:t xml:space="preserve">Biographie et filmographie</x:t>
  </x:si>
  <x:si>
    <x:t xml:space="preserve">URL éventuelle</x:t>
  </x:si>
  <x:si>
    <x:t xml:space="preserve">Cinéma allemand</x:t>
  </x:si>
  <x:si>
    <x:t xml:space="preserve">Référence complète</x:t>
  </x:si>
  <x:si>
    <x:t xml:space="preserve">Contexte culturel et esthétique</x:t>
  </x:si>
  <x:si>
    <x:t xml:space="preserve">Archives et sites</x:t>
  </x:si>
  <x:si>
    <x:t xml:space="preserve">Nom du site ou de l’institution</x:t>
  </x:si>
  <x:si>
    <x:t xml:space="preserve">Documents et vérifications</x:t>
  </x:si>
  <x:si>
    <x:t xml:space="preserve">URL</x:t>
  </x:si>
  <x:si>
    <x:t xml:space="preserve">Titre canonique</x:t>
  </x:si>
  <x:si>
    <x:t xml:space="preserve">ID canonique</x:t>
  </x:si>
  <x:si>
    <x:t xml:space="preserve">L’Amour est plus froid que la mort</x:t>
  </x:si>
  <x:si>
    <x:t xml:space="preserve">film-1969-l-amour-est-plus-froid-que-la-mort</x:t>
  </x:si>
  <x:si>
    <x:t xml:space="preserve">Le Bouc</x:t>
  </x:si>
  <x:si>
    <x:t xml:space="preserve">film-1969-le-bouc</x:t>
  </x:si>
  <x:si>
    <x:t xml:space="preserve">Les Dieux de la peste</x:t>
  </x:si>
  <x:si>
    <x:t xml:space="preserve">film-1970-les-dieux-de-la-peste</x:t>
  </x:si>
  <x:si>
    <x:t xml:space="preserve">Pourquoi M. R. est-il atteint de folie meurtrière ?</x:t>
  </x:si>
  <x:si>
    <x:t xml:space="preserve">film-1970-pourquoi-m-r-est-il-atteint-de-folie-meurtriere</x:t>
  </x:si>
  <x:si>
    <x:t xml:space="preserve">Le Soldat américain</x:t>
  </x:si>
  <x:si>
    <x:t xml:space="preserve">film-1970-le-soldat-americain</x:t>
  </x:si>
  <x:si>
    <x:t xml:space="preserve">Le Voyage à Niklashausen</x:t>
  </x:si>
  <x:si>
    <x:t xml:space="preserve">film-1970-le-voyage-a-niklashausen</x:t>
  </x:si>
  <x:si>
    <x:t xml:space="preserve">Whity</x:t>
  </x:si>
  <x:si>
    <x:t xml:space="preserve">film-1971-whity</x:t>
  </x:si>
  <x:si>
    <x:t xml:space="preserve">Prenez garde à la sainte putain</x:t>
  </x:si>
  <x:si>
    <x:t xml:space="preserve">film-1971-prenez-garde-a-la-sainte-putain</x:t>
  </x:si>
  <x:si>
    <x:t xml:space="preserve">Pionniers à Ingolstadt</x:t>
  </x:si>
  <x:si>
    <x:t xml:space="preserve">film-1971-pionniers-a-ingolstadt</x:t>
  </x:si>
  <x:si>
    <x:t xml:space="preserve">Le Marchand des quatre saisons</x:t>
  </x:si>
  <x:si>
    <x:t xml:space="preserve">film-1972-le-marchand-des-quatre-saisons</x:t>
  </x:si>
  <x:si>
    <x:t xml:space="preserve">Les Larmes amères de Petra von Kant</x:t>
  </x:si>
  <x:si>
    <x:t xml:space="preserve">film-1972-les-larmes-ameres-de-petra-von-kant</x:t>
  </x:si>
  <x:si>
    <x:t xml:space="preserve">Liberté à Brême</x:t>
  </x:si>
  <x:si>
    <x:t xml:space="preserve">film-1972-liberte-a-breme</x:t>
  </x:si>
  <x:si>
    <x:t xml:space="preserve">Huit heures ne font pas un jour</x:t>
  </x:si>
  <x:si>
    <x:t xml:space="preserve">film-1972-huit-heures-ne-font-pas-un-jour</x:t>
  </x:si>
  <x:si>
    <x:t xml:space="preserve">Gibier de passage</x:t>
  </x:si>
  <x:si>
    <x:t xml:space="preserve">film-1973-gibier-de-passage</x:t>
  </x:si>
  <x:si>
    <x:t xml:space="preserve">Le Monde sur un fil</x:t>
  </x:si>
  <x:si>
    <x:t xml:space="preserve">film-1973-le-monde-sur-un-fil</x:t>
  </x:si>
  <x:si>
    <x:t xml:space="preserve">Tous les autres s’appellent Ali</x:t>
  </x:si>
  <x:si>
    <x:t xml:space="preserve">film-1974-tous-les-autres-s-appellent-ali</x:t>
  </x:si>
  <x:si>
    <x:t xml:space="preserve">Effi Briest</x:t>
  </x:si>
  <x:si>
    <x:t xml:space="preserve">film-1974-effi-briest</x:t>
  </x:si>
  <x:si>
    <x:t xml:space="preserve">Nora Helmer</x:t>
  </x:si>
  <x:si>
    <x:t xml:space="preserve">film-1974-nora-helmer</x:t>
  </x:si>
  <x:si>
    <x:t xml:space="preserve">Martha</x:t>
  </x:si>
  <x:si>
    <x:t xml:space="preserve">film-1974-martha</x:t>
  </x:si>
  <x:si>
    <x:t xml:space="preserve">Le Droit du plus fort</x:t>
  </x:si>
  <x:si>
    <x:t xml:space="preserve">film-1975-le-droit-du-plus-fort</x:t>
  </x:si>
  <x:si>
    <x:t xml:space="preserve">Maman Küsters s’en va au ciel</x:t>
  </x:si>
  <x:si>
    <x:t xml:space="preserve">film-1975-maman-kusters-s-en-va-au-ciel</x:t>
  </x:si>
  <x:si>
    <x:t xml:space="preserve">Comme un oiseau sur le fil</x:t>
  </x:si>
  <x:si>
    <x:t xml:space="preserve">film-1975-comme-un-oiseau-sur-le-fil</x:t>
  </x:si>
  <x:si>
    <x:t xml:space="preserve">Peur de la peur</x:t>
  </x:si>
  <x:si>
    <x:t xml:space="preserve">film-1975-peur-de-la-peur</x:t>
  </x:si>
  <x:si>
    <x:t xml:space="preserve">L’Ombre des anges</x:t>
  </x:si>
  <x:si>
    <x:t xml:space="preserve">film-1976-l-ombre-des-anges</x:t>
  </x:si>
  <x:si>
    <x:t xml:space="preserve">Le Rôti de Satan</x:t>
  </x:si>
  <x:si>
    <x:t xml:space="preserve">film-1976-le-roti-de-satan</x:t>
  </x:si>
  <x:si>
    <x:t xml:space="preserve">Roulette chinoise</x:t>
  </x:si>
  <x:si>
    <x:t xml:space="preserve">film-1976-roulette-chinoise</x:t>
  </x:si>
  <x:si>
    <x:t xml:space="preserve">Je veux seulement que vous m’aimiez</x:t>
  </x:si>
  <x:si>
    <x:t xml:space="preserve">film-1976-je-veux-seulement-que-vous-m-aimiez</x:t>
  </x:si>
  <x:si>
    <x:t xml:space="preserve">Femmes à New York</x:t>
  </x:si>
  <x:si>
    <x:t xml:space="preserve">film-1977-femmes-a-new-york</x:t>
  </x:si>
  <x:si>
    <x:t xml:space="preserve">La Femme du chef de gare</x:t>
  </x:si>
  <x:si>
    <x:t xml:space="preserve">film-1977-la-femme-du-chef-de-gare</x:t>
  </x:si>
  <x:si>
    <x:t xml:space="preserve">L’Allemagne en automne</x:t>
  </x:si>
  <x:si>
    <x:t xml:space="preserve">film-1978-l-allemagne-en-automne</x:t>
  </x:si>
  <x:si>
    <x:t xml:space="preserve">Despair</x:t>
  </x:si>
  <x:si>
    <x:t xml:space="preserve">film-1978-despair</x:t>
  </x:si>
  <x:si>
    <x:t xml:space="preserve">L’Année des treize lunes</x:t>
  </x:si>
  <x:si>
    <x:t xml:space="preserve">film-1978-l-annee-des-treize-lunes</x:t>
  </x:si>
  <x:si>
    <x:t xml:space="preserve">Le Mariage de Maria Braun</x:t>
  </x:si>
  <x:si>
    <x:t xml:space="preserve">film-1978-le-mariage-de-maria-braun</x:t>
  </x:si>
  <x:si>
    <x:t xml:space="preserve">La Troisième génération</x:t>
  </x:si>
  <x:si>
    <x:t xml:space="preserve">film-1979-la-troisieme-generation</x:t>
  </x:si>
  <x:si>
    <x:t xml:space="preserve">Berlin Alexanderplatz</x:t>
  </x:si>
  <x:si>
    <x:t xml:space="preserve">film-1980-berlin-alexanderplatz</x:t>
  </x:si>
  <x:si>
    <x:t xml:space="preserve">Lili Marleen</x:t>
  </x:si>
  <x:si>
    <x:t xml:space="preserve">film-1981-lili-marleen</x:t>
  </x:si>
  <x:si>
    <x:t xml:space="preserve">Théâtre en transe</x:t>
  </x:si>
  <x:si>
    <x:t xml:space="preserve">film-1981-theatre-en-transe</x:t>
  </x:si>
  <x:si>
    <x:t xml:space="preserve">Lola, une femme allemande</x:t>
  </x:si>
  <x:si>
    <x:t xml:space="preserve">film-1981-lola-une-femme-allemande</x:t>
  </x:si>
  <x:si>
    <x:t xml:space="preserve">Le Secret de Veronika Voss</x:t>
  </x:si>
  <x:si>
    <x:t xml:space="preserve">film-1981-le-secret-de-veronika-voss</x:t>
  </x:si>
  <x:si>
    <x:t xml:space="preserve">Querelle</x:t>
  </x:si>
  <x:si>
    <x:t xml:space="preserve">film-1982-querelle</x:t>
  </x:si>
  <x:si>
    <x:t xml:space="preserve">RWF_Frise — IDs automatiques</x:t>
  </x:si>
  <x:si>
    <x:t xml:space="preserve">Principe</x:t>
  </x:si>
  <x:si>
    <x:t xml:space="preserve">Les colonnes IDs films — Œuvres sont calculées à partir des titres canoniques présents dans Œuvres.</x:t>
  </x:si>
  <x:si>
    <x:t xml:space="preserve">Saisie</x:t>
  </x:si>
  <x:si>
    <x:t xml:space="preserve">Employer les titres français canoniques du référentiel. Plusieurs titres peuvent figurer dans la même cellule.</x:t>
  </x:si>
  <x:si>
    <x:t xml:space="preserve">Absence d’ID</x:t>
  </x:si>
  <x:si>
    <x:t xml:space="preserve">Une œuvre absente du référentiel Films reste sans ID : aucun identifiant n’est inventé.</x:t>
  </x:si>
  <x:si>
    <x:t xml:space="preserve">Mise à jour</x:t>
  </x:si>
  <x:si>
    <x:t xml:space="preserve">Lorsqu’une nouvelle fiche Film est créée, ajouter son titre et son ID dans Référentiel films.</x:t>
  </x:si>
</x:sst>
</file>

<file path=xl/styles.xml><?xml version="1.0" encoding="utf-8"?>
<x:styleSheet xmlns:x="http://schemas.openxmlformats.org/spreadsheetml/2006/main">
  <x:fonts count="21">
    <x:font>
      <x:sz val="10"/>
      <x:name val="Arial"/>
    </x:font>
    <x:font>
      <x:sz val="12"/>
      <x:color theme="10"/>
      <x:name val="Aptos Narrow"/>
    </x:font>
    <x:font>
      <x:sz val="12"/>
      <x:color theme="1"/>
      <x:name val="Aptos Narrow"/>
    </x:font>
    <x:font>
      <x:sz val="10"/>
      <x:color theme="1"/>
      <x:name val="Arial"/>
    </x:font>
    <x:font>
      <x:sz val="12"/>
      <x:color rgb="FF1F4E78"/>
      <x:name val="Aptos Narrow"/>
    </x:font>
    <x:font>
      <x:sz val="10"/>
      <x:color rgb="FF1F4E78"/>
      <x:name val="Arial"/>
    </x:font>
    <x:font>
      <x:sz val="10"/>
      <x:color theme="0"/>
      <x:name val="Arial"/>
    </x:font>
    <x:font>
      <x:b/>
      <x:sz val="15"/>
      <x:color rgb="FFFFFFFF"/>
      <x:name val="Aptos Narrow"/>
    </x:font>
    <x:font>
      <x:b/>
      <x:sz val="12"/>
      <x:color rgb="FF1F4E78"/>
      <x:name val="Aptos Narrow"/>
    </x:font>
    <x:font>
      <x:sz val="10"/>
      <x:name val="Arial"/>
    </x:font>
    <x:font>
      <x:i/>
      <x:sz val="10"/>
      <x:color theme="1"/>
      <x:name val="Arial"/>
    </x:font>
    <x:font>
      <x:i/>
      <x:sz val="10"/>
      <x:name val="Arial"/>
    </x:font>
    <x:font>
      <x:b/>
      <x:sz val="10"/>
      <x:color rgb="FF000000"/>
      <x:name val="Arial"/>
    </x:font>
    <x:font>
      <x:sz val="10"/>
      <x:color rgb="FF000000"/>
      <x:name val="Arial"/>
    </x:font>
    <x:font>
      <x:i/>
      <x:sz val="12"/>
      <x:name val="Aptos"/>
    </x:font>
    <x:font>
      <x:sz val="12"/>
      <x:name val="Aptos"/>
    </x:font>
    <x:font>
      <x:sz val="10"/>
      <x:color theme="10"/>
      <x:name val="Arial"/>
    </x:font>
    <x:font>
      <x:i/>
      <x:sz val="10"/>
      <x:color rgb="FF000000"/>
      <x:name val="Arial"/>
    </x:font>
    <x:font>
      <x:sz val="12"/>
      <x:color theme="10"/>
      <x:name val="Arial"/>
    </x:font>
    <x:font>
      <x:i/>
      <x:sz val="12"/>
      <x:color theme="1"/>
      <x:name val="Aptos Narrow"/>
    </x:font>
    <x:font>
      <x:sz val="14"/>
      <x:color rgb="FF000000"/>
      <x:name val="-webkit-standard"/>
    </x:font>
  </x:fonts>
  <x:fills count="8">
    <x:fill>
      <x:patternFill patternType="none"/>
    </x:fill>
    <x:fill>
      <x:patternFill patternType="gray125"/>
    </x:fill>
    <x:fill>
      <x:patternFill patternType="solid">
        <x:fgColor rgb="FFEEF5FA"/>
      </x:patternFill>
    </x:fill>
    <x:fill>
      <x:patternFill patternType="solid">
        <x:fgColor rgb="FFF2F7FB"/>
      </x:patternFill>
    </x:fill>
    <x:fill>
      <x:patternFill patternType="solid">
        <x:fgColor rgb="FF1F4E78"/>
      </x:patternFill>
    </x:fill>
    <x:fill>
      <x:patternFill patternType="solid">
        <x:fgColor rgb="FFD9EAF4"/>
      </x:patternFill>
    </x:fill>
    <x:fill>
      <x:patternFill patternType="solid">
        <x:fgColor rgb="FFD9D9D9"/>
      </x:patternFill>
    </x:fill>
    <x:fill>
      <x:patternFill patternType="solid">
        <x:fgColor theme="1"/>
      </x:patternFill>
    </x:fill>
  </x:fills>
  <x:borders count="2">
    <x:border/>
    <x:border>
      <x:top style="thin">
        <x:color rgb="FF000000"/>
      </x:top>
      <x:bottom style="thin">
        <x:color rgb="FF000000"/>
      </x:bottom>
    </x:border>
  </x:borders>
  <x:cellStyleXfs count="3">
    <x:xf numFmtId="0" fontId="0" fillId="0" borderId="0"/>
    <x:xf numFmtId="0" fontId="1" fillId="0" borderId="0"/>
    <x:xf numFmtId="0" fontId="2" fillId="0" borderId="0"/>
  </x:cellStyleXfs>
  <x:cellXfs count="30">
    <x:xf numFmtId="0" fontId="0" fillId="0" borderId="0" xfId="0"/>
    <x:xf numFmtId="0" fontId="3" fillId="0" borderId="0" xfId="2" applyFont="1" applyAlignment="1">
      <x:alignment vertical="top" wrapText="1"/>
    </x:xf>
    <x:xf numFmtId="0" fontId="4" fillId="2" borderId="0" xfId="2" applyFont="1" applyFill="1" applyAlignment="1">
      <x:alignment wrapText="1"/>
    </x:xf>
    <x:xf numFmtId="0" fontId="1" fillId="0" borderId="0" xfId="1" applyAlignment="1">
      <x:alignment wrapText="1"/>
    </x:xf>
    <x:xf numFmtId="0" fontId="5" fillId="2" borderId="0" xfId="2" applyFont="1" applyFill="1" applyAlignment="1">
      <x:alignment vertical="top" wrapText="1"/>
    </x:xf>
    <x:xf numFmtId="0" fontId="2" fillId="0" borderId="0" xfId="2" applyAlignment="1">
      <x:alignment vertical="top" wrapText="1"/>
    </x:xf>
    <x:xf numFmtId="0" fontId="2" fillId="0" borderId="0" xfId="2" applyAlignment="1">
      <x:alignment horizontal="left" vertical="top" wrapText="1"/>
    </x:xf>
    <x:xf numFmtId="0" fontId="2" fillId="0" borderId="0" xfId="2" applyAlignment="1">
      <x:alignment wrapText="1"/>
    </x:xf>
    <x:xf numFmtId="0" fontId="6" fillId="0" borderId="0" xfId="2" applyFont="1" applyAlignment="1">
      <x:alignment vertical="top" wrapText="1"/>
    </x:xf>
    <x:xf numFmtId="0" fontId="2" fillId="3" borderId="0" xfId="2" applyFill="1" applyAlignment="1">
      <x:alignment wrapText="1"/>
    </x:xf>
    <x:xf numFmtId="0" fontId="7" fillId="4" borderId="0" xfId="2" applyFont="1" applyFill="1" applyAlignment="1">
      <x:alignment wrapText="1"/>
    </x:xf>
    <x:xf numFmtId="0" fontId="8" fillId="5" borderId="0" xfId="2" applyFont="1" applyFill="1" applyAlignment="1">
      <x:alignment wrapText="1"/>
    </x:xf>
    <x:xf numFmtId="0" fontId="6" fillId="0" borderId="0" xfId="0" applyFont="1"/>
    <x:xf numFmtId="0" fontId="1" fillId="0" borderId="0" xfId="1" applyAlignment="1">
      <x:alignment vertical="top" wrapText="1"/>
    </x:xf>
    <x:xf numFmtId="0" fontId="0" fillId="0" borderId="0" xfId="0" applyAlignment="1">
      <x:alignment vertical="top"/>
    </x:xf>
    <x:xf numFmtId="0" fontId="0" fillId="0" borderId="0" xfId="0" applyAlignment="1">
      <x:alignment vertical="top" wrapText="1"/>
    </x:xf>
    <x:xf numFmtId="0" fontId="12" fillId="0" borderId="0" xfId="0" applyFont="1"/>
    <x:xf numFmtId="0" fontId="13" fillId="0" borderId="0" xfId="0" applyFont="1" applyAlignment="1">
      <x:alignment vertical="top" wrapText="1"/>
    </x:xf>
    <x:xf numFmtId="0" fontId="14" fillId="0" borderId="0" xfId="0" applyFont="1" applyAlignment="1">
      <x:alignment vertical="top" wrapText="1"/>
    </x:xf>
    <x:xf numFmtId="0" fontId="9" fillId="0" borderId="0" xfId="0" applyFont="1" applyAlignment="1">
      <x:alignment vertical="top" wrapText="1"/>
    </x:xf>
    <x:xf numFmtId="0" fontId="16" fillId="0" borderId="0" xfId="1" applyFont="1" applyAlignment="1">
      <x:alignment vertical="top" wrapText="1"/>
    </x:xf>
    <x:xf numFmtId="0" fontId="13" fillId="0" borderId="0" xfId="2" applyFont="1" applyAlignment="1">
      <x:alignment vertical="top" wrapText="1"/>
    </x:xf>
    <x:xf numFmtId="0" fontId="17" fillId="0" borderId="0" xfId="2" applyFont="1" applyAlignment="1">
      <x:alignment vertical="top" wrapText="1"/>
    </x:xf>
    <x:xf numFmtId="0" fontId="18" fillId="0" borderId="0" xfId="1" applyFont="1" applyAlignment="1">
      <x:alignment vertical="top" wrapText="1"/>
    </x:xf>
    <x:xf numFmtId="0" fontId="3" fillId="0" borderId="0" xfId="2" applyFont="1" applyAlignment="1">
      <x:alignment horizontal="left" vertical="top" wrapText="1"/>
    </x:xf>
    <x:xf numFmtId="0" fontId="10" fillId="0" borderId="0" xfId="2" applyFont="1" applyAlignment="1">
      <x:alignment vertical="top" wrapText="1"/>
    </x:xf>
    <x:xf numFmtId="0" fontId="13" fillId="6" borderId="1" xfId="0" applyFont="1" applyFill="1" applyBorder="1" applyAlignment="1">
      <x:alignment vertical="top" wrapText="1"/>
    </x:xf>
    <x:xf numFmtId="0" fontId="20" fillId="0" borderId="0" xfId="0" applyFont="1"/>
    <x:xf numFmtId="0" fontId="0" fillId="0" borderId="0" xfId="0" applyAlignment="1">
      <x:alignment wrapText="1"/>
    </x:xf>
    <x:xf numFmtId="0" fontId="6" fillId="7" borderId="0" xfId="0" applyFont="1" applyFill="1" applyAlignment="1">
      <x:alignment vertical="top"/>
    </x:xf>
  </x:cellXfs>
  <x:cellStyles count="3">
    <x:cellStyle name="Lien hypertexte" xfId="1"/>
    <x:cellStyle name="Normal" xfId="0"/>
    <x:cellStyle name="Normal 2" xfId="2"/>
  </x:cellStyles>
  <x:dxfs count="23">
    <x:dxf>
      <x:font>
        <x:u val="none"/>
        <x:sz val="10"/>
        <x:color theme="0"/>
        <x:name val="Arial"/>
        <x:family val="2"/>
        <x:scheme val="none"/>
      </x:font>
    </x:dxf>
    <x:dxf>
      <x:font>
        <x:u val="none"/>
        <x:sz val="10"/>
        <x:name val="Arial"/>
        <x:family val="2"/>
        <x:scheme val="none"/>
      </x:font>
    </x:dxf>
    <x:dxf>
      <x:font>
        <x:u val="none"/>
        <x:sz val="10"/>
        <x:name val="Arial"/>
        <x:family val="2"/>
        <x:scheme val="none"/>
      </x:font>
    </x:dxf>
    <x:dxf>
      <x:font>
        <x:u val="none"/>
        <x:sz val="10"/>
        <x:name val="Arial"/>
        <x:family val="2"/>
        <x:scheme val="none"/>
      </x:font>
    </x:dxf>
    <x:dxf>
      <x:font>
        <x:u val="none"/>
        <x:sz val="10"/>
        <x:name val="Arial"/>
        <x:family val="2"/>
        <x:scheme val="none"/>
      </x:font>
    </x:dxf>
    <x:dxf>
      <x:font>
        <x:u val="none"/>
        <x:sz val="10"/>
        <x:name val="Arial"/>
        <x:family val="2"/>
        <x:scheme val="none"/>
      </x:font>
    </x:dxf>
    <x:dxf>
      <x:font>
        <x:u val="none"/>
        <x:sz val="10"/>
        <x:name val="Arial"/>
        <x:family val="2"/>
        <x:scheme val="none"/>
      </x:font>
    </x:dxf>
    <x:dxf>
      <x:font>
        <x:u val="none"/>
        <x:sz val="10"/>
        <x:name val="Arial"/>
        <x:family val="2"/>
        <x:scheme val="none"/>
      </x:font>
    </x:dxf>
    <x:dxf>
      <x:font>
        <x:u val="none"/>
        <x:sz val="10"/>
        <x:name val="Arial"/>
        <x:family val="2"/>
        <x:scheme val="none"/>
      </x:font>
    </x:dxf>
    <x:dxf>
      <x:font>
        <x:u val="none"/>
        <x:sz val="10"/>
        <x:name val="Arial"/>
        <x:family val="2"/>
        <x:scheme val="none"/>
      </x:font>
    </x:dxf>
    <x:dxf>
      <x:font>
        <x:u val="none"/>
        <x:sz val="10"/>
        <x:name val="Arial"/>
        <x:family val="2"/>
        <x:scheme val="none"/>
      </x:font>
    </x:dxf>
    <x:dxf>
      <x:font>
        <x:u val="none"/>
        <x:sz val="10"/>
        <x:name val="Arial"/>
        <x:family val="2"/>
        <x:scheme val="none"/>
      </x:font>
    </x:dxf>
    <x:dxf>
      <x:font>
        <x:u val="none"/>
        <x:sz val="10"/>
        <x:name val="Arial"/>
        <x:family val="2"/>
        <x:scheme val="none"/>
      </x:font>
    </x:dxf>
    <x:dxf>
      <x:font>
        <x:u val="none"/>
        <x:sz val="10"/>
        <x:name val="Arial"/>
        <x:family val="2"/>
        <x:scheme val="none"/>
      </x:font>
    </x:dxf>
    <x:dxf>
      <x:font>
        <x:u val="none"/>
        <x:sz val="10"/>
        <x:name val="Arial"/>
        <x:family val="2"/>
        <x:scheme val="none"/>
      </x:font>
    </x:dxf>
    <x:dxf>
      <x:font>
        <x:u val="none"/>
        <x:sz val="10"/>
        <x:name val="Arial"/>
        <x:family val="2"/>
        <x:scheme val="none"/>
      </x:font>
    </x:dxf>
    <x:dxf>
      <x:font>
        <x:u val="none"/>
        <x:sz val="10"/>
        <x:name val="Arial"/>
        <x:family val="2"/>
        <x:scheme val="none"/>
      </x:font>
    </x:dxf>
    <x:dxf>
      <x:font>
        <x:u val="none"/>
        <x:sz val="10"/>
        <x:name val="Arial"/>
        <x:family val="2"/>
        <x:scheme val="none"/>
      </x:font>
    </x:dxf>
    <x:dxf>
      <x:font>
        <x:u val="none"/>
        <x:sz val="10"/>
        <x:name val="Arial"/>
        <x:family val="2"/>
        <x:scheme val="none"/>
      </x:font>
    </x:dxf>
    <x:dxf>
      <x:font>
        <x:u val="none"/>
        <x:sz val="10"/>
        <x:name val="Arial"/>
        <x:family val="2"/>
        <x:scheme val="none"/>
      </x:font>
    </x:dxf>
    <x:dxf>
      <x:font>
        <x:u val="none"/>
        <x:sz val="10"/>
        <x:name val="Arial"/>
        <x:family val="2"/>
        <x:scheme val="none"/>
      </x:font>
    </x:dxf>
    <x:dxf>
      <x:font>
        <x:u val="none"/>
        <x:sz val="10"/>
        <x:name val="Arial"/>
        <x:family val="2"/>
        <x:scheme val="none"/>
      </x:font>
    </x:dxf>
    <x:dxf>
      <x:font>
        <x:u val="none"/>
        <x:sz val="10"/>
        <x:color theme="0"/>
        <x:name val="Arial"/>
        <x:family val="2"/>
        <x:scheme val="none"/>
      </x:font>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008080"/>
      <x:rgbColor rgb="FFC0C0C0"/>
      <x:rgbColor rgb="FF808080"/>
      <x:rgbColor rgb="FF9999FF"/>
      <x:rgbColor rgb="FF993366"/>
      <x:rgbColor rgb="FFF2F7FB"/>
      <x:rgbColor rgb="FFD9EAF4"/>
      <x:rgbColor rgb="FF660066"/>
      <x:rgbColor rgb="FFFF8080"/>
      <x:rgbColor rgb="FF0066CC"/>
      <x:rgbColor rgb="FFCCCCFF"/>
      <x:rgbColor rgb="FF000080"/>
      <x:rgbColor rgb="FFFF00FF"/>
      <x:rgbColor rgb="FFFFFF00"/>
      <x:rgbColor rgb="FF00FFFF"/>
      <x:rgbColor rgb="FF800080"/>
      <x:rgbColor rgb="FF800000"/>
      <x:rgbColor rgb="FF008080"/>
      <x:rgbColor rgb="FF0000FF"/>
      <x:rgbColor rgb="FF00CCFF"/>
      <x:rgbColor rgb="FFEEF5FA"/>
      <x:rgbColor rgb="FFCCFFCC"/>
      <x:rgbColor rgb="FFFFFF99"/>
      <x:rgbColor rgb="FF99CCFF"/>
      <x:rgbColor rgb="FFFF99CC"/>
      <x:rgbColor rgb="FFCC99FF"/>
      <x:rgbColor rgb="FFFFCC99"/>
      <x:rgbColor rgb="FF3366FF"/>
      <x:rgbColor rgb="FF33CCCC"/>
      <x:rgbColor rgb="FF99CC00"/>
      <x:rgbColor rgb="FFFFCC00"/>
      <x:rgbColor rgb="FFFF9900"/>
      <x:rgbColor rgb="FFFF6600"/>
      <x:rgbColor rgb="FF467886"/>
      <x:rgbColor rgb="FF969696"/>
      <x:rgbColor rgb="FF003366"/>
      <x:rgbColor rgb="FF339966"/>
      <x:rgbColor rgb="FF003300"/>
      <x:rgbColor rgb="FF333300"/>
      <x:rgbColor rgb="FF993300"/>
      <x:rgbColor rgb="FF993366"/>
      <x:rgbColor rgb="FF1F4E78"/>
      <x:rgbColor rgb="FF333333"/>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e82d2ab574a4df2" /><Relationship Type="http://schemas.openxmlformats.org/officeDocument/2006/relationships/theme" Target="/xl/theme/theme1.xml" Id="R62afb9dadcf14a71" /><Relationship Type="http://schemas.openxmlformats.org/officeDocument/2006/relationships/sharedStrings" Target="/xl/sharedStrings.xml" Id="R0369fd6480984f00" /><Relationship Type="http://schemas.openxmlformats.org/officeDocument/2006/relationships/worksheet" Target="/xl/worksheets/sheet1.xml" Id="R0ff2b39701f746c7" /><Relationship Type="http://schemas.openxmlformats.org/officeDocument/2006/relationships/worksheet" Target="/xl/worksheets/sheet2.xml" Id="Rc266c3980de040f8" /><Relationship Type="http://schemas.openxmlformats.org/officeDocument/2006/relationships/worksheet" Target="/xl/worksheets/sheet3.xml" Id="Rd49601a0534b43ff" /><Relationship Type="http://schemas.openxmlformats.org/officeDocument/2006/relationships/worksheet" Target="/xl/worksheets/sheet4.xml" Id="R79559e2b85bd4484" /><Relationship Type="http://schemas.openxmlformats.org/officeDocument/2006/relationships/worksheet" Target="/xl/worksheets/sheet5.xml" Id="R1e48d41e5b2a461c" /></Relationships>
</file>

<file path=xl/tables/table1.xml><?xml version="1.0" encoding="utf-8"?>
<x:table xmlns:x="http://schemas.openxmlformats.org/spreadsheetml/2006/main" id="3" name="Tableau2" displayName="Tableau2" ref="A1:N10" totalsRowShown="0">
  <x:autoFilter ref="A1:N10"/>
  <x:tableColumns count="14">
    <x:tableColumn id="1" name="ID période"/>
    <x:tableColumn id="2" name="Titre période"/>
    <x:tableColumn id="3" name="question directrice"/>
    <x:tableColumn id="4" name="Événement histoire et politique"/>
    <x:tableColumn id="5" name="Contexte culturel"/>
    <x:tableColumn id="6" name="Biographie de Fassbinder"/>
    <x:tableColumn id="7" name="Œuvres"/>
    <x:tableColumn id="8" name="ID films - Œuvres"/>
    <x:tableColumn id="9" name="Analyse et réception critique"/>
    <x:tableColumn id="10" name="Liens"/>
    <x:tableColumn id="11" name="Citation"/>
    <x:tableColumn id="12" name="Image"/>
    <x:tableColumn id="13" name="Legende"/>
    <x:tableColumn id="14" name="Notion"/>
  </x:tableColumns>
  <x:tableStyleInfo name="TableStyleMedium1" showFirstColumn="0" showLastColumn="0" showRowStripes="1" showColumnStripes="0"/>
</x:table>
</file>

<file path=xl/tables/table2.xml><?xml version="1.0" encoding="utf-8"?>
<x:table xmlns:x="http://schemas.openxmlformats.org/spreadsheetml/2006/main" id="2" name="Tableau1" displayName="Tableau1" ref="A1:T37" totalsRowShown="0" dataDxfId="21">
  <x:autoFilter ref="A1:T37"/>
  <x:tableColumns count="20">
    <x:tableColumn id="1" name="Année" dataDxfId="20"/>
    <x:tableColumn id="2" name="ID période" dataDxfId="19"/>
    <x:tableColumn id="3" name="Événement histoire et politique" dataDxfId="18"/>
    <x:tableColumn id="4" name="Contexte culturel" dataDxfId="17"/>
    <x:tableColumn id="5" name="Biographie de Fassbinder" dataDxfId="16"/>
    <x:tableColumn id="6" name="Œuvres" dataDxfId="15"/>
    <x:tableColumn id="7" name="Analyse et Réception critique" dataDxfId="14"/>
    <x:tableColumn id="8" name="Liens" dataDxfId="13"/>
    <x:tableColumn id="9" name="Extraits" dataDxfId="12"/>
    <x:tableColumn id="10" name="Description de l'extrait" dataDxfId="11"/>
    <x:tableColumn id="11" name="Consigne d'analyse" dataDxfId="10"/>
    <x:tableColumn id="12" name="Citation" dataDxfId="9"/>
    <x:tableColumn id="13" name="Image 1" dataDxfId="8"/>
    <x:tableColumn id="14" name="Légende 1" dataDxfId="7"/>
    <x:tableColumn id="15" name="Image 2" dataDxfId="6"/>
    <x:tableColumn id="16" name="Légende 2" dataDxfId="5"/>
    <x:tableColumn id="17" name="Image 3" dataDxfId="4"/>
    <x:tableColumn id="18" name="Légende 3" dataDxfId="3"/>
    <x:tableColumn id="19" name="Notion" dataDxfId="2"/>
    <x:tableColumn id="20" name="Source" dataDxfId="1"/>
  </x:tableColumns>
  <x:tableStyleInfo name="TableStyleMedium1" showFirstColumn="0" showLastColumn="0" showRowStripes="1" showColumnStripes="0"/>
</x:table>
</file>

<file path=xl/tables/table3.xml><?xml version="1.0" encoding="utf-8"?>
<x:table xmlns:x="http://schemas.openxmlformats.org/spreadsheetml/2006/main" id="1" name="ReferentielFilmsFrise" displayName="ReferentielFilmsFrise" ref="A1:B41" totalsRowShown="0">
  <x:tableColumns count="2">
    <x:tableColumn id="1" name="Titre canonique"/>
    <x:tableColumn id="2" name="ID canonique"/>
  </x:tableColumns>
  <x:tableStyleInfo name="TableStyleMedium1" showFirstColumn="0" showLastColumn="0" showRowStripes="1" showColumnStripes="0"/>
</x: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s://youtu.be/kp-fpPFhwyU?si=I3f1RY_wqNXN_k0l" TargetMode="External" Id="R6ef69c2cecf14ebf" /><Relationship Type="http://schemas.openxmlformats.org/officeDocument/2006/relationships/hyperlink" Target="https://www.youtube.com/watch?v=XOEZi6eGT60" TargetMode="External" Id="R9cc8b3569eef4e1f" /><Relationship Type="http://schemas.openxmlformats.org/officeDocument/2006/relationships/table" Target="/xl/tables/table1.xml" Id="R63011d5a2ca44ff9" /></Relationships>
</file>

<file path=xl/worksheets/_rels/sheet2.xml.rels>&#65279;<?xml version="1.0" encoding="utf-8"?><Relationships xmlns="http://schemas.openxmlformats.org/package/2006/relationships"><Relationship Type="http://schemas.openxmlformats.org/officeDocument/2006/relationships/hyperlink" Target="https://youtu.be/kp-fpPFhwyU?si=C1WL9vXZBQ2rRfql" TargetMode="External" Id="Rf09701e4227149b1" /><Relationship Type="http://schemas.openxmlformats.org/officeDocument/2006/relationships/hyperlink" Target="https://youtu.be/Fl7QGI6R0PU?si=dJe7Hw-LQki1uquU" TargetMode="External" Id="Rea7ccbe631244721" /><Relationship Type="http://schemas.openxmlformats.org/officeDocument/2006/relationships/hyperlink" Target="https://www.youtube.com/watch?v=n94PjCv9HHI" TargetMode="External" Id="R82f9d859ca32471c" /><Relationship Type="http://schemas.openxmlformats.org/officeDocument/2006/relationships/hyperlink" Target="https://youtu.be/SOWsLVl7zG4?si=HJ-3Bd1iMfxALCeK" TargetMode="External" Id="Rb813206680cf453d" /><Relationship Type="http://schemas.openxmlformats.org/officeDocument/2006/relationships/hyperlink" Target="https://www.lhistoire.fr/17-juin-1953-insurrection-&#224;-berlin-une-m&#233;moire-allemande" TargetMode="External" Id="Ra26d2d27902a4982" /><Relationship Type="http://schemas.openxmlformats.org/officeDocument/2006/relationships/hyperlink" Target="https://youtu.be/Re2pxEMbZtA?si=l6bk_kzEIePjcE5M" TargetMode="External" Id="R240f76110668449d" /><Relationship Type="http://schemas.openxmlformats.org/officeDocument/2006/relationships/hyperlink" Target="https://fresques.ina.fr/en-scenes/parcours/0010/le-theatre-brechtien-et-son-heritage.html" TargetMode="External" Id="Rc57e0f0c7b2346ca" /><Relationship Type="http://schemas.openxmlformats.org/officeDocument/2006/relationships/hyperlink" Target="https://www.lemonde.fr/disparitions/article/2022/11/20/le-cineaste-jean-marie-straub-est-mort_6150761_3382.html?srsltid=ARcRdnpDLpgbyMuJ_BMuHIlLiO-ZJquwo9Xa-RH838OCOEYmmoYM1tFp" TargetMode="External" Id="R468118914d6e43bd" /><Relationship Type="http://schemas.openxmlformats.org/officeDocument/2006/relationships/hyperlink" Target="https://www.youtube.com/watch?v=LdxyHs5IgLg" TargetMode="External" Id="R7cc0cd67a2a4461d" /><Relationship Type="http://schemas.openxmlformats.org/officeDocument/2006/relationships/table" Target="/xl/tables/table2.xml" Id="Rf10c0a120c194d31" /></Relationships>
</file>

<file path=xl/worksheets/_rels/sheet4.xml.rels>&#65279;<?xml version="1.0" encoding="utf-8"?><Relationships xmlns="http://schemas.openxmlformats.org/package/2006/relationships"><Relationship Type="http://schemas.openxmlformats.org/officeDocument/2006/relationships/table" Target="/xl/tables/table3.xml" Id="R104f3eb777574d86" /></Relationships>
</file>

<file path=xl/worksheets/sheet1.xml><?xml version="1.0" encoding="utf-8"?>
<x:worksheet xmlns:x="http://schemas.openxmlformats.org/spreadsheetml/2006/main">
  <x:sheetFormatPr baseColWidth="10" defaultColWidth="13" defaultRowHeight="13"/>
  <x:cols>
    <x:col min="1" max="3" width="31.83203125" customWidth="1"/>
    <x:col min="4" max="4" width="35.5" customWidth="1"/>
    <x:col min="5" max="5" width="42.33203125" customWidth="1"/>
    <x:col min="6" max="8" width="31.83203125" customWidth="1"/>
    <x:col min="9" max="9" width="33.33203125" customWidth="1"/>
    <x:col min="10" max="10" width="24.83203125" customWidth="1"/>
    <x:col min="11" max="11" width="37" customWidth="1"/>
    <x:col min="12" max="14" width="27.1640625" customWidth="1"/>
  </x:cols>
  <x:sheetData>
    <x:row r="1" s="12" customFormat="1" ht="28" customHeight="1">
      <x:c r="A1" s="8" t="s">
        <x:v>0</x:v>
      </x:c>
      <x:c r="B1" s="8" t="s">
        <x:v>1</x:v>
      </x:c>
      <x:c r="C1" s="8" t="s">
        <x:v>2</x:v>
      </x:c>
      <x:c r="D1" s="8" t="s">
        <x:v>3</x:v>
      </x:c>
      <x:c r="E1" s="8" t="s">
        <x:v>4</x:v>
      </x:c>
      <x:c r="F1" s="8" t="s">
        <x:v>5</x:v>
      </x:c>
      <x:c r="G1" s="8" t="s">
        <x:v>6</x:v>
      </x:c>
      <x:c r="H1" s="8" t="s">
        <x:v>7</x:v>
      </x:c>
      <x:c r="I1" s="8" t="s">
        <x:v>8</x:v>
      </x:c>
      <x:c r="J1" s="8" t="s">
        <x:v>9</x:v>
      </x:c>
      <x:c r="K1" s="8" t="s">
        <x:v>10</x:v>
      </x:c>
      <x:c r="L1" s="8" t="s">
        <x:v>11</x:v>
      </x:c>
      <x:c r="M1" s="8" t="s">
        <x:v>12</x:v>
      </x:c>
      <x:c r="N1" s="8" t="s">
        <x:v>13</x:v>
      </x:c>
    </x:row>
    <x:row r="2" ht="409" hidden="0" customHeight="1">
      <x:c r="A2" s="1" t="s">
        <x:v>14</x:v>
      </x:c>
      <x:c r="B2" s="1" t="s">
        <x:v>15</x:v>
      </x:c>
      <x:c r="C2" s="1" t="s">
        <x:v>16</x:v>
      </x:c>
      <x:c r="D2" s="1" t="str">
        <x:v>Capitulation du Troisième Reich (mai). L'Allemagne est en ruines (Année Zéro). Début de l'occupation alliée et de l'amnésie collective sur le passé nazi. Le pays et berlin sont partagés en zone sous contrôle des différentes forces alliées.
L’« heure zéro » désigne moins une rupture absolue qu’une société de l’effondrement : destructions, déplacements, pertes humaines et continuités avec le personnel du régime précédent. L’occupation alliée engage simultanément division territoriale, dénazification, démilitarisation et apprentissage démocratique, tandis que Nuremberg fonde de nouvelles catégories de justice internationale.</x:v>
      </x:c>
      <x:c r="E2" s="1" t="str">
        <x:v>Le cinéma est en ruines. Période des films de décombres ( Trümmerfilme ) comme Les assassins sont parmi nous (Staudte, 1946).
La reconstruction culturelle est pensée comme une rééducation. Presse, édition, radio et cinéma renaissent sous le contrôle des puissances occupantes ; œuvres interdites et artistes exilés retrouvent une place publique. L’esthétique des ruines met en scène la catastrophe matérielle et morale.</x:v>
      </x:c>
      <x:c r="F2" s="1" t="s">
        <x:v>17</x:v>
      </x:c>
      <x:c r="H2" s="2" t="str">
        <x: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x:f>
      </x:c>
      <x:c r="I2" s="1" t="s">
        <x:v>18</x:v>
      </x:c>
      <x:c r="J2" s="3" t="s">
        <x:v>19</x:v>
      </x:c>
      <x:c r="K2" s="15" t="s">
        <x:v>20</x:v>
      </x:c>
      <x:c r="L2" s="14" t="s">
        <x:v>21</x:v>
      </x:c>
      <x:c r="M2" s="15" t="s">
        <x:v>22</x:v>
      </x:c>
    </x:row>
    <x:row r="3" s="14" customFormat="1" ht="409" hidden="0" customHeight="1">
      <x:c r="A3" s="1" t="s">
        <x:v>23</x:v>
      </x:c>
      <x:c r="B3" s="1" t="s">
        <x:v>24</x:v>
      </x:c>
      <x:c r="C3" s="1" t="s">
        <x:v>25</x:v>
      </x:c>
      <x:c r="D3" s="1" t="str">
        <x:v>Création de la RFA (1949). Ère Adenauer. Miracle économique ( Wirtschaftswunder )  entre 1950 et 1965 l'économie ouest-allemande croît de 8,2% en moyenne (contre 5% en France pendant les 30 glorieuses). La coccinelle de Wolkswagen devient l'emblème du "miracle économique". Les entreprise de taille moyenne constituent la colonne vertébrale de la puissance économique allemande en fournissant les outils spécialisés nécessaires à l'industrie. 
Parallèmement, l'état  développe une politique sociale conservatrice. Réarmement de la RFA (1955).
La stabilisation de la RFA repose sur la Loi fondamentale, l’ancrage occidental, l’économie sociale de marché et une croissance rapide, soutenue par l’immigration de travail. Ce succès coexiste avec la division durable du pays, la répression du soulèvement est-allemand de 1953, un anticommunisme puissant et d’importantes continuités administratives avec le nazisme.</x:v>
      </x:c>
      <x:c r="E3" s="1" t="str">
        <x:v>Domination du "cinéma de papa" ( Papas Kino ) : films de terroir ( Heimatfilm ), comédies légères dépolitisées, films en costumes , comédies musicales obitennent toujours les faveurs du public. Ces genres nés dans les années 10 et 20 ont été très exploités par les nazis.
Freddy Quinn, Rocco Granata ou Catharina Valente sont les stars de la culture populaire allemande. 
Il n'existe presque aucun film allemand des années 50 et 60 qui traite des camps de concentration nazis. Le cinéma allemand de la période s'intéresse peu à l'histoire.
Sous l’apparente dépolitisation du Schlager, du Heimatfilm et de la télévision familiale, les écrivains du Groupe 47, la littérature des ruines, Brecht, Andersch, Böll, Adorno et Horkheimer interrogent la guerre, l’exil et les responsabilités collectives. Les modèles culturels américains et le rock transforment progressivement les pratiques de la jeunesse.</x:v>
      </x:c>
      <x:c r="F3" s="1" t="s">
        <x:v>26</x:v>
      </x:c>
      <x:c r="G3" s="1"/>
      <x:c r="H3" s="4" t="str">
        <x: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x:f>
      </x:c>
      <x:c r="I3" s="1" t="s">
        <x:v>27</x:v>
      </x:c>
      <x:c r="J3" s="13" t="s">
        <x:v>28</x:v>
      </x:c>
      <x:c r="L3" s="15" t="s">
        <x:v>29</x:v>
      </x:c>
    </x:row>
    <x:row r="4" ht="409" hidden="0" customHeight="1">
      <x:c r="A4" s="1" t="s">
        <x:v>30</x:v>
      </x:c>
      <x:c r="B4" s="1" t="s">
        <x:v>31</x:v>
      </x:c>
      <x:c r="C4" s="1" t="s">
        <x:v>32</x:v>
      </x:c>
      <x:c r="D4" s="1" t="str">
        <x:v>Construction du Mur de Berlin (1961). Procès d'Auschwitz à Francfort (1963-1965). Démission d'Adenauer. Grande Coalition (1966).
Le Mur matérialise la division allemande, tandis que les procès Eichmann et d’Auschwitz replacent les crimes nazis au centre du débat public. La fin de l’ère Adenauer et la Grande Coalition accompagnent l’émergence d’une génération nombreuse, plus critique envers les institutions et l’autorité.</x:v>
      </x:c>
      <x:c r="E4" s="1" t="str">
        <x:v>Manifeste d'Oberhausen (1962) : naissance du Nouveau Cinéma Allemand. Une nouvelle génération de cinéastes s'affirme et conquiert son indépendance notamment par la création de structures de production indépendantes. Fondation de l'école de cinéma DFFB à Berlin (1966).
Cette génération incarne le phénomène de la "société sans père" et "la crise du patriarcat". L'absence ou la défaillance des pères devient un thème récurrent du Nouveau Cinéma allemand.
Le Manifeste d’Oberhausen, l’essor de nouvelles structures de production et l’influence du rock, des cultures étrangères et des sciences sociales rompent avec les modèles des années 1950. La crise du père et la confrontation au passé deviennent des motifs structurants du Nouveau Cinéma allemand.</x:v>
      </x:c>
      <x:c r="F4" s="1" t="s">
        <x:v>33</x:v>
      </x:c>
      <x:c r="G4" s="1" t="s">
        <x:v>34</x:v>
      </x:c>
      <x:c r="H4" s="4" t="str">
        <x: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x:f>
      </x:c>
      <x:c r="J4" s="13" t="s">
        <x:v>35</x:v>
      </x:c>
      <x:c r="K4" s="5" t="s">
        <x:v>36</x:v>
      </x:c>
    </x:row>
    <x:row r="5" ht="409" hidden="0" customHeight="1">
      <x:c r="A5" s="1" t="s">
        <x:v>37</x:v>
      </x:c>
      <x:c r="B5" s="1" t="s">
        <x:v>38</x:v>
      </x:c>
      <x:c r="C5" s="1" t="s">
        <x:v>39</x:v>
      </x:c>
      <x:c r="D5" s="1" t="str">
        <x:v>Mouvements étudiants de 1968. Tentative d'assassinat contre Rudi Dutschke. Victoire de Willy Brandt (SPD, 1969). Abrogation partielle de l'article 175 (homosexualité).
De la mort de Benno Ohnesorg à l’adoption des lois d’exception, la contestation étudiante dénonce la guerre du Vietnam, les continuités autoritaires et le refoulement du nazisme. L’arrivée de Willy Brandt, l’Ostpolitik et la réforme du paragraphe 175 ouvrent une phase de réformes, tandis qu’une minorité choisit la clandestinité armée et fonde la RAF.</x:v>
      </x:c>
      <x:c r="E5" s="1" t="str">
        <x:v>La redécouverte de l’École de Francfort, Le Deuil impossible et la circulation de modèles venus de la Nouvelle Vague, du théâtre d’avant-garde et de la culture rock font de la critique des institutions, de la famille et des représentations un enjeu esthétique autant que politique.</x:v>
      </x:c>
      <x:c r="F5" s="1" t="s">
        <x:v>40</x:v>
      </x:c>
      <x:c r="G5" s="1" t="s">
        <x:v>41</x:v>
      </x:c>
      <x:c r="H5" s="4" t="str">
        <x: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x:f>
        <x:v>film-1969-l-amour-est-plus-froid-que-la-mort; film-1969-le-bouc</x:v>
      </x:c>
      <x:c r="I5" s="6" t="s">
        <x:v>42</x:v>
      </x:c>
      <x:c r="K5" s="28"/>
    </x:row>
    <x:row r="6" ht="409" hidden="0" customHeight="1">
      <x:c r="A6" s="1" t="s">
        <x:v>43</x:v>
      </x:c>
      <x:c r="B6" s="1" t="s">
        <x:v>44</x:v>
      </x:c>
      <x:c r="C6" s="1" t="s">
        <x:v>45</x:v>
      </x:c>
      <x:c r="D6" s="1" t="str">
        <x:v>Terrorisme de la RAF (arrestations en 1972). Attentat des JO de Munich (1972). Démission de Willy Brandt (1974) suite à l'affaire Guillaume.
L’Ostpolitik aboutit à la reconnaissance mutuelle des deux Allemagne, mais la période est aussi marquée par les attentats et l’arrestation de la première génération de la RAF, le choc pétrolier, la fin du recrutement des Gastarbeiter et la démission de Willy Brandt. La crise économique et le terrorisme infléchissent le climat réformateur.</x:v>
      </x:c>
      <x:c r="E6" s="1" t="str">
        <x:v>Fondation du Filmverlag der Autoren (1971). Accords Film-Télévision (1974) favorisant les coproductions (WDR).
Plusieurs cinéastes allemands ( Schlöndorff, Herzog notamment) réalisent des charges politiques violentes contre la politique et la société allemande. Pourtant l'amnnésie historique se poursuit dans le cinéma allemand de fiction. Seuls des documentaires s'emparent de l'histoire du nazisme.
A parti de 1968 l'industrie du cinéma commercial allemand agonise
Le cinéma s’appuie sur de nouvelles structures indépendantes et sur la télévision, alors que les cinéastes interrogent plus frontalement l’histoire, la violence et les contradictions de la société ouest-allemande. Les genres populaires deviennent des instruments de distanciation critique.</x:v>
      </x:c>
      <x:c r="F6" s="1" t="s">
        <x:v>46</x:v>
      </x:c>
      <x:c r="G6" s="1" t="s">
        <x:v>47</x:v>
      </x:c>
      <x:c r="H6" s="4" t="str">
        <x: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x:f>
        <x:v>film-1972-le-marchand-des-quatre-saisons; film-1974-tous-les-autres-s-appellent-ali; film-1974-martha</x:v>
      </x:c>
      <x:c r="I6" s="1" t="s">
        <x:v>48</x:v>
      </x:c>
    </x:row>
    <x:row r="7" ht="409" hidden="0" customHeight="1">
      <x:c r="A7" s="1" t="s">
        <x:v>49</x:v>
      </x:c>
      <x:c r="B7" s="1"/>
      <x:c r="C7" s="1" t="s">
        <x:v>50</x:v>
      </x:c>
      <x:c r="D7" s="1" t="str">
        <x:v>Tensions sociales et crises du logement (Westend). Débats sur la visibilité des minorités. Lois limitant les libertés civiles.
Procès, enlèvements, prises d’otages et morts en détention installent la RAF au centre du débat public. Les réponses judiciaires et sécuritaires renforcent les tensions autour des libertés civiles, tandis que les réformes de société, notamment sur l’avortement, demeurent limitées et conflictuelles.</x:v>
      </x:c>
      <x:c r="E7" s="1" t="str">
        <x:v>Développement du "film amphibie" (cinéma/TV). Le cinéma devient un outil de critique sociale directe.
Le cinéma et la télévision s’emparent des violences politiques, des minorités et des rapports de domination. Le « film amphibie », conçu pour circuler entre petit et grand écran, élargit le public de cette critique sociale.</x:v>
      </x:c>
      <x:c r="F7" s="1" t="s">
        <x:v>51</x:v>
      </x:c>
      <x:c r="G7" s="1" t="s">
        <x:v>52</x:v>
      </x:c>
      <x:c r="H7" s="4" t="str">
        <x: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x:f>
        <x:v>film-1975-le-droit-du-plus-fort; film-1975-maman-kusters-s-en-va-au-ciel</x:v>
      </x:c>
      <x:c r="I7" s="5" t="s">
        <x:v>53</x:v>
      </x:c>
    </x:row>
    <x:row r="8" ht="409" hidden="0" customHeight="1">
      <x:c r="A8" s="1" t="s">
        <x:v>54</x:v>
      </x:c>
      <x:c r="B8" s="1" t="s">
        <x:v>55</x:v>
      </x:c>
      <x:c r="C8" s="1" t="s">
        <x:v>56</x:v>
      </x:c>
      <x:c r="D8" s="1" t="str">
        <x:v>Automne Allemand (1977) : enlèvement de Schleyer, détournement du Landshut, morts à Stammheim.
L’Automne allemand concentre l’affrontement entre la RAF et l’État : assassinats, enlèvement de Schleyer, détournement du Landshut et morts de Stammheim. À la fin de la décennie, le retour des tensions Est-Ouest relance les mobilisations pacifistes.</x:v>
      </x:c>
      <x:c r="E8" s="1" t="str">
        <x:v>Le cinéma allemand s'empare de son histoire passée et récente et réfléchit aux problèmes de représentation qu'elle pose. Film collectif L'Allemagne en automne (1978). La diffusion de la série Holocaust de Marvin J. Chomsky (1979) à la télévision allemande suscite des débats importants, auxquels participent des cinéastes comme Syberberg ou Edgard Reitz. Le mouvement du Nouveau Cinéma allemand atteint son apogée thématique et politique.
La représentation de l’histoire récente et du nazisme devient un enjeu central. L’Allemagne en automne, Hitler, un film d’Allemagne puis la diffusion de Holocaust confrontent cinéma et télévision aux limites du témoignage, au sentimentalisme, à la mémoire collective et à la capacité des images populaires à rouvrir le passé.</x:v>
      </x:c>
      <x:c r="F8" s="1" t="s">
        <x:v>57</x:v>
      </x:c>
      <x:c r="G8" s="1" t="s">
        <x:v>58</x:v>
      </x:c>
      <x:c r="H8" s="4" t="str">
        <x:f>IF(G8="","",_xlfn.TEXTJOIN("; ",TRUE(),IF(ISNUMBER(SEARCH(SUBSTITUTE('Référentiel films'!$A$2,"’","'"),SUBSTITUTE(G8,"’","'"))),'Référentiel films'!$B$2,""),IF(ISNUMBER(SEARCH(SUBSTITUTE('Référentiel films'!$A$3,"’","'"),SUBSTITUTE(G8,"’","'"))),'Référentiel films'!$B$3,""),IF(ISNUMBER(SEARCH(SUBSTITUTE('Référentiel films'!$A$4,"’","'"),SUBSTITUTE(G8,"’","'"))),'Référentiel films'!$B$4,""),IF(ISNUMBER(SEARCH(SUBSTITUTE('Référentiel films'!$A$5,"’","'"),SUBSTITUTE(G8,"’","'"))),'Référentiel films'!$B$5,""),IF(ISNUMBER(SEARCH(SUBSTITUTE('Référentiel films'!$A$6,"’","'"),SUBSTITUTE(G8,"’","'"))),'Référentiel films'!$B$6,""),IF(ISNUMBER(SEARCH(SUBSTITUTE('Référentiel films'!$A$7,"’","'"),SUBSTITUTE(G8,"’","'"))),'Référentiel films'!$B$7,""),IF(ISNUMBER(SEARCH(SUBSTITUTE('Référentiel films'!$A$8,"’","'"),SUBSTITUTE(G8,"’","'"))),'Référentiel films'!$B$8,""),IF(ISNUMBER(SEARCH(SUBSTITUTE('Référentiel films'!$A$9,"’","'"),SUBSTITUTE(G8,"’","'"))),'Référentiel films'!$B$9,""),IF(ISNUMBER(SEARCH(SUBSTITUTE('Référentiel films'!$A$10,"’","'"),SUBSTITUTE(G8,"’","'"))),'Référentiel films'!$B$10,""),IF(ISNUMBER(SEARCH(SUBSTITUTE('Référentiel films'!$A$11,"’","'"),SUBSTITUTE(G8,"’","'"))),'Référentiel films'!$B$11,""),IF(ISNUMBER(SEARCH(SUBSTITUTE('Référentiel films'!$A$12,"’","'"),SUBSTITUTE(G8,"’","'"))),'Référentiel films'!$B$12,""),IF(ISNUMBER(SEARCH(SUBSTITUTE('Référentiel films'!$A$13,"’","'"),SUBSTITUTE(G8,"’","'"))),'Référentiel films'!$B$13,""),IF(ISNUMBER(SEARCH(SUBSTITUTE('Référentiel films'!$A$14,"’","'"),SUBSTITUTE(G8,"’","'"))),'Référentiel films'!$B$14,""),IF(ISNUMBER(SEARCH(SUBSTITUTE('Référentiel films'!$A$15,"’","'"),SUBSTITUTE(G8,"’","'"))),'Référentiel films'!$B$15,""),IF(ISNUMBER(SEARCH(SUBSTITUTE('Référentiel films'!$A$16,"’","'"),SUBSTITUTE(G8,"’","'"))),'Référentiel films'!$B$16,""),IF(ISNUMBER(SEARCH(SUBSTITUTE('Référentiel films'!$A$17,"’","'"),SUBSTITUTE(G8,"’","'"))),'Référentiel films'!$B$17,""),IF(ISNUMBER(SEARCH(SUBSTITUTE('Référentiel films'!$A$18,"’","'"),SUBSTITUTE(G8,"’","'"))),'Référentiel films'!$B$18,""),IF(ISNUMBER(SEARCH(SUBSTITUTE('Référentiel films'!$A$19,"’","'"),SUBSTITUTE(G8,"’","'"))),'Référentiel films'!$B$19,""),IF(ISNUMBER(SEARCH(SUBSTITUTE('Référentiel films'!$A$20,"’","'"),SUBSTITUTE(G8,"’","'"))),'Référentiel films'!$B$20,""),IF(ISNUMBER(SEARCH(SUBSTITUTE('Référentiel films'!$A$21,"’","'"),SUBSTITUTE(G8,"’","'"))),'Référentiel films'!$B$21,""),IF(ISNUMBER(SEARCH(SUBSTITUTE('Référentiel films'!$A$22,"’","'"),SUBSTITUTE(G8,"’","'"))),'Référentiel films'!$B$22,""),IF(ISNUMBER(SEARCH(SUBSTITUTE('Référentiel films'!$A$23,"’","'"),SUBSTITUTE(G8,"’","'"))),'Référentiel films'!$B$23,""),IF(ISNUMBER(SEARCH(SUBSTITUTE('Référentiel films'!$A$24,"’","'"),SUBSTITUTE(G8,"’","'"))),'Référentiel films'!$B$24,""),IF(ISNUMBER(SEARCH(SUBSTITUTE('Référentiel films'!$A$25,"’","'"),SUBSTITUTE(G8,"’","'"))),'Référentiel films'!$B$25,""),IF(ISNUMBER(SEARCH(SUBSTITUTE('Référentiel films'!$A$26,"’","'"),SUBSTITUTE(G8,"’","'"))),'Référentiel films'!$B$26,""),IF(ISNUMBER(SEARCH(SUBSTITUTE('Référentiel films'!$A$27,"’","'"),SUBSTITUTE(G8,"’","'"))),'Référentiel films'!$B$27,""),IF(ISNUMBER(SEARCH(SUBSTITUTE('Référentiel films'!$A$28,"’","'"),SUBSTITUTE(G8,"’","'"))),'Référentiel films'!$B$28,""),IF(ISNUMBER(SEARCH(SUBSTITUTE('Référentiel films'!$A$29,"’","'"),SUBSTITUTE(G8,"’","'"))),'Référentiel films'!$B$29,""),IF(ISNUMBER(SEARCH(SUBSTITUTE('Référentiel films'!$A$30,"’","'"),SUBSTITUTE(G8,"’","'"))),'Référentiel films'!$B$30,""),IF(ISNUMBER(SEARCH(SUBSTITUTE('Référentiel films'!$A$31,"’","'"),SUBSTITUTE(G8,"’","'"))),'Référentiel films'!$B$31,""),IF(ISNUMBER(SEARCH(SUBSTITUTE('Référentiel films'!$A$32,"’","'"),SUBSTITUTE(G8,"’","'"))),'Référentiel films'!$B$32,""),IF(ISNUMBER(SEARCH(SUBSTITUTE('Référentiel films'!$A$33,"’","'"),SUBSTITUTE(G8,"’","'"))),'Référentiel films'!$B$33,""),IF(ISNUMBER(SEARCH(SUBSTITUTE('Référentiel films'!$A$34,"’","'"),SUBSTITUTE(G8,"’","'"))),'Référentiel films'!$B$34,""),IF(ISNUMBER(SEARCH(SUBSTITUTE('Référentiel films'!$A$35,"’","'"),SUBSTITUTE(G8,"’","'"))),'Référentiel films'!$B$35,""),IF(ISNUMBER(SEARCH(SUBSTITUTE('Référentiel films'!$A$36,"’","'"),SUBSTITUTE(G8,"’","'"))),'Référentiel films'!$B$36,""),IF(ISNUMBER(SEARCH(SUBSTITUTE('Référentiel films'!$A$37,"’","'"),SUBSTITUTE(G8,"’","'"))),'Référentiel films'!$B$37,""),IF(ISNUMBER(SEARCH(SUBSTITUTE('Référentiel films'!$A$38,"’","'"),SUBSTITUTE(G8,"’","'"))),'Référentiel films'!$B$38,""),IF(ISNUMBER(SEARCH(SUBSTITUTE('Référentiel films'!$A$39,"’","'"),SUBSTITUTE(G8,"’","'"))),'Référentiel films'!$B$39,""),IF(ISNUMBER(SEARCH(SUBSTITUTE('Référentiel films'!$A$40,"’","'"),SUBSTITUTE(G8,"’","'"))),'Référentiel films'!$B$40,""),IF(ISNUMBER(SEARCH(SUBSTITUTE('Référentiel films'!$A$41,"’","'"),SUBSTITUTE(G8,"’","'"))),'Référentiel films'!$B$41,"")))</x:f>
        <x:v>film-1978-l-annee-des-treize-lunes; film-1978-le-mariage-de-maria-braun</x:v>
      </x:c>
      <x:c r="I8" s="15"/>
      <x:c r="K8" s="15" t="s">
        <x:v>59</x:v>
      </x:c>
      <x:c r="N8" s="14" t="s">
        <x:v>60</x:v>
      </x:c>
    </x:row>
    <x:row r="9" ht="409" hidden="0" customHeight="1">
      <x:c r="A9" s="1" t="s">
        <x:v>61</x:v>
      </x:c>
      <x:c r="B9" s="1" t="s">
        <x:v>62</x:v>
      </x:c>
      <x:c r="C9" s="15" t="s">
        <x:v>63</x:v>
      </x:c>
      <x:c r="D9" s="1" t="str">
        <x:v>Fondation des Verts (1980). Manifestations écologistes. Fin de l'ère sociale-libérale.
Les mouvements écologistes, féministes et pacifistes se structurent avec la fondation des Verts et les grandes mobilisations contre la course aux armements. Ils reconfigurent un système politique jusque-là dominé par trois partis.</x:v>
      </x:c>
      <x:c r="E9" t="str">
        <x:v>Le cinéma allemand poursuit son travail sur la mémoire familiale et nationale, notamment avec Allemagne mère blafarde et le projet Heimat. La télévision devient un lieu majeur pour les récits historiques de longue durée.</x:v>
      </x:c>
      <x:c r="F9" s="1" t="s">
        <x:v>64</x:v>
      </x:c>
      <x:c r="G9" s="1" t="s">
        <x:v>65</x:v>
      </x:c>
      <x:c r="H9" s="4" t="str">
        <x:f>IF(G9="","",_xlfn.TEXTJOIN("; ",TRUE(),IF(ISNUMBER(SEARCH(SUBSTITUTE('Référentiel films'!$A$2,"’","'"),SUBSTITUTE(G9,"’","'"))),'Référentiel films'!$B$2,""),IF(ISNUMBER(SEARCH(SUBSTITUTE('Référentiel films'!$A$3,"’","'"),SUBSTITUTE(G9,"’","'"))),'Référentiel films'!$B$3,""),IF(ISNUMBER(SEARCH(SUBSTITUTE('Référentiel films'!$A$4,"’","'"),SUBSTITUTE(G9,"’","'"))),'Référentiel films'!$B$4,""),IF(ISNUMBER(SEARCH(SUBSTITUTE('Référentiel films'!$A$5,"’","'"),SUBSTITUTE(G9,"’","'"))),'Référentiel films'!$B$5,""),IF(ISNUMBER(SEARCH(SUBSTITUTE('Référentiel films'!$A$6,"’","'"),SUBSTITUTE(G9,"’","'"))),'Référentiel films'!$B$6,""),IF(ISNUMBER(SEARCH(SUBSTITUTE('Référentiel films'!$A$7,"’","'"),SUBSTITUTE(G9,"’","'"))),'Référentiel films'!$B$7,""),IF(ISNUMBER(SEARCH(SUBSTITUTE('Référentiel films'!$A$8,"’","'"),SUBSTITUTE(G9,"’","'"))),'Référentiel films'!$B$8,""),IF(ISNUMBER(SEARCH(SUBSTITUTE('Référentiel films'!$A$9,"’","'"),SUBSTITUTE(G9,"’","'"))),'Référentiel films'!$B$9,""),IF(ISNUMBER(SEARCH(SUBSTITUTE('Référentiel films'!$A$10,"’","'"),SUBSTITUTE(G9,"’","'"))),'Référentiel films'!$B$10,""),IF(ISNUMBER(SEARCH(SUBSTITUTE('Référentiel films'!$A$11,"’","'"),SUBSTITUTE(G9,"’","'"))),'Référentiel films'!$B$11,""),IF(ISNUMBER(SEARCH(SUBSTITUTE('Référentiel films'!$A$12,"’","'"),SUBSTITUTE(G9,"’","'"))),'Référentiel films'!$B$12,""),IF(ISNUMBER(SEARCH(SUBSTITUTE('Référentiel films'!$A$13,"’","'"),SUBSTITUTE(G9,"’","'"))),'Référentiel films'!$B$13,""),IF(ISNUMBER(SEARCH(SUBSTITUTE('Référentiel films'!$A$14,"’","'"),SUBSTITUTE(G9,"’","'"))),'Référentiel films'!$B$14,""),IF(ISNUMBER(SEARCH(SUBSTITUTE('Référentiel films'!$A$15,"’","'"),SUBSTITUTE(G9,"’","'"))),'Référentiel films'!$B$15,""),IF(ISNUMBER(SEARCH(SUBSTITUTE('Référentiel films'!$A$16,"’","'"),SUBSTITUTE(G9,"’","'"))),'Référentiel films'!$B$16,""),IF(ISNUMBER(SEARCH(SUBSTITUTE('Référentiel films'!$A$17,"’","'"),SUBSTITUTE(G9,"’","'"))),'Référentiel films'!$B$17,""),IF(ISNUMBER(SEARCH(SUBSTITUTE('Référentiel films'!$A$18,"’","'"),SUBSTITUTE(G9,"’","'"))),'Référentiel films'!$B$18,""),IF(ISNUMBER(SEARCH(SUBSTITUTE('Référentiel films'!$A$19,"’","'"),SUBSTITUTE(G9,"’","'"))),'Référentiel films'!$B$19,""),IF(ISNUMBER(SEARCH(SUBSTITUTE('Référentiel films'!$A$20,"’","'"),SUBSTITUTE(G9,"’","'"))),'Référentiel films'!$B$20,""),IF(ISNUMBER(SEARCH(SUBSTITUTE('Référentiel films'!$A$21,"’","'"),SUBSTITUTE(G9,"’","'"))),'Référentiel films'!$B$21,""),IF(ISNUMBER(SEARCH(SUBSTITUTE('Référentiel films'!$A$22,"’","'"),SUBSTITUTE(G9,"’","'"))),'Référentiel films'!$B$22,""),IF(ISNUMBER(SEARCH(SUBSTITUTE('Référentiel films'!$A$23,"’","'"),SUBSTITUTE(G9,"’","'"))),'Référentiel films'!$B$23,""),IF(ISNUMBER(SEARCH(SUBSTITUTE('Référentiel films'!$A$24,"’","'"),SUBSTITUTE(G9,"’","'"))),'Référentiel films'!$B$24,""),IF(ISNUMBER(SEARCH(SUBSTITUTE('Référentiel films'!$A$25,"’","'"),SUBSTITUTE(G9,"’","'"))),'Référentiel films'!$B$25,""),IF(ISNUMBER(SEARCH(SUBSTITUTE('Référentiel films'!$A$26,"’","'"),SUBSTITUTE(G9,"’","'"))),'Référentiel films'!$B$26,""),IF(ISNUMBER(SEARCH(SUBSTITUTE('Référentiel films'!$A$27,"’","'"),SUBSTITUTE(G9,"’","'"))),'Référentiel films'!$B$27,""),IF(ISNUMBER(SEARCH(SUBSTITUTE('Référentiel films'!$A$28,"’","'"),SUBSTITUTE(G9,"’","'"))),'Référentiel films'!$B$28,""),IF(ISNUMBER(SEARCH(SUBSTITUTE('Référentiel films'!$A$29,"’","'"),SUBSTITUTE(G9,"’","'"))),'Référentiel films'!$B$29,""),IF(ISNUMBER(SEARCH(SUBSTITUTE('Référentiel films'!$A$30,"’","'"),SUBSTITUTE(G9,"’","'"))),'Référentiel films'!$B$30,""),IF(ISNUMBER(SEARCH(SUBSTITUTE('Référentiel films'!$A$31,"’","'"),SUBSTITUTE(G9,"’","'"))),'Référentiel films'!$B$31,""),IF(ISNUMBER(SEARCH(SUBSTITUTE('Référentiel films'!$A$32,"’","'"),SUBSTITUTE(G9,"’","'"))),'Référentiel films'!$B$32,""),IF(ISNUMBER(SEARCH(SUBSTITUTE('Référentiel films'!$A$33,"’","'"),SUBSTITUTE(G9,"’","'"))),'Référentiel films'!$B$33,""),IF(ISNUMBER(SEARCH(SUBSTITUTE('Référentiel films'!$A$34,"’","'"),SUBSTITUTE(G9,"’","'"))),'Référentiel films'!$B$34,""),IF(ISNUMBER(SEARCH(SUBSTITUTE('Référentiel films'!$A$35,"’","'"),SUBSTITUTE(G9,"’","'"))),'Référentiel films'!$B$35,""),IF(ISNUMBER(SEARCH(SUBSTITUTE('Référentiel films'!$A$36,"’","'"),SUBSTITUTE(G9,"’","'"))),'Référentiel films'!$B$36,""),IF(ISNUMBER(SEARCH(SUBSTITUTE('Référentiel films'!$A$37,"’","'"),SUBSTITUTE(G9,"’","'"))),'Référentiel films'!$B$37,""),IF(ISNUMBER(SEARCH(SUBSTITUTE('Référentiel films'!$A$38,"’","'"),SUBSTITUTE(G9,"’","'"))),'Référentiel films'!$B$38,""),IF(ISNUMBER(SEARCH(SUBSTITUTE('Référentiel films'!$A$39,"’","'"),SUBSTITUTE(G9,"’","'"))),'Référentiel films'!$B$39,""),IF(ISNUMBER(SEARCH(SUBSTITUTE('Référentiel films'!$A$40,"’","'"),SUBSTITUTE(G9,"’","'"))),'Référentiel films'!$B$40,""),IF(ISNUMBER(SEARCH(SUBSTITUTE('Référentiel films'!$A$41,"’","'"),SUBSTITUTE(G9,"’","'"))),'Référentiel films'!$B$41,"")))</x:f>
        <x:v>film-1980-berlin-alexanderplatz; film-1981-lili-marleen; film-1981-lola-une-femme-allemande</x:v>
      </x:c>
    </x:row>
    <x:row r="10" ht="409" hidden="0" customHeight="1">
      <x:c r="A10" s="24">
        <x:v>1982</x:v>
      </x:c>
      <x:c r="B10" s="1" t="s">
        <x:v>66</x:v>
      </x:c>
      <x:c r="C10" s="1" t="s">
        <x:v>67</x:v>
      </x:c>
      <x:c r="D10" s="1" t="str">
        <x:v>Victoire d'Helmut Kohl (CDU) en octobre. Fin d'une époque artistique et politique radicale.Kohk se donne comme mission de réconcilier le peuple ouest-allemand avec son passé
L’accession d’Helmut Kohl à la chancellerie clôt la période sociale-libérale sans rompre avec l’Ostpolitik. Le nouveau gouvernement réaffirme la réunification comme horizon et fait de la coopération franco-allemande un axe majeur.</x:v>
      </x:c>
      <x:c r="E10" s="1" t="str">
        <x:v>Mort de Fassbinder marquant symboliquement la fin du Nouveau Cinéma Allemand.
La mort de Fassbinder symbolise l’épuisement du Nouveau Cinéma allemand comme mouvement collectif, au moment où ses principaux enjeux — histoire nationale, mémoire, culture populaire et télévision — se déplacent vers de nouvelles formes.</x:v>
      </x:c>
      <x:c r="F10" s="1" t="s">
        <x:v>68</x:v>
      </x:c>
      <x:c r="G10" s="1" t="s">
        <x:v>69</x:v>
      </x:c>
      <x:c r="H10" s="4" t="str">
        <x:f>IF(G10="","",_xlfn.TEXTJOIN("; ",TRUE(),IF(ISNUMBER(SEARCH(SUBSTITUTE('Référentiel films'!$A$2,"’","'"),SUBSTITUTE(G10,"’","'"))),'Référentiel films'!$B$2,""),IF(ISNUMBER(SEARCH(SUBSTITUTE('Référentiel films'!$A$3,"’","'"),SUBSTITUTE(G10,"’","'"))),'Référentiel films'!$B$3,""),IF(ISNUMBER(SEARCH(SUBSTITUTE('Référentiel films'!$A$4,"’","'"),SUBSTITUTE(G10,"’","'"))),'Référentiel films'!$B$4,""),IF(ISNUMBER(SEARCH(SUBSTITUTE('Référentiel films'!$A$5,"’","'"),SUBSTITUTE(G10,"’","'"))),'Référentiel films'!$B$5,""),IF(ISNUMBER(SEARCH(SUBSTITUTE('Référentiel films'!$A$6,"’","'"),SUBSTITUTE(G10,"’","'"))),'Référentiel films'!$B$6,""),IF(ISNUMBER(SEARCH(SUBSTITUTE('Référentiel films'!$A$7,"’","'"),SUBSTITUTE(G10,"’","'"))),'Référentiel films'!$B$7,""),IF(ISNUMBER(SEARCH(SUBSTITUTE('Référentiel films'!$A$8,"’","'"),SUBSTITUTE(G10,"’","'"))),'Référentiel films'!$B$8,""),IF(ISNUMBER(SEARCH(SUBSTITUTE('Référentiel films'!$A$9,"’","'"),SUBSTITUTE(G10,"’","'"))),'Référentiel films'!$B$9,""),IF(ISNUMBER(SEARCH(SUBSTITUTE('Référentiel films'!$A$10,"’","'"),SUBSTITUTE(G10,"’","'"))),'Référentiel films'!$B$10,""),IF(ISNUMBER(SEARCH(SUBSTITUTE('Référentiel films'!$A$11,"’","'"),SUBSTITUTE(G10,"’","'"))),'Référentiel films'!$B$11,""),IF(ISNUMBER(SEARCH(SUBSTITUTE('Référentiel films'!$A$12,"’","'"),SUBSTITUTE(G10,"’","'"))),'Référentiel films'!$B$12,""),IF(ISNUMBER(SEARCH(SUBSTITUTE('Référentiel films'!$A$13,"’","'"),SUBSTITUTE(G10,"’","'"))),'Référentiel films'!$B$13,""),IF(ISNUMBER(SEARCH(SUBSTITUTE('Référentiel films'!$A$14,"’","'"),SUBSTITUTE(G10,"’","'"))),'Référentiel films'!$B$14,""),IF(ISNUMBER(SEARCH(SUBSTITUTE('Référentiel films'!$A$15,"’","'"),SUBSTITUTE(G10,"’","'"))),'Référentiel films'!$B$15,""),IF(ISNUMBER(SEARCH(SUBSTITUTE('Référentiel films'!$A$16,"’","'"),SUBSTITUTE(G10,"’","'"))),'Référentiel films'!$B$16,""),IF(ISNUMBER(SEARCH(SUBSTITUTE('Référentiel films'!$A$17,"’","'"),SUBSTITUTE(G10,"’","'"))),'Référentiel films'!$B$17,""),IF(ISNUMBER(SEARCH(SUBSTITUTE('Référentiel films'!$A$18,"’","'"),SUBSTITUTE(G10,"’","'"))),'Référentiel films'!$B$18,""),IF(ISNUMBER(SEARCH(SUBSTITUTE('Référentiel films'!$A$19,"’","'"),SUBSTITUTE(G10,"’","'"))),'Référentiel films'!$B$19,""),IF(ISNUMBER(SEARCH(SUBSTITUTE('Référentiel films'!$A$20,"’","'"),SUBSTITUTE(G10,"’","'"))),'Référentiel films'!$B$20,""),IF(ISNUMBER(SEARCH(SUBSTITUTE('Référentiel films'!$A$21,"’","'"),SUBSTITUTE(G10,"’","'"))),'Référentiel films'!$B$21,""),IF(ISNUMBER(SEARCH(SUBSTITUTE('Référentiel films'!$A$22,"’","'"),SUBSTITUTE(G10,"’","'"))),'Référentiel films'!$B$22,""),IF(ISNUMBER(SEARCH(SUBSTITUTE('Référentiel films'!$A$23,"’","'"),SUBSTITUTE(G10,"’","'"))),'Référentiel films'!$B$23,""),IF(ISNUMBER(SEARCH(SUBSTITUTE('Référentiel films'!$A$24,"’","'"),SUBSTITUTE(G10,"’","'"))),'Référentiel films'!$B$24,""),IF(ISNUMBER(SEARCH(SUBSTITUTE('Référentiel films'!$A$25,"’","'"),SUBSTITUTE(G10,"’","'"))),'Référentiel films'!$B$25,""),IF(ISNUMBER(SEARCH(SUBSTITUTE('Référentiel films'!$A$26,"’","'"),SUBSTITUTE(G10,"’","'"))),'Référentiel films'!$B$26,""),IF(ISNUMBER(SEARCH(SUBSTITUTE('Référentiel films'!$A$27,"’","'"),SUBSTITUTE(G10,"’","'"))),'Référentiel films'!$B$27,""),IF(ISNUMBER(SEARCH(SUBSTITUTE('Référentiel films'!$A$28,"’","'"),SUBSTITUTE(G10,"’","'"))),'Référentiel films'!$B$28,""),IF(ISNUMBER(SEARCH(SUBSTITUTE('Référentiel films'!$A$29,"’","'"),SUBSTITUTE(G10,"’","'"))),'Référentiel films'!$B$29,""),IF(ISNUMBER(SEARCH(SUBSTITUTE('Référentiel films'!$A$30,"’","'"),SUBSTITUTE(G10,"’","'"))),'Référentiel films'!$B$30,""),IF(ISNUMBER(SEARCH(SUBSTITUTE('Référentiel films'!$A$31,"’","'"),SUBSTITUTE(G10,"’","'"))),'Référentiel films'!$B$31,""),IF(ISNUMBER(SEARCH(SUBSTITUTE('Référentiel films'!$A$32,"’","'"),SUBSTITUTE(G10,"’","'"))),'Référentiel films'!$B$32,""),IF(ISNUMBER(SEARCH(SUBSTITUTE('Référentiel films'!$A$33,"’","'"),SUBSTITUTE(G10,"’","'"))),'Référentiel films'!$B$33,""),IF(ISNUMBER(SEARCH(SUBSTITUTE('Référentiel films'!$A$34,"’","'"),SUBSTITUTE(G10,"’","'"))),'Référentiel films'!$B$34,""),IF(ISNUMBER(SEARCH(SUBSTITUTE('Référentiel films'!$A$35,"’","'"),SUBSTITUTE(G10,"’","'"))),'Référentiel films'!$B$35,""),IF(ISNUMBER(SEARCH(SUBSTITUTE('Référentiel films'!$A$36,"’","'"),SUBSTITUTE(G10,"’","'"))),'Référentiel films'!$B$36,""),IF(ISNUMBER(SEARCH(SUBSTITUTE('Référentiel films'!$A$37,"’","'"),SUBSTITUTE(G10,"’","'"))),'Référentiel films'!$B$37,""),IF(ISNUMBER(SEARCH(SUBSTITUTE('Référentiel films'!$A$38,"’","'"),SUBSTITUTE(G10,"’","'"))),'Référentiel films'!$B$38,""),IF(ISNUMBER(SEARCH(SUBSTITUTE('Référentiel films'!$A$39,"’","'"),SUBSTITUTE(G10,"’","'"))),'Référentiel films'!$B$39,""),IF(ISNUMBER(SEARCH(SUBSTITUTE('Référentiel films'!$A$40,"’","'"),SUBSTITUTE(G10,"’","'"))),'Référentiel films'!$B$40,""),IF(ISNUMBER(SEARCH(SUBSTITUTE('Référentiel films'!$A$41,"’","'"),SUBSTITUTE(G10,"’","'"))),'Référentiel films'!$B$41,"")))</x:f>
        <x:v>film-1981-le-secret-de-veronika-voss; film-1982-querelle</x:v>
      </x:c>
    </x:row>
  </x:sheetData>
  <x:hyperlinks>
    <x:hyperlink xmlns:r="http://schemas.openxmlformats.org/officeDocument/2006/relationships" ref="J2" r:id="R6ef69c2cecf14ebf"/>
    <x:hyperlink xmlns:r="http://schemas.openxmlformats.org/officeDocument/2006/relationships" ref="J4" r:id="R9cc8b3569eef4e1f"/>
  </x:hyperlinks>
  <x:pageMargins left="0.7" right="0.7" top="0.75" bottom="0.75" header="0.3" footer="0.3"/>
  <x:tableParts count="1">
    <x:tablePart xmlns:r="http://schemas.openxmlformats.org/officeDocument/2006/relationships" r:id="R63011d5a2ca44ff9"/>
  </x:tableParts>
</x:worksheet>
</file>

<file path=xl/worksheets/sheet2.xml><?xml version="1.0" encoding="utf-8"?>
<x:worksheet xmlns:x="http://schemas.openxmlformats.org/spreadsheetml/2006/main">
  <x:sheetFormatPr baseColWidth="10" defaultColWidth="13" defaultRowHeight="13"/>
  <x:cols>
    <x:col min="1" max="2" width="31.83203125" customWidth="1"/>
    <x:col min="3" max="3" width="32.6640625" customWidth="1"/>
    <x:col min="4" max="6" width="31.83203125" customWidth="1"/>
    <x:col min="7" max="7" width="31" customWidth="1"/>
    <x:col min="8" max="8" width="16.1640625" customWidth="1"/>
    <x:col min="9" max="9" width="20.6640625" customWidth="1"/>
    <x:col min="10" max="11" width="37.83203125" customWidth="1"/>
    <x:col min="12" max="12" width="37" customWidth="1"/>
    <x:col min="13" max="19" width="27.1640625" customWidth="1"/>
    <x:col min="21" max="21" width="56.83203125" customWidth="1"/>
  </x:cols>
  <x:sheetData>
    <x:row r="1" s="12" customFormat="1" ht="28" customHeight="1">
      <x:c r="A1" s="8" t="s">
        <x:v>70</x:v>
      </x:c>
      <x:c r="B1" s="8" t="s">
        <x:v>0</x:v>
      </x:c>
      <x:c r="C1" s="8" t="s">
        <x:v>3</x:v>
      </x:c>
      <x:c r="D1" s="8" t="s">
        <x:v>4</x:v>
      </x:c>
      <x:c r="E1" s="8" t="s">
        <x:v>5</x:v>
      </x:c>
      <x:c r="F1" s="8" t="s">
        <x:v>6</x:v>
      </x:c>
      <x:c r="G1" s="8" t="s">
        <x:v>71</x:v>
      </x:c>
      <x:c r="H1" s="8" t="s">
        <x:v>9</x:v>
      </x:c>
      <x:c r="I1" s="8" t="s">
        <x:v>72</x:v>
      </x:c>
      <x:c r="J1" s="8" t="s">
        <x:v>73</x:v>
      </x:c>
      <x:c r="K1" s="8" t="s">
        <x:v>74</x:v>
      </x:c>
      <x:c r="L1" s="8" t="s">
        <x:v>10</x:v>
      </x:c>
      <x:c r="M1" s="8" t="s">
        <x:v>75</x:v>
      </x:c>
      <x:c r="N1" s="8" t="s">
        <x:v>76</x:v>
      </x:c>
      <x:c r="O1" s="8" t="s">
        <x:v>77</x:v>
      </x:c>
      <x:c r="P1" s="8" t="s">
        <x:v>78</x:v>
      </x:c>
      <x:c r="Q1" s="8" t="s">
        <x:v>79</x:v>
      </x:c>
      <x:c r="R1" s="8" t="s">
        <x:v>80</x:v>
      </x:c>
      <x:c r="S1" s="8" t="s">
        <x:v>13</x:v>
      </x:c>
      <x:c r="T1" s="8" t="s">
        <x:v>81</x:v>
      </x:c>
      <x:c r="U1" s="29" t="s">
        <x:v>82</x:v>
      </x:c>
    </x:row>
    <x:row r="2" ht="276" hidden="0" customHeight="1">
      <x:c r="A2" s="1">
        <x:v>1945</x:v>
      </x:c>
      <x:c r="B2" s="1" t="s">
        <x:v>14</x:v>
      </x:c>
      <x:c r="C2" s="1" t="str">
        <x:v>Les alliés aident à la relance de médias d'information et promeuvent une nouvelle politique éducative. 
Les alliés organisent un vaste programme de démocratisation, décartellisation, démilatarisation et dénazification
La capitulation ouvre une période d’effondrement matériel et démographique : villes et réseau ferroviaire détruits, millions de morts, de prisonniers et de sans-logis, malnutrition et déplacements massifs. La figure de la Trümmerfrau (« femme des ruines ») s’impose dans les représentations de la reconstruction.
Les conférences de Yalta et de Potsdam organisent la division du pays en quatre zones d’occupation, l’amputation des territoires situés à l’est de la ligne Oder-Neisse, ainsi que la démilitarisation et la dénazification. Le procès international de Nuremberg s’ouvre en novembre.</x:v>
      </x:c>
      <x:c r="D2" s="1" t="str">
        <x:v>Le cinéma est en ruines. Premières projection des Moulins de la mort (Todesmühen), un documentaire sur les camps de concentration.
Les Alliés font de la reconstruction culturelle un instrument de « rééducation » démocratique : réouverture de lieux culturels, retour d’artistes interdits sous le nazisme, création de nouveaux organes de presse sous contrôle militaire. Les « maisons de l’Amérique » diffusent livres, traductions et productions américaines.
Une esthétique des ruines traverse la littérature et le cinéma ; Berlin redevient rapidement un centre intellectuel important.</x:v>
      </x:c>
      <x:c r="E2" s="1" t="s">
        <x:v>83</x:v>
      </x:c>
      <x:c r="F2" s="1"/>
      <x:c r="G2" s="1"/>
      <x:c r="H2" s="20" t="s">
        <x:v>19</x:v>
      </x:c>
      <x:c r="I2" s="20"/>
      <x:c r="J2" s="20"/>
      <x:c r="K2" s="20"/>
      <x:c r="L2" s="1"/>
      <x:c r="M2" s="19"/>
      <x:c r="N2" s="19"/>
      <x:c r="O2" s="19"/>
      <x:c r="P2" s="19"/>
      <x:c r="Q2" s="19"/>
      <x:c r="R2" s="19"/>
      <x:c r="S2" s="19"/>
      <x:c r="T2" s="19"/>
      <x:c r="U2" s="2" t="str">
        <x: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x:f>
      </x:c>
    </x:row>
    <x:row r="3" ht="348" hidden="0" customHeight="1">
      <x:c r="A3" s="1">
        <x:v>1946</x:v>
      </x:c>
      <x:c r="B3" s="1" t="s">
        <x:v>14</x:v>
      </x:c>
      <x:c r="C3" s="1" t="str">
        <x:v>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À Nuremberg, douze accusés sont condamnés à mort, huit à des peines de prison et trois sont acquittés. Les puissances occupantes organisent aussi des procès dans leurs zones, mais de nombreux responsables nazis échappent aux poursuites, fuient ou sont recrutés par les services occidentaux.
Les zones américaine et britannique fusionnent en décembre pour former la bizone. À Berlin, les premières élections municipales donnent la majorité au SPD.</x:v>
      </x:c>
      <x:c r="D3" s="1" t="str">
        <x:v>Fondation de la DEFA (Deutsch Film AG) à Berlin Est. Premières productions de films allemands de fiction depuis la fin de la guerre. 
Vogue de l'évocation mélancolique de la patrie dans la chanson de variété allemande avec "Möwe, di fliegst in die Heimat" de Magda Hein.
La reprise de la production cinématographique allemande accompagne la reconstruction de la vie culturelle, tandis que l’épuration du secteur culturel demeure inégale selon les zones d’occupation.</x:v>
      </x:c>
      <x:c r="E3" s="1" t="s">
        <x:v>84</x:v>
      </x:c>
      <x:c r="F3" s="19"/>
      <x:c r="G3" s="1"/>
      <x:c r="H3" s="20" t="s">
        <x:v>85</x:v>
      </x:c>
      <x:c r="I3" s="20"/>
      <x:c r="J3" s="20"/>
      <x:c r="K3" s="20"/>
      <x:c r="L3" s="1"/>
      <x:c r="M3" s="19"/>
      <x:c r="N3" s="19"/>
      <x:c r="O3" s="19"/>
      <x:c r="P3" s="19"/>
      <x:c r="Q3" s="19"/>
      <x:c r="R3" s="19"/>
      <x:c r="S3" s="19"/>
      <x:c r="T3" s="19"/>
      <x:c r="U3" s="2" t="str">
        <x: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x:f>
      </x:c>
    </x:row>
    <x:row r="4" ht="216" hidden="0" customHeight="1">
      <x:c r="A4" s="1">
        <x:v>1947</x:v>
      </x:c>
      <x:c r="B4" s="1" t="s">
        <x:v>23</x:v>
      </x:c>
      <x:c r="C4" s="1" t="str">
        <x:v>Période de disette la plus terrible depuis la fin de la guerre. Les Trümmerfrauen (les femmes des ruines) constituent un des piliers de la reconstruction.
Dans les zones occidentales, l’assouplissement de la censure accompagne le recul progressif de la dénazification, désormais subordonnée à la confrontation entre les blocs. Berlin concentre ces tensions.</x:v>
      </x:c>
      <x:c r="D4" s="1" t="str">
        <x:v>A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
Berlin devient le foyer d’une activité intellectuelle intense, partagée entre volonté de rupture avec le nazisme et continuités institutionnelles ou personnelles.</x:v>
      </x:c>
      <x:c r="E4" s="1"/>
      <x:c r="F4" s="19"/>
      <x:c r="G4" s="1"/>
      <x:c r="H4" s="20"/>
      <x:c r="I4" s="19"/>
      <x:c r="J4" s="19"/>
      <x:c r="K4" s="19"/>
      <x:c r="L4" s="1"/>
      <x:c r="M4" s="19"/>
      <x:c r="N4" s="19"/>
      <x:c r="O4" s="19"/>
      <x:c r="P4" s="19"/>
      <x:c r="Q4" s="19"/>
      <x:c r="R4" s="19"/>
      <x:c r="S4" s="19"/>
      <x:c r="T4" s="1" t="s">
        <x:v>86</x:v>
      </x:c>
      <x:c r="U4" s="2" t="str">
        <x: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x:f>
      </x:c>
    </x:row>
    <x:row r="5" ht="348" hidden="0" customHeight="1">
      <x:c r="A5" s="1">
        <x:v>1948</x:v>
      </x:c>
      <x:c r="B5" s="1" t="s">
        <x:v>23</x:v>
      </x:c>
      <x:c r="C5" s="1" t="str">
        <x:v>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mise en place à l'initiative des Etats-Unis et de la Grande-Bretagne.
Dans les zones occidentales, la dénazification est déclarée achevée : de nombreux compromis avec le régime sont requalifiés comme simples « suivistes » et des procédures d’appel permettent des réintégrations administratives. La zone française rejoint la bizone pour former la trizone.
À Berlin, le départ soviétique du Conseil de contrôle, la réforme monétaire puis le blocus des secteurs occidentaux accélèrent la division. Une municipalité séparée, dominée par le SED, s’installe à Berlin-Est.</x:v>
      </x:c>
      <x:c r="D5" s="21" t="str">
        <x:v>Le film de Rossellini Allemagne année zéro offre une vision réaliste et critique de l'Allemagne en ruine
Revenu d’exil, Bertolt Brecht se voit refuser par les Alliés occidentaux l’autorisation de s’installer en RFA ; cette trajectoire annonce la polarisation culturelle entre les deux Allemagne.</x:v>
      </x:c>
      <x:c r="E5" s="1"/>
      <x:c r="F5" s="19"/>
      <x:c r="G5" s="1"/>
      <x:c r="H5" s="20" t="s">
        <x:v>87</x:v>
      </x:c>
      <x:c r="I5" s="1" t="s">
        <x:v>88</x:v>
      </x:c>
      <x:c r="J5" s="22" t="s">
        <x:v>89</x:v>
      </x:c>
      <x:c r="K5" s="1" t="s">
        <x:v>90</x:v>
      </x:c>
      <x:c r="L5" s="1"/>
      <x:c r="M5" s="19"/>
      <x:c r="N5" s="19"/>
      <x:c r="O5" s="19"/>
      <x:c r="P5" s="19"/>
      <x:c r="Q5" s="19"/>
      <x:c r="R5" s="19"/>
      <x:c r="S5" s="19"/>
      <x:c r="T5" s="19"/>
      <x:c r="U5" s="2" t="str">
        <x: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x:f>
      </x:c>
    </x:row>
    <x:row r="6" ht="240" hidden="0" customHeight="1">
      <x:c r="A6" s="1">
        <x:v>1949</x:v>
      </x:c>
      <x:c r="B6" s="1" t="s">
        <x:v>23</x:v>
      </x:c>
      <x:c r="C6" s="1" t="str">
        <x:v>Création de l'OTAN. Création de la RFA. Konrad Adenauer est élu chancelier fédéral avec une courte majorité. La division de l'Allemande en deux états indépendants est reconnue par la communauté internationale.
La Loi fondamentale de la RFA garantit les droits fondamentaux, restaure le fédéralisme et organise le Bundestag, le Bundesrat et la chancellerie. Elle inscrit la réunification dans ses principes, mais facilite aussi le retour dans les services publics d’anciens membres du NSDAP non classés parmi les responsables les plus compromis.
À l’Est, la création de la RDA et sa constitution formellement fédérale masquent le monopole politique du SED.</x:v>
      </x:c>
      <x:c r="D6" s="21" t="str">
        <x:v>Avec sa femme Helene Weigel, Brecht fonde le Berliner Ensemble à Berlin-Est, où il crée Mère courage et ses enfants. Thomas Mann donne des conférences  en Allemagne de l'ouest et en République démocratique (voir le film de Pavec Pwalikoscki Fatherland (2026))
Le retour d’exil d’Adorno et de Horkheimer contribue à la refondation intellectuelle de la RFA et prépare l’influence ultérieure de l’École de Francfort. Brecht choisit au contraire de s’installer en RDA.</x:v>
      </x:c>
      <x:c r="E6" s="1"/>
      <x:c r="F6" s="19"/>
      <x:c r="G6" s="1"/>
      <x:c r="H6" s="20" t="s">
        <x:v>91</x:v>
      </x:c>
      <x:c r="I6" s="20"/>
      <x:c r="J6" s="20"/>
      <x:c r="K6" s="20"/>
      <x:c r="L6" s="1"/>
      <x:c r="M6" s="19" t="s">
        <x:v>92</x:v>
      </x:c>
      <x:c r="N6" s="19" t="s">
        <x:v>93</x:v>
      </x:c>
      <x:c r="O6" s="19"/>
      <x:c r="P6" s="19"/>
      <x:c r="Q6" s="19"/>
      <x:c r="R6" s="19"/>
      <x:c r="S6" s="19"/>
      <x:c r="T6" s="19"/>
      <x:c r="U6" s="2" t="str">
        <x: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x:f>
      </x:c>
    </x:row>
    <x:row r="7" ht="108" hidden="0" customHeight="1">
      <x:c r="A7" s="1">
        <x:v>1950</x:v>
      </x:c>
      <x:c r="B7" s="1" t="s">
        <x:v>23</x:v>
      </x:c>
      <x:c r="C7" s="1" t="str">
        <x:v>En RDA, le pluralisme est strictement encadré. Jusqu’à la construction du Mur, environ 2,7 millions d’Allemands de l’Est gagnent la RFA.
À l’Ouest, la guerre de Corée stimule la demande industrielle et accélère l’essor d’une économie de biens de consommation.</x:v>
      </x:c>
      <x:c r="D7" s="1" t="str">
        <x:v>Le rock est encore associé à la délinquance et aux débordements de la jeunesse ; la chanson de variété allemande, le Schlager, domine la culture populaire jusqu’au milieu des années 1960.</x:v>
      </x:c>
      <x:c r="E7" s="1" t="s">
        <x:v>94</x:v>
      </x:c>
      <x:c r="F7" s="19"/>
      <x:c r="G7" s="1"/>
      <x:c r="H7" s="19"/>
      <x:c r="I7" s="20"/>
      <x:c r="J7" s="20"/>
      <x:c r="K7" s="20"/>
      <x:c r="L7" s="1"/>
      <x:c r="M7" s="19" t="s">
        <x:v>92</x:v>
      </x:c>
      <x:c r="N7" s="19" t="s">
        <x:v>93</x:v>
      </x:c>
      <x:c r="O7" s="19"/>
      <x:c r="P7" s="19"/>
      <x:c r="Q7" s="19"/>
      <x:c r="R7" s="19" t="s">
        <x:v>95</x:v>
      </x:c>
      <x:c r="S7" s="19"/>
      <x:c r="T7" s="19"/>
      <x:c r="U7" s="2" t="str">
        <x: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x:f>
      </x:c>
    </x:row>
    <x:row r="8" ht="156" hidden="0" customHeight="1">
      <x:c r="A8" s="1">
        <x:v>1951</x:v>
      </x:c>
      <x:c r="B8" s="1" t="s">
        <x:v>23</x:v>
      </x:c>
      <x:c r="C8" s="1" t="str">
        <x:v>Création du Traité de "la communauté du charbon et de l'acier", début de la construction européenne autour de 6 pays.
La société ouest-allemande compte encore environ deux millions d’orphelins et un million de veuves de guerre. Le « miracle économique » repose sur les transferts technologiques, une main-d’œuvre qualifiée et la modération salariale. L’anticommunisme domine la vie politique, tandis que l’engagement public demeure limité.</x:v>
      </x:c>
      <x:c r="D8" s="1" t="str">
        <x:v>Jean Vilar présente à Berlin-Ouest Le Prince de Hombourg de Kleist, créé à Avignon, avec un immense succès. Le TNP accueille également Mère Courage de Brecht : les échanges théâtraux participent au retour de l’Allemagne dans la vie culturelle européenne.</x:v>
      </x:c>
      <x:c r="E8" s="1" t="s">
        <x:v>96</x:v>
      </x:c>
      <x:c r="F8" s="1"/>
      <x:c r="G8" s="19"/>
      <x:c r="H8" s="19"/>
      <x:c r="I8" s="19"/>
      <x:c r="J8" s="19"/>
      <x:c r="K8" s="19"/>
      <x:c r="L8" s="19"/>
      <x:c r="M8" s="19" t="s">
        <x:v>92</x:v>
      </x:c>
      <x:c r="N8" s="19" t="s">
        <x:v>93</x:v>
      </x:c>
      <x:c r="O8" s="19"/>
      <x:c r="P8" s="19"/>
      <x:c r="Q8" s="19"/>
      <x:c r="R8" s="19"/>
      <x:c r="S8" s="19"/>
      <x:c r="T8" s="19"/>
      <x:c r="U8" s="2" t="str">
        <x: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x:f>
      </x:c>
    </x:row>
    <x:row r="9" ht="120" hidden="0" customHeight="1">
      <x:c r="A9" s="1">
        <x:v>1952</x:v>
      </x:c>
      <x:c r="B9" s="1" t="s">
        <x:v>23</x:v>
      </x:c>
      <x:c r="C9" s="1" t="str">
        <x:v>Traité de réparation avec Israël signé par Adenauer.
L’accord sur la Communauté européenne de défense admet le principe d’une armée allemande sous commandement européen, même si le projet échoue en 1954. La RFA s’engage parallèlement à verser des réparations à Israël sous forme de livraisons de produits et d’armes.</x:v>
      </x:c>
      <x:c r="D9" s="1" t="str">
        <x:v>Première émission de télévision dans le nord et l'ouest de la RFA
Dans Les Cerises de la liberté, Alfred Andersch raconte sa désertion de la Wehrmacht en 1944. Cette œuvre de la « littérature des ruines », mal reçue en RFA, témoigne des difficultés à élaborer publiquement l’expérience de la guerre.</x:v>
      </x:c>
      <x:c r="E9" s="1" t="s">
        <x:v>97</x:v>
      </x:c>
      <x:c r="F9" s="1"/>
      <x:c r="G9" s="19"/>
      <x:c r="H9" s="19"/>
      <x:c r="I9" s="19"/>
      <x:c r="J9" s="19"/>
      <x:c r="K9" s="19"/>
      <x:c r="L9" s="19"/>
      <x:c r="M9" s="1" t="s">
        <x:v>98</x:v>
      </x:c>
      <x:c r="N9" s="1" t="s">
        <x:v>99</x:v>
      </x:c>
      <x:c r="O9" s="19" t="s">
        <x:v>92</x:v>
      </x:c>
      <x:c r="P9" s="19" t="s">
        <x:v>93</x:v>
      </x:c>
      <x:c r="Q9" s="1"/>
      <x:c r="R9" s="1"/>
      <x:c r="S9" s="1"/>
      <x:c r="T9" s="19"/>
      <x:c r="U9" s="2" t="str">
        <x: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x:f>
      </x:c>
    </x:row>
    <x:row r="10" ht="204" hidden="0" customHeight="1">
      <x:c r="A10" s="1">
        <x:v>1953</x:v>
      </x:c>
      <x:c r="B10" s="1" t="s">
        <x:v>23</x:v>
      </x:c>
      <x:c r="C10" s="1" t="str">
        <x:v>Révolte des ouvriers berlinois est-allemands écrasée par les chars soviétiques. 
Adenauer est réélu chancelier avec une coalition de centre droit
L’insurrection partie de Berlin-Est contre l’augmentation des cadences de travail s’étend aux principales villes de RDA avant d’être violemment réprimée par les forces soviétiques.
En RFA, l’application tardive du principe constitutionnel d’égalité dans le droit de la famille ne met pas fin à la « remasculinisation » de la société d’après-guerre.</x:v>
      </x:c>
      <x:c r="D10" s="1" t="str">
        <x:v>Premiers concerts de rock'n'roll en RFA à Hambourg et Francfort.
Bertolt Brecht dénonce dans un poème le mépris des dirigeants est-allemands pour le peuple ; le texte ne sera publié qu’en 1959 à l’Ouest.</x:v>
      </x:c>
      <x:c r="E10" s="1"/>
      <x:c r="F10" s="1"/>
      <x:c r="G10" s="19"/>
      <x:c r="H10" s="20" t="s">
        <x:v>100</x:v>
      </x:c>
      <x:c r="I10" s="19"/>
      <x:c r="J10" s="19"/>
      <x:c r="K10" s="19"/>
      <x:c r="L10" s="19"/>
      <x:c r="M10" s="19" t="s">
        <x:v>92</x:v>
      </x:c>
      <x:c r="N10" s="19" t="s">
        <x:v>93</x:v>
      </x:c>
      <x:c r="O10" s="19"/>
      <x:c r="P10" s="19"/>
      <x:c r="Q10" s="19"/>
      <x:c r="R10" s="19"/>
      <x:c r="S10" s="19"/>
      <x:c r="T10" s="19"/>
      <x:c r="U10" s="2" t="str">
        <x: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x:f>
      </x:c>
    </x:row>
    <x:row r="11" ht="204" hidden="0" customHeight="1">
      <x:c r="A11" s="1">
        <x:v>1954</x:v>
      </x:c>
      <x:c r="B11" s="1" t="s">
        <x:v>23</x:v>
      </x:c>
      <x:c r="C11" s="1" t="str">
        <x:v>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Les accords de Paris préparent le rétablissement de la souveraineté ouest-allemande et l’intégration de la RFA au système de défense occidental. La division allemande se consolide par l’institutionnalisation de deux blocs politiques et militaires rivaux.</x:v>
      </x:c>
      <x:c r="D11" s="22" t="s">
        <x:v>101</x:v>
      </x:c>
      <x:c r="E11" s="1"/>
      <x:c r="F11" s="1"/>
      <x:c r="G11" s="19"/>
      <x:c r="H11" s="20" t="s">
        <x:v>102</x:v>
      </x:c>
      <x:c r="I11" s="20"/>
      <x:c r="J11" s="20"/>
      <x:c r="K11" s="20"/>
      <x:c r="L11" s="19"/>
      <x:c r="M11" s="19" t="s">
        <x:v>103</x:v>
      </x:c>
      <x:c r="N11" s="19" t="s">
        <x:v>104</x:v>
      </x:c>
      <x:c r="O11" s="19" t="s">
        <x:v>92</x:v>
      </x:c>
      <x:c r="P11" s="19" t="s">
        <x:v>93</x:v>
      </x:c>
      <x:c r="Q11" s="19"/>
      <x:c r="R11" s="19"/>
      <x:c r="S11" s="19"/>
      <x:c r="T11" s="19"/>
      <x:c r="U11" s="2" t="str">
        <x: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x:f>
      </x:c>
    </x:row>
    <x:row r="12" ht="60" hidden="0" customHeight="1">
      <x:c r="A12" s="1">
        <x:v>1955</x:v>
      </x:c>
      <x:c r="B12" s="1" t="s">
        <x:v>23</x:v>
      </x:c>
      <x:c r="C12" s="1" t="str">
        <x:v>Le premier accord de recrutement de travailleurs étrangers est signé avec l’Italie : il inaugure le système des Gastarbeiter, indispensable à la croissance industrielle ouest-allemande.</x:v>
      </x:c>
      <x:c r="D12" s="1" t="str">
        <x:v>Dans Le Pain des jeunes années, Heinrich Böll décrit le bouleversement provoqué par le passage brutal des privations de l’après-guerre à l’abondance du boom économique.</x:v>
      </x:c>
      <x:c r="E12" s="1" t="s">
        <x:v>105</x:v>
      </x:c>
      <x:c r="F12" s="1"/>
      <x:c r="G12" s="19"/>
      <x:c r="H12" s="19"/>
      <x:c r="I12" s="19"/>
      <x:c r="J12" s="19"/>
      <x:c r="K12" s="19"/>
      <x:c r="L12" s="19"/>
      <x:c r="M12" s="19"/>
      <x:c r="N12" s="19"/>
      <x:c r="O12" s="19"/>
      <x:c r="P12" s="19"/>
      <x:c r="Q12" s="19"/>
      <x:c r="R12" s="19"/>
      <x:c r="S12" s="19"/>
      <x:c r="T12" s="19"/>
      <x:c r="U12" s="2" t="str">
        <x: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x:f>
      </x:c>
    </x:row>
    <x:row r="13" ht="168" hidden="0" customHeight="1">
      <x:c r="A13" s="1">
        <x:v>1956</x:v>
      </x:c>
      <x:c r="B13" s="1" t="s">
        <x:v>23</x:v>
      </x:c>
      <x:c r="C13" s="1" t="str">
        <x:v>Adenauer fête ses 80 ans. 
Le KDP, parti communiste ouest-allemand, est interdit.
L’interdiction du KPD rend l’activité communiste illégale en RFA. En RDA, l’armée participe à la répression de l’insurrection hongroise.
Une loi d’indemnisation des victimes juives entre en vigueur, mais la RFA diffère encore l’établissement de relations diplomatiques avec Israël par crainte de voir les États arabes reconnaître la RDA.</x:v>
      </x:c>
      <x:c r="D13" s="1" t="s">
        <x:v>106</x:v>
      </x:c>
      <x:c r="E13" s="1" t="s">
        <x:v>107</x:v>
      </x:c>
      <x:c r="F13" s="1"/>
      <x:c r="G13" s="19"/>
      <x:c r="H13" s="23" t="s">
        <x:v>108</x:v>
      </x:c>
      <x:c r="I13" s="19"/>
      <x:c r="J13" s="19"/>
      <x:c r="K13" s="19"/>
      <x:c r="L13" s="19"/>
      <x:c r="M13" s="19" t="s">
        <x:v>92</x:v>
      </x:c>
      <x:c r="N13" s="19" t="s">
        <x:v>93</x:v>
      </x:c>
      <x:c r="O13" s="19"/>
      <x:c r="P13" s="19"/>
      <x:c r="Q13" s="19"/>
      <x:c r="R13" s="19"/>
      <x:c r="S13" s="19"/>
      <x:c r="T13" s="19"/>
      <x:c r="U13" s="2" t="str">
        <x: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x:f>
      </x:c>
    </x:row>
    <x:row r="14" ht="252" hidden="0" customHeight="1">
      <x:c r="A14" s="1">
        <x:v>1957</x:v>
      </x:c>
      <x:c r="B14" s="1" t="s">
        <x:v>23</x:v>
      </x:c>
      <x:c r="C14" s="1" t="str">
        <x:v>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
Willy Brandt devient maire de Berlin-Ouest et associe étroitement la communauté juive à la vie de la ville. Une loi organise l’indemnisation des biens spoliés par les nazis.
Les mouvements pacifistes dénoncent la remilitarisation et mènent campagne contre l’armement nucléaire.</x:v>
      </x:c>
      <x:c r="D14" s="1" t="s">
        <x:v>109</x:v>
      </x:c>
      <x:c r="E14" s="1"/>
      <x:c r="F14" s="1"/>
      <x:c r="G14" s="19"/>
      <x:c r="H14" s="20"/>
      <x:c r="I14" s="19"/>
      <x:c r="J14" s="19"/>
      <x:c r="K14" s="19"/>
      <x:c r="L14" s="19"/>
      <x:c r="M14" s="19" t="s">
        <x:v>92</x:v>
      </x:c>
      <x:c r="N14" s="19" t="s">
        <x:v>93</x:v>
      </x:c>
      <x:c r="O14" s="19"/>
      <x:c r="P14" s="19"/>
      <x:c r="Q14" s="19"/>
      <x:c r="R14" s="19"/>
      <x:c r="S14" s="19"/>
      <x:c r="T14" s="19"/>
      <x:c r="U14" s="2" t="str">
        <x: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x:f>
      </x:c>
    </x:row>
    <x:row r="15" ht="204" hidden="0" customHeight="1">
      <x:c r="A15" s="1">
        <x:v>1959</x:v>
      </x:c>
      <x:c r="B15" s="1" t="s">
        <x:v>23</x:v>
      </x:c>
      <x:c r="C15" s="1" t="str">
        <x:v>Le SPD (parti social-démocrate allemand), adopte le programme de Bad-Godesberg : pour la première fois, le SPD abandonne formellement les idées d'inspiration marxiste. Il reconnaît l'économie de marché et se dit lié au peuple entier, non aux seuls travailleurs.
La prospérité se traduit par un équipement rapide des ménages, notamment en téléviseurs. Dans le même temps, la continuité avec le personnel de la dictature nazie demeure forte : à la fin de la décennie, les anciens membres du NSDAP représentent en moyenne environ 40 % des effectifs de certaines administrations et institutions.</x:v>
      </x:c>
      <x:c r="D15" s="1" t="s">
        <x:v>110</x:v>
      </x:c>
      <x:c r="E15" s="21" t="s">
        <x:v>111</x:v>
      </x:c>
      <x:c r="F15" s="1"/>
      <x:c r="G15" s="19" t="s">
        <x:v>112</x:v>
      </x:c>
      <x:c r="H15" s="19"/>
      <x:c r="I15" s="19"/>
      <x:c r="J15" s="19"/>
      <x:c r="K15" s="19"/>
      <x:c r="L15" s="19"/>
      <x:c r="M15" s="19" t="s">
        <x:v>92</x:v>
      </x:c>
      <x:c r="N15" s="19" t="s">
        <x:v>93</x:v>
      </x:c>
      <x:c r="O15" s="19"/>
      <x:c r="P15" s="19"/>
      <x:c r="Q15" s="19"/>
      <x:c r="R15" s="19"/>
      <x:c r="S15" s="19"/>
      <x:c r="T15" s="19"/>
      <x:c r="U15" s="2" t="str">
        <x: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x:f>
      </x:c>
    </x:row>
    <x:row r="16" ht="192" hidden="0" customHeight="1">
      <x:c r="A16" s="1">
        <x:v>1960</x:v>
      </x:c>
      <x:c r="B16" s="1" t="s">
        <x:v>23</x:v>
      </x:c>
      <x:c r="C16" s="1" t="str">
        <x:v>Le constructeur automobile Volkswagen est privatisé à hauteur de 60% de son capital. 78% des ménages ouest-allemands disposent d'un réfrigérateur contre 25% en France. 42% mossèdent une voiture. La société de consommation de masse est une réalité en RFA.
Adolf Eichamnn est extradé en Israel.
La RFA atteint le plein emploi et signe de nouveaux accords de recrutement avec la Grèce et l’Espagne. La croissance et l’immigration de travail deviennent deux dimensions indissociables du modèle ouest-allemand.</x:v>
      </x:c>
      <x:c r="D16" s="1" t="s">
        <x:v>113</x:v>
      </x:c>
      <x:c r="E16" s="1" t="s">
        <x:v>114</x:v>
      </x:c>
      <x:c r="F16" s="1"/>
      <x:c r="G16" s="19"/>
      <x:c r="H16" s="19"/>
      <x:c r="I16" s="19"/>
      <x:c r="J16" s="19"/>
      <x:c r="K16" s="19"/>
      <x:c r="L16" s="19"/>
      <x:c r="M16" s="19" t="s">
        <x:v>92</x:v>
      </x:c>
      <x:c r="N16" s="19" t="s">
        <x:v>93</x:v>
      </x:c>
      <x:c r="O16" s="19"/>
      <x:c r="P16" s="19"/>
      <x:c r="Q16" s="19"/>
      <x:c r="R16" s="19"/>
      <x:c r="S16" s="19"/>
      <x:c r="T16" s="19"/>
      <x:c r="U16" s="2" t="str">
        <x: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x:f>
      </x:c>
    </x:row>
    <x:row r="17" ht="180" hidden="0" customHeight="1">
      <x:c r="A17" s="1">
        <x:v>1961</x:v>
      </x:c>
      <x:c r="B17" s="1" t="s">
        <x:v>30</x:v>
      </x:c>
      <x:c r="C17" s="1" t="str">
        <x:v>Construction du Mur de Berlin (1961). Adenauer est rééel chancelier fédéral.
Procès d'Eichmann en Israel.
En août, l’installation de barbelés puis l’édification du Mur ferment la principale voie de passage entre les deux Allemagne. La division de Berlin devient un traumatisme et une métonymie de la guerre froide. Willy Brandt rassemble 300 000 personnes à Berlin-Ouest pour appeler à la solidarité internationale.
La RFA signe un accord de recrutement avec la Turquie.</x:v>
      </x:c>
      <x:c r="D17" s="19"/>
      <x:c r="E17" s="1" t="s">
        <x:v>115</x:v>
      </x:c>
      <x:c r="F17" s="19"/>
      <x:c r="G17" s="19"/>
      <x:c r="H17" s="19"/>
      <x:c r="I17" s="19"/>
      <x:c r="J17" s="19"/>
      <x:c r="K17" s="19"/>
      <x:c r="L17" s="19"/>
      <x:c r="M17" s="19" t="s">
        <x:v>92</x:v>
      </x:c>
      <x:c r="N17" s="19" t="s">
        <x:v>93</x:v>
      </x:c>
      <x:c r="O17" s="19"/>
      <x:c r="P17" s="19"/>
      <x:c r="Q17" s="19"/>
      <x:c r="R17" s="19"/>
      <x:c r="S17" s="19"/>
      <x:c r="T17" s="19"/>
      <x:c r="U17" s="2" t="str">
        <x: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x:f>
      </x:c>
    </x:row>
    <x:row r="18" ht="84" hidden="0" customHeight="1">
      <x:c r="A18" s="1">
        <x:v>1962</x:v>
      </x:c>
      <x:c r="B18" s="1" t="s">
        <x:v>30</x:v>
      </x:c>
      <x:c r="C18" s="1"/>
      <x:c r="D18" s="1" t="s">
        <x:v>116</x:v>
      </x:c>
      <x:c r="E18" s="1"/>
      <x:c r="F18" s="1"/>
      <x:c r="G18" s="19"/>
      <x:c r="H18" s="19"/>
      <x:c r="I18" s="19"/>
      <x:c r="J18" s="19"/>
      <x:c r="K18" s="19"/>
      <x:c r="L18" s="19" t="s">
        <x:v>117</x:v>
      </x:c>
      <x:c r="M18" s="19" t="s">
        <x:v>92</x:v>
      </x:c>
      <x:c r="N18" s="19" t="s">
        <x:v>93</x:v>
      </x:c>
      <x:c r="O18" s="19"/>
      <x:c r="P18" s="19"/>
      <x:c r="Q18" s="19"/>
      <x:c r="R18" s="19"/>
      <x:c r="S18" s="19"/>
      <x:c r="T18" s="19"/>
      <x:c r="U18" s="2" t="str">
        <x: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x:f>
      </x:c>
    </x:row>
    <x:row r="19" ht="300" hidden="0" customHeight="1">
      <x:c r="A19" s="1">
        <x:v>1963</x:v>
      </x:c>
      <x:c r="B19" s="1"/>
      <x:c r="C19" s="1" t="str">
        <x:v>Visite de J.F Kennedy à Berlin-ouest : "ich bin ein Berliner". 
Procès d'Auschwitz à Francfort (1963-1965)
Démission d'Adenauer à 87 ans. Ludwijg Ehrard, père du "miracle économique", devient Chancelier de la RFA.
La visite de John F. Kennedy consacre Berlin-Ouest comme symbole du camp occidental. L’ouverture du procès d’Auschwitz à Francfort marque une nouvelle étape dans la confrontation judiciaire avec les crimes nazis.
Le traité de l’Élysée consolide l’axe franco-allemand et l’Office franco-allemand pour la jeunesse multiplie les échanges. Un accord de recrutement est signé avec le Maroc.</x:v>
      </x:c>
      <x:c r="D19" s="1" t="s">
        <x:v>118</x:v>
      </x:c>
      <x:c r="E19" s="1" t="s">
        <x:v>119</x:v>
      </x:c>
      <x:c r="F19" s="1"/>
      <x:c r="G19" s="19"/>
      <x:c r="H19" s="23" t="s">
        <x:v>120</x:v>
      </x:c>
      <x:c r="I19" s="23" t="s">
        <x:v>121</x:v>
      </x:c>
      <x:c r="J19" s="19" t="s">
        <x:v>122</x:v>
      </x:c>
      <x:c r="K19" s="19"/>
      <x:c r="L19" s="19"/>
      <x:c r="M19" s="19" t="s">
        <x:v>123</x:v>
      </x:c>
      <x:c r="N19" s="19" t="s">
        <x:v>124</x:v>
      </x:c>
      <x:c r="O19" s="19"/>
      <x:c r="P19" s="19"/>
      <x:c r="Q19" s="19"/>
      <x:c r="R19" s="19"/>
      <x:c r="S19" s="19"/>
      <x:c r="T19" s="19"/>
      <x:c r="U19" s="2" t="str">
        <x: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x:f>
      </x:c>
    </x:row>
    <x:row r="20" ht="108" hidden="0" customHeight="1">
      <x:c r="A20" s="1">
        <x:v>1964</x:v>
      </x:c>
      <x:c r="B20" s="1"/>
      <x:c r="C20" s="1" t="str">
        <x:v>Procès d'Eichmann à Jerusalem
L’arrivée du millionième travailleur immigré en RFA donne lieu à une célébration médiatique : les Gastarbeiter sont publiquement présentés comme les acteurs du miracle économique, alors même que leur installation reste pensée comme provisoire.</x:v>
      </x:c>
      <x:c r="D20" s="1"/>
      <x:c r="E20" s="1" t="s">
        <x:v>125</x:v>
      </x:c>
      <x:c r="F20" s="1"/>
      <x:c r="G20" s="19"/>
      <x:c r="H20" s="20"/>
      <x:c r="I20" s="19"/>
      <x:c r="J20" s="19"/>
      <x:c r="K20" s="19"/>
      <x:c r="L20" s="19"/>
      <x:c r="M20" s="19"/>
      <x:c r="N20" s="19"/>
      <x:c r="O20" s="19"/>
      <x:c r="P20" s="19"/>
      <x:c r="Q20" s="19"/>
      <x:c r="R20" s="19"/>
      <x:c r="S20" s="19"/>
      <x:c r="T20" s="19"/>
      <x:c r="U20" s="2" t="str">
        <x: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x:f>
      </x:c>
    </x:row>
    <x:row r="21" ht="156" hidden="0" customHeight="1">
      <x:c r="A21" s="1">
        <x:v>1966</x:v>
      </x:c>
      <x:c r="B21" s="1" t="s">
        <x:v>30</x:v>
      </x:c>
      <x:c r="C21" s="1" t="str">
        <x:v>Une grande coalition chrétienne-démocrate voit le jour sous l'autorité du nouveau chancelier Kurt Georg Kiesinger. Willy Brandt est ministre des affaires étrangères et vice-chancelier.
La Grande Coalition CDU-SPD réduit l’opposition parlementaire et favorise l’essor d’une opposition extraparlementaire, particulièrement active dans les milieux étudiants. Les 15-29 ans représentent près de 22 % de la population.</x:v>
      </x:c>
      <x:c r="D21" s="1" t="str">
        <x:v>La pièce outrage au public du dramaturge allemand Peter Handke témoigne du goût de l'avant-garde  artistique subentionnée pour une forme de provocation à l'égard du public, manière paradoxale de s'affranchir de la tutelle culturelle dont ils bénéficient.
La publication du Journal de Spandau d’Albert Speer participe à la mise en récit du passé nazi.
Le rock et les cultures venues des États-Unis, de Grande-Bretagne et de France gagnent en légitimité. Chansons et culture populaire diffusent des idées critiques envers l’État, la famille, la religion, les rapports de genre et les formes traditionnelles d’autorité.</x:v>
      </x:c>
      <x:c r="E21" s="1"/>
      <x:c r="F21" s="1" t="s">
        <x:v>126</x:v>
      </x:c>
      <x:c r="G21" s="19"/>
      <x:c r="H21" s="19"/>
      <x:c r="I21" s="19"/>
      <x:c r="J21" s="19"/>
      <x:c r="K21" s="19"/>
      <x:c r="L21" s="19"/>
      <x:c r="M21" s="19"/>
      <x:c r="N21" s="19"/>
      <x:c r="O21" s="19"/>
      <x:c r="P21" s="19"/>
      <x:c r="Q21" s="19"/>
      <x:c r="R21" s="19"/>
      <x:c r="S21" s="19"/>
      <x:c r="T21" s="19"/>
      <x:c r="U21" s="2" t="str">
        <x:f>IF(F21="","",_xlfn.TEXTJOIN("; ",TRUE(),IF(ISNUMBER(SEARCH(SUBSTITUTE('Référentiel films'!$A$2,"’","'"),SUBSTITUTE(F21,"’","'"))),'Référentiel films'!$B$2,""),IF(ISNUMBER(SEARCH(SUBSTITUTE('Référentiel films'!$A$3,"’","'"),SUBSTITUTE(F21,"’","'"))),'Référentiel films'!$B$3,""),IF(ISNUMBER(SEARCH(SUBSTITUTE('Référentiel films'!$A$4,"’","'"),SUBSTITUTE(F21,"’","'"))),'Référentiel films'!$B$4,""),IF(ISNUMBER(SEARCH(SUBSTITUTE('Référentiel films'!$A$5,"’","'"),SUBSTITUTE(F21,"’","'"))),'Référentiel films'!$B$5,""),IF(ISNUMBER(SEARCH(SUBSTITUTE('Référentiel films'!$A$6,"’","'"),SUBSTITUTE(F21,"’","'"))),'Référentiel films'!$B$6,""),IF(ISNUMBER(SEARCH(SUBSTITUTE('Référentiel films'!$A$7,"’","'"),SUBSTITUTE(F21,"’","'"))),'Référentiel films'!$B$7,""),IF(ISNUMBER(SEARCH(SUBSTITUTE('Référentiel films'!$A$8,"’","'"),SUBSTITUTE(F21,"’","'"))),'Référentiel films'!$B$8,""),IF(ISNUMBER(SEARCH(SUBSTITUTE('Référentiel films'!$A$9,"’","'"),SUBSTITUTE(F21,"’","'"))),'Référentiel films'!$B$9,""),IF(ISNUMBER(SEARCH(SUBSTITUTE('Référentiel films'!$A$10,"’","'"),SUBSTITUTE(F21,"’","'"))),'Référentiel films'!$B$10,""),IF(ISNUMBER(SEARCH(SUBSTITUTE('Référentiel films'!$A$11,"’","'"),SUBSTITUTE(F21,"’","'"))),'Référentiel films'!$B$11,""),IF(ISNUMBER(SEARCH(SUBSTITUTE('Référentiel films'!$A$12,"’","'"),SUBSTITUTE(F21,"’","'"))),'Référentiel films'!$B$12,""),IF(ISNUMBER(SEARCH(SUBSTITUTE('Référentiel films'!$A$13,"’","'"),SUBSTITUTE(F21,"’","'"))),'Référentiel films'!$B$13,""),IF(ISNUMBER(SEARCH(SUBSTITUTE('Référentiel films'!$A$14,"’","'"),SUBSTITUTE(F21,"’","'"))),'Référentiel films'!$B$14,""),IF(ISNUMBER(SEARCH(SUBSTITUTE('Référentiel films'!$A$15,"’","'"),SUBSTITUTE(F21,"’","'"))),'Référentiel films'!$B$15,""),IF(ISNUMBER(SEARCH(SUBSTITUTE('Référentiel films'!$A$16,"’","'"),SUBSTITUTE(F21,"’","'"))),'Référentiel films'!$B$16,""),IF(ISNUMBER(SEARCH(SUBSTITUTE('Référentiel films'!$A$17,"’","'"),SUBSTITUTE(F21,"’","'"))),'Référentiel films'!$B$17,""),IF(ISNUMBER(SEARCH(SUBSTITUTE('Référentiel films'!$A$18,"’","'"),SUBSTITUTE(F21,"’","'"))),'Référentiel films'!$B$18,""),IF(ISNUMBER(SEARCH(SUBSTITUTE('Référentiel films'!$A$19,"’","'"),SUBSTITUTE(F21,"’","'"))),'Référentiel films'!$B$19,""),IF(ISNUMBER(SEARCH(SUBSTITUTE('Référentiel films'!$A$20,"’","'"),SUBSTITUTE(F21,"’","'"))),'Référentiel films'!$B$20,""),IF(ISNUMBER(SEARCH(SUBSTITUTE('Référentiel films'!$A$21,"’","'"),SUBSTITUTE(F21,"’","'"))),'Référentiel films'!$B$21,""),IF(ISNUMBER(SEARCH(SUBSTITUTE('Référentiel films'!$A$22,"’","'"),SUBSTITUTE(F21,"’","'"))),'Référentiel films'!$B$22,""),IF(ISNUMBER(SEARCH(SUBSTITUTE('Référentiel films'!$A$23,"’","'"),SUBSTITUTE(F21,"’","'"))),'Référentiel films'!$B$23,""),IF(ISNUMBER(SEARCH(SUBSTITUTE('Référentiel films'!$A$24,"’","'"),SUBSTITUTE(F21,"’","'"))),'Référentiel films'!$B$24,""),IF(ISNUMBER(SEARCH(SUBSTITUTE('Référentiel films'!$A$25,"’","'"),SUBSTITUTE(F21,"’","'"))),'Référentiel films'!$B$25,""),IF(ISNUMBER(SEARCH(SUBSTITUTE('Référentiel films'!$A$26,"’","'"),SUBSTITUTE(F21,"’","'"))),'Référentiel films'!$B$26,""),IF(ISNUMBER(SEARCH(SUBSTITUTE('Référentiel films'!$A$27,"’","'"),SUBSTITUTE(F21,"’","'"))),'Référentiel films'!$B$27,""),IF(ISNUMBER(SEARCH(SUBSTITUTE('Référentiel films'!$A$28,"’","'"),SUBSTITUTE(F21,"’","'"))),'Référentiel films'!$B$28,""),IF(ISNUMBER(SEARCH(SUBSTITUTE('Référentiel films'!$A$29,"’","'"),SUBSTITUTE(F21,"’","'"))),'Référentiel films'!$B$29,""),IF(ISNUMBER(SEARCH(SUBSTITUTE('Référentiel films'!$A$30,"’","'"),SUBSTITUTE(F21,"’","'"))),'Référentiel films'!$B$30,""),IF(ISNUMBER(SEARCH(SUBSTITUTE('Référentiel films'!$A$31,"’","'"),SUBSTITUTE(F21,"’","'"))),'Référentiel films'!$B$31,""),IF(ISNUMBER(SEARCH(SUBSTITUTE('Référentiel films'!$A$32,"’","'"),SUBSTITUTE(F21,"’","'"))),'Référentiel films'!$B$32,""),IF(ISNUMBER(SEARCH(SUBSTITUTE('Référentiel films'!$A$33,"’","'"),SUBSTITUTE(F21,"’","'"))),'Référentiel films'!$B$33,""),IF(ISNUMBER(SEARCH(SUBSTITUTE('Référentiel films'!$A$34,"’","'"),SUBSTITUTE(F21,"’","'"))),'Référentiel films'!$B$34,""),IF(ISNUMBER(SEARCH(SUBSTITUTE('Référentiel films'!$A$35,"’","'"),SUBSTITUTE(F21,"’","'"))),'Référentiel films'!$B$35,""),IF(ISNUMBER(SEARCH(SUBSTITUTE('Référentiel films'!$A$36,"’","'"),SUBSTITUTE(F21,"’","'"))),'Référentiel films'!$B$36,""),IF(ISNUMBER(SEARCH(SUBSTITUTE('Référentiel films'!$A$37,"’","'"),SUBSTITUTE(F21,"’","'"))),'Référentiel films'!$B$37,""),IF(ISNUMBER(SEARCH(SUBSTITUTE('Référentiel films'!$A$38,"’","'"),SUBSTITUTE(F21,"’","'"))),'Référentiel films'!$B$38,""),IF(ISNUMBER(SEARCH(SUBSTITUTE('Référentiel films'!$A$39,"’","'"),SUBSTITUTE(F21,"’","'"))),'Référentiel films'!$B$39,""),IF(ISNUMBER(SEARCH(SUBSTITUTE('Référentiel films'!$A$40,"’","'"),SUBSTITUTE(F21,"’","'"))),'Référentiel films'!$B$40,""),IF(ISNUMBER(SEARCH(SUBSTITUTE('Référentiel films'!$A$41,"’","'"),SUBSTITUTE(F21,"’","'"))),'Référentiel films'!$B$41,"")))</x:f>
      </x:c>
    </x:row>
    <x:row r="22" ht="192" hidden="0" customHeight="1">
      <x:c r="A22" s="1">
        <x:v>1967</x:v>
      </x:c>
      <x:c r="B22" s="1" t="s">
        <x:v>37</x:v>
      </x:c>
      <x:c r="C22" s="1" t="str">
        <x:v>Procès Maïdanek à Hambourg
La mort de l’étudiant Benno Ohnesorg, tué par un policier lors d’une manifestation contre la visite du Shah d’Iran, radicalise la contestation. Le mouvement étudiant rapproche les violences policières et les continuités autoritaires héritées du IIIe Reich.</x:v>
      </x:c>
      <x:c r="D22" s="1" t="s">
        <x:v>127</x:v>
      </x:c>
      <x:c r="E22" s="1" t="s">
        <x:v>128</x:v>
      </x:c>
      <x:c r="F22" s="25" t="s">
        <x:v>129</x:v>
      </x:c>
      <x:c r="G22" s="19"/>
      <x:c r="H22" s="19"/>
      <x:c r="I22" s="19"/>
      <x:c r="J22" s="19"/>
      <x:c r="K22" s="19"/>
      <x:c r="L22" s="19"/>
      <x:c r="M22" s="19"/>
      <x:c r="N22" s="19"/>
      <x:c r="O22" s="19"/>
      <x:c r="P22" s="19"/>
      <x:c r="Q22" s="19"/>
      <x:c r="R22" s="19"/>
      <x:c r="S22" s="19"/>
      <x:c r="T22" s="19"/>
      <x:c r="U22" s="2" t="str">
        <x: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x:f>
      </x:c>
    </x:row>
    <x:row r="23" ht="228" hidden="0" customHeight="1">
      <x:c r="A23" s="1">
        <x:v>1968</x:v>
      </x:c>
      <x:c r="B23" s="1" t="s">
        <x:v>37</x:v>
      </x:c>
      <x:c r="C23" s="1" t="str">
        <x:v>Mouvements étudiants de 1968. Tentative d'assassinat contre Rudi Dutschke. Victoire de Willy Brandt (SPD, 1969). Abrogation partielle de l'article 175 (homosexualité).
La contestation étudiante dénonce à la fois la guerre du Vietnam, les continuités autoritaires de la RFA et l’aliénation produite par la société de consommation. La tentative d’assassinat de Rudi Dutschke, les incendies de grands magasins et l’adoption des lois d’exception installent un climat de violence.
À l’Est, l’écrasement du Printemps de Prague dissipe les espoirs d’un « socialisme à visage humain ». Beate Klarsfeld gifle le chancelier Kiesinger pour dénoncer son passé nazi.</x:v>
      </x:c>
      <x:c r="D23" s="1" t="str">
        <x:v>Émergence de l'Anti-teater à Munich. Influence de la Nouvelle Vague française. Le cinéma devient politique et théorique.
La redécouverte de l’École de Francfort nourrit la critique du capitalisme, de la consommation et des structures d’autorité. La revue Konkret, dont Ulrike Meinhof est rédactrice en chef, devient l’un des relais intellectuels de la gauche radicale.</x:v>
      </x:c>
      <x:c r="E23" s="1" t="s">
        <x:v>40</x:v>
      </x:c>
      <x:c r="F23" s="15"/>
      <x:c r="G23" s="24" t="s">
        <x:v>130</x:v>
      </x:c>
      <x:c r="H23" s="19"/>
      <x:c r="I23" s="19"/>
      <x:c r="J23" s="19"/>
      <x:c r="K23" s="19"/>
      <x:c r="L23" s="19"/>
      <x:c r="M23" s="19"/>
      <x:c r="N23" s="19"/>
      <x:c r="O23" s="19"/>
      <x:c r="P23" s="19"/>
      <x:c r="Q23" s="19"/>
      <x:c r="R23" s="19"/>
      <x:c r="S23" s="19"/>
      <x:c r="T23" s="19"/>
      <x:c r="U23" s="2" t="str">
        <x: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x:f>
        <x:v>film-1969-l-amour-est-plus-froid-que-la-mort; film-1969-le-bouc</x:v>
      </x:c>
    </x:row>
    <x:row r="24" ht="204" hidden="0" customHeight="1">
      <x:c r="A24" s="1">
        <x:v>1969</x:v>
      </x:c>
      <x:c r="B24" s="1" t="s">
        <x:v>37</x:v>
      </x:c>
      <x:c r="C24" s="1" t="str">
        <x:v>Une majorité sociale-libérale place Willy Brandt au pouvoir.
Willy Brandt engage une politique de rapprochement avec la RDA et le bloc de l’Est. Environ deux millions d’étrangers vivent en RFA ; les Gastarbeiter occupent souvent les emplois les plus pénibles et les moins bien payés et subissent des discriminations.
La réforme du paragraphe 175 accompagne l’assouplissement de la répression de l’homosexualité. Après leur condamnation en appel, Baader, Ensslin et leurs camarades passent dans la clandestinité.</x:v>
      </x:c>
      <x:c r="D24" s="1" t="s">
        <x:v>131</x:v>
      </x:c>
      <x:c r="E24" s="1"/>
      <x:c r="F24" s="1" t="s">
        <x:v>132</x:v>
      </x:c>
      <x:c r="G24" s="24"/>
      <x:c r="H24" s="19"/>
      <x:c r="I24" s="19"/>
      <x:c r="J24" s="19"/>
      <x:c r="K24" s="19"/>
      <x:c r="L24" s="19"/>
      <x:c r="M24" s="19"/>
      <x:c r="N24" s="19"/>
      <x:c r="O24" s="19"/>
      <x:c r="P24" s="19"/>
      <x:c r="Q24" s="19"/>
      <x:c r="R24" s="19"/>
      <x:c r="S24" s="19"/>
      <x:c r="T24" s="19"/>
      <x:c r="U24" s="2" t="e">
        <x:f>IF(#REF!="","",_xlfn.TEXTJOIN("; ",TRUE(),IF(ISNUMBER(SEARCH(SUBSTITUTE('Référentiel films'!$A$2,"’","'"),SUBSTITUTE(#REF!,"’","'"))),'Référentiel films'!$B$2,""),IF(ISNUMBER(SEARCH(SUBSTITUTE('Référentiel films'!$A$3,"’","'"),SUBSTITUTE(#REF!,"’","'"))),'Référentiel films'!$B$3,""),IF(ISNUMBER(SEARCH(SUBSTITUTE('Référentiel films'!$A$4,"’","'"),SUBSTITUTE(#REF!,"’","'"))),'Référentiel films'!$B$4,""),IF(ISNUMBER(SEARCH(SUBSTITUTE('Référentiel films'!$A$5,"’","'"),SUBSTITUTE(#REF!,"’","'"))),'Référentiel films'!$B$5,""),IF(ISNUMBER(SEARCH(SUBSTITUTE('Référentiel films'!$A$6,"’","'"),SUBSTITUTE(#REF!,"’","'"))),'Référentiel films'!$B$6,""),IF(ISNUMBER(SEARCH(SUBSTITUTE('Référentiel films'!$A$7,"’","'"),SUBSTITUTE(#REF!,"’","'"))),'Référentiel films'!$B$7,""),IF(ISNUMBER(SEARCH(SUBSTITUTE('Référentiel films'!$A$8,"’","'"),SUBSTITUTE(#REF!,"’","'"))),'Référentiel films'!$B$8,""),IF(ISNUMBER(SEARCH(SUBSTITUTE('Référentiel films'!$A$9,"’","'"),SUBSTITUTE(#REF!,"’","'"))),'Référentiel films'!$B$9,""),IF(ISNUMBER(SEARCH(SUBSTITUTE('Référentiel films'!$A$10,"’","'"),SUBSTITUTE(#REF!,"’","'"))),'Référentiel films'!$B$10,""),IF(ISNUMBER(SEARCH(SUBSTITUTE('Référentiel films'!$A$11,"’","'"),SUBSTITUTE(#REF!,"’","'"))),'Référentiel films'!$B$11,""),IF(ISNUMBER(SEARCH(SUBSTITUTE('Référentiel films'!$A$12,"’","'"),SUBSTITUTE(#REF!,"’","'"))),'Référentiel films'!$B$12,""),IF(ISNUMBER(SEARCH(SUBSTITUTE('Référentiel films'!$A$13,"’","'"),SUBSTITUTE(#REF!,"’","'"))),'Référentiel films'!$B$13,""),IF(ISNUMBER(SEARCH(SUBSTITUTE('Référentiel films'!$A$14,"’","'"),SUBSTITUTE(#REF!,"’","'"))),'Référentiel films'!$B$14,""),IF(ISNUMBER(SEARCH(SUBSTITUTE('Référentiel films'!$A$15,"’","'"),SUBSTITUTE(#REF!,"’","'"))),'Référentiel films'!$B$15,""),IF(ISNUMBER(SEARCH(SUBSTITUTE('Référentiel films'!$A$16,"’","'"),SUBSTITUTE(#REF!,"’","'"))),'Référentiel films'!$B$16,""),IF(ISNUMBER(SEARCH(SUBSTITUTE('Référentiel films'!$A$17,"’","'"),SUBSTITUTE(#REF!,"’","'"))),'Référentiel films'!$B$17,""),IF(ISNUMBER(SEARCH(SUBSTITUTE('Référentiel films'!$A$18,"’","'"),SUBSTITUTE(#REF!,"’","'"))),'Référentiel films'!$B$18,""),IF(ISNUMBER(SEARCH(SUBSTITUTE('Référentiel films'!$A$19,"’","'"),SUBSTITUTE(#REF!,"’","'"))),'Référentiel films'!$B$19,""),IF(ISNUMBER(SEARCH(SUBSTITUTE('Référentiel films'!$A$20,"’","'"),SUBSTITUTE(#REF!,"’","'"))),'Référentiel films'!$B$20,""),IF(ISNUMBER(SEARCH(SUBSTITUTE('Référentiel films'!$A$21,"’","'"),SUBSTITUTE(#REF!,"’","'"))),'Référentiel films'!$B$21,""),IF(ISNUMBER(SEARCH(SUBSTITUTE('Référentiel films'!$A$22,"’","'"),SUBSTITUTE(#REF!,"’","'"))),'Référentiel films'!$B$22,""),IF(ISNUMBER(SEARCH(SUBSTITUTE('Référentiel films'!$A$23,"’","'"),SUBSTITUTE(#REF!,"’","'"))),'Référentiel films'!$B$23,""),IF(ISNUMBER(SEARCH(SUBSTITUTE('Référentiel films'!$A$24,"’","'"),SUBSTITUTE(#REF!,"’","'"))),'Référentiel films'!$B$24,""),IF(ISNUMBER(SEARCH(SUBSTITUTE('Référentiel films'!$A$25,"’","'"),SUBSTITUTE(#REF!,"’","'"))),'Référentiel films'!$B$25,""),IF(ISNUMBER(SEARCH(SUBSTITUTE('Référentiel films'!$A$26,"’","'"),SUBSTITUTE(#REF!,"’","'"))),'Référentiel films'!$B$26,""),IF(ISNUMBER(SEARCH(SUBSTITUTE('Référentiel films'!$A$27,"’","'"),SUBSTITUTE(#REF!,"’","'"))),'Référentiel films'!$B$27,""),IF(ISNUMBER(SEARCH(SUBSTITUTE('Référentiel films'!$A$28,"’","'"),SUBSTITUTE(#REF!,"’","'"))),'Référentiel films'!$B$28,""),IF(ISNUMBER(SEARCH(SUBSTITUTE('Référentiel films'!$A$29,"’","'"),SUBSTITUTE(#REF!,"’","'"))),'Référentiel films'!$B$29,""),IF(ISNUMBER(SEARCH(SUBSTITUTE('Référentiel films'!$A$30,"’","'"),SUBSTITUTE(#REF!,"’","'"))),'Référentiel films'!$B$30,""),IF(ISNUMBER(SEARCH(SUBSTITUTE('Référentiel films'!$A$31,"’","'"),SUBSTITUTE(#REF!,"’","'"))),'Référentiel films'!$B$31,""),IF(ISNUMBER(SEARCH(SUBSTITUTE('Référentiel films'!$A$32,"’","'"),SUBSTITUTE(#REF!,"’","'"))),'Référentiel films'!$B$32,""),IF(ISNUMBER(SEARCH(SUBSTITUTE('Référentiel films'!$A$33,"’","'"),SUBSTITUTE(#REF!,"’","'"))),'Référentiel films'!$B$33,""),IF(ISNUMBER(SEARCH(SUBSTITUTE('Référentiel films'!$A$34,"’","'"),SUBSTITUTE(#REF!,"’","'"))),'Référentiel films'!$B$34,""),IF(ISNUMBER(SEARCH(SUBSTITUTE('Référentiel films'!$A$35,"’","'"),SUBSTITUTE(#REF!,"’","'"))),'Référentiel films'!$B$35,""),IF(ISNUMBER(SEARCH(SUBSTITUTE('Référentiel films'!$A$36,"’","'"),SUBSTITUTE(#REF!,"’","'"))),'Référentiel films'!$B$36,""),IF(ISNUMBER(SEARCH(SUBSTITUTE('Référentiel films'!$A$37,"’","'"),SUBSTITUTE(#REF!,"’","'"))),'Référentiel films'!$B$37,""),IF(ISNUMBER(SEARCH(SUBSTITUTE('Référentiel films'!$A$38,"’","'"),SUBSTITUTE(#REF!,"’","'"))),'Référentiel films'!$B$38,""),IF(ISNUMBER(SEARCH(SUBSTITUTE('Référentiel films'!$A$39,"’","'"),SUBSTITUTE(#REF!,"’","'"))),'Référentiel films'!$B$39,""),IF(ISNUMBER(SEARCH(SUBSTITUTE('Référentiel films'!$A$40,"’","'"),SUBSTITUTE(#REF!,"’","'"))),'Référentiel films'!$B$40,""),IF(ISNUMBER(SEARCH(SUBSTITUTE('Référentiel films'!$A$41,"’","'"),SUBSTITUTE(#REF!,"’","'"))),'Référentiel films'!$B$41,"")))</x:f>
        <x:v>#REF!</x:v>
      </x:c>
    </x:row>
    <x:row r="25" ht="288" hidden="0" customHeight="1">
      <x:c r="A25" s="1">
        <x:v>1970</x:v>
      </x:c>
      <x:c r="B25" s="1"/>
      <x:c r="C25" s="1" t="str">
        <x:v>Le chancelier Willy Brandt se rend en Pologne et s'agenouille devant le mémorial du ghetto de Varsovie.
L’abaissement de la majorité électorale à 18 ans reconnaît la politisation de la jeunesse. Le geste de Willy Brandt devant le monument du ghetto de Varsovie accompagne la reconnaissance de la frontière Oder-Neisse.
La libération armée d’Andreas Baader, à laquelle participe Ulrike Meinhof, puis le manifeste « Bâtir l’Armée rouge » marquent la naissance de la RAF. Le groupe se finance par des braquages.
En RDA, les effectifs de la Stasi et de ses informateurs augmentent fortement. À l’Ouest, mouvements féministes et écologistes se structurent ; la transformation des normes sexuelles se poursuit, sans faire disparaître les inégalités entre femmes et hommes.</x:v>
      </x:c>
      <x:c r="D25" s="27"/>
      <x:c r="E25" s="1"/>
      <x:c r="F25" s="1" t="s">
        <x:v>133</x:v>
      </x:c>
      <x:c r="G25" s="24"/>
      <x:c r="H25" s="19"/>
      <x:c r="I25" s="19"/>
      <x:c r="J25" s="19"/>
      <x:c r="K25" s="19"/>
      <x:c r="L25" s="19"/>
      <x:c r="M25" s="19"/>
      <x:c r="N25" s="19"/>
      <x:c r="O25" s="19"/>
      <x:c r="P25" s="19"/>
      <x:c r="Q25" s="19"/>
      <x:c r="R25" s="19"/>
      <x:c r="S25" s="19"/>
      <x:c r="T25" s="19"/>
      <x:c r="U25" s="2" t="str">
        <x: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x:f>
        <x:v>film-1970-les-dieux-de-la-peste; film-1970-pourquoi-m-r-est-il-atteint-de-folie-meurtriere; film-1970-le-soldat-americain; film-1970-le-voyage-a-niklashausen</x:v>
      </x:c>
    </x:row>
    <x:row r="26" ht="180" hidden="0" customHeight="1">
      <x:c r="A26" s="1">
        <x:v>1971</x:v>
      </x:c>
      <x:c r="B26" s="1" t="s">
        <x:v>43</x:v>
      </x:c>
      <x:c r="C26" s="1" t="str">
        <x:v>Terrorisme de la RAF (arrestations en 1972). Attentat des JO de Munich (1972). Démission de Willy Brandt (1974) suite à l'affaire Guillaume. Un virage conservateur s'opère.
Willy Brandt reçoit le prix Nobel de la paix pour sa politique de rapprochement avec le bloc de l’Est.
La RAF publie Le Concept de guérilla urbaine. Une vaste opération vise ses membres ; Petra Schelm est tuée par la police et deux policiers meurent à l’automne.</x:v>
      </x:c>
      <x:c r="D26" s="1" t="s">
        <x:v>134</x:v>
      </x:c>
      <x:c r="E26" s="1" t="s">
        <x:v>135</x:v>
      </x:c>
      <x:c r="F26" s="25" t="s">
        <x:v>136</x:v>
      </x:c>
      <x:c r="G26" s="19" t="s">
        <x:v>137</x:v>
      </x:c>
      <x:c r="H26" s="19"/>
      <x:c r="I26" s="19"/>
      <x:c r="J26" s="15"/>
      <x:c r="K26" s="19"/>
      <x:c r="L26" s="19" t="s">
        <x:v>138</x:v>
      </x:c>
      <x:c r="M26" s="1" t="s">
        <x:v>139</x:v>
      </x:c>
      <x:c r="N26" s="21" t="s">
        <x:v>140</x:v>
      </x:c>
      <x:c r="O26" s="1"/>
      <x:c r="P26" s="1"/>
      <x:c r="Q26" s="1"/>
      <x:c r="R26" s="1"/>
      <x:c r="S26" s="1" t="s">
        <x:v>60</x:v>
      </x:c>
      <x:c r="T26" s="19"/>
      <x:c r="U26" s="2" t="str">
        <x: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x:f>
        <x:v>film-1971-whity; film-1971-prenez-garde-a-la-sainte-putain; film-1971-pionniers-a-ingolstadt</x:v>
      </x:c>
    </x:row>
    <x:row r="27" ht="228" hidden="0" customHeight="1">
      <x:c r="A27" s="1">
        <x:v>1972</x:v>
      </x:c>
      <x:c r="B27" s="1"/>
      <x:c r="C27" s="1" t="str">
        <x:v>Le traité fondamental organise la reconnaissance mutuelle de la RFA et de la RDA.
La RAF mène une série d’attentats contre l’armée américaine, la police, un juge et le groupe Springer : quatre personnes sont tuées et des dizaines blessées. Baader, Ensslin, Meinhof, Raspe et plusieurs autres membres sont arrêtés en juin.</x:v>
      </x:c>
      <x:c r="D27" s="1" t="s">
        <x:v>141</x:v>
      </x:c>
      <x:c r="E27" s="1"/>
      <x:c r="F27" s="25" t="s">
        <x:v>142</x:v>
      </x:c>
      <x:c r="G27" s="15"/>
      <x:c r="H27" s="15"/>
      <x:c r="I27" s="15"/>
      <x:c r="J27" s="15"/>
      <x:c r="K27" s="15"/>
      <x:c r="L27" s="15"/>
      <x:c r="M27" s="1"/>
      <x:c r="N27" s="21"/>
      <x:c r="O27" s="1"/>
      <x:c r="P27" s="1"/>
      <x:c r="Q27" s="1"/>
      <x:c r="R27" s="1"/>
      <x:c r="S27" s="1"/>
      <x:c r="T27" s="15"/>
      <x:c r="U27" s="2" t="str">
        <x: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x:f>
        <x:v>film-1972-le-marchand-des-quatre-saisons; film-1972-les-larmes-ameres-de-petra-von-kant; film-1972-liberte-a-breme; film-1972-huit-heures-ne-font-pas-un-jour</x:v>
      </x:c>
    </x:row>
    <x:row r="28" ht="72" hidden="0" customHeight="1">
      <x:c r="A28" s="1">
        <x:v>1973</x:v>
      </x:c>
      <x:c r="B28" s="1"/>
      <x:c r="C28" s="1" t="str">
        <x:v>Le premier choc pétrolier met fin à la haute croissance et entraîne l’arrêt du recrutement de Gastarbeiter. Cette décision favorise ensuite l’installation durable des travailleurs déjà présents et le regroupement familial.</x:v>
      </x:c>
      <x:c r="D28" s="26" t="s">
        <x:v>143</x:v>
      </x:c>
      <x:c r="E28" s="1"/>
      <x:c r="F28" s="25" t="s">
        <x:v>144</x:v>
      </x:c>
      <x:c r="G28" s="1"/>
      <x:c r="H28" s="15" t="s">
        <x:v>145</x:v>
      </x:c>
      <x:c r="I28" s="15"/>
      <x:c r="J28" s="15"/>
      <x:c r="K28" s="15"/>
      <x:c r="L28" s="15"/>
      <x:c r="M28" s="1"/>
      <x:c r="N28" s="21"/>
      <x:c r="O28" s="1"/>
      <x:c r="P28" s="1"/>
      <x:c r="Q28" s="1"/>
      <x:c r="R28" s="1"/>
      <x:c r="S28" s="1"/>
      <x:c r="T28" s="15"/>
      <x:c r="U28" s="2" t="str">
        <x: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x:f>
        <x:v>film-1973-gibier-de-passage; film-1973-le-monde-sur-un-fil</x:v>
      </x:c>
    </x:row>
    <x:row r="29" ht="168" hidden="0" customHeight="1">
      <x:c r="A29" s="1">
        <x:v>1974</x:v>
      </x:c>
      <x:c r="B29" s="1"/>
      <x:c r="C29" s="1" t="str">
        <x:v>Willy Brandt démissionne après la découverte d’un espion est-allemand dans son entourage, sans que l’Ostpolitik soit abandonnée. Environ quatre millions d’étrangers vivent désormais en RFA.
Ulrike Meinhof est condamnée à huit ans de prison. Les détenus de la RAF dénoncent l’isolement carcéral et multiplient les grèves de la faim ; Holger Meins en meurt. Jean-Paul Sartre rencontre Andreas Baader à Stuttgart-Stammheim et critique publiquement ses conditions de détention.</x:v>
      </x:c>
      <x:c r="D29" s="1"/>
      <x:c r="E29" s="1"/>
      <x:c r="F29" s="25" t="s">
        <x:v>146</x:v>
      </x:c>
      <x:c r="G29" s="1" t="s">
        <x:v>147</x:v>
      </x:c>
      <x:c r="H29" s="15"/>
      <x:c r="I29" s="15"/>
      <x:c r="J29" s="15"/>
      <x:c r="K29" s="15"/>
      <x:c r="L29" s="15"/>
      <x:c r="M29" s="1"/>
      <x:c r="N29" s="21"/>
      <x:c r="O29" s="1"/>
      <x:c r="P29" s="1"/>
      <x:c r="Q29" s="1"/>
      <x:c r="R29" s="1"/>
      <x:c r="S29" s="1"/>
      <x:c r="T29" s="15"/>
      <x:c r="U29" s="2" t="str">
        <x: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x:f>
        <x:v>film-1974-tous-les-autres-s-appellent-ali; film-1974-effi-briest; film-1974-martha</x:v>
      </x:c>
    </x:row>
    <x:row r="30" ht="420" hidden="0" customHeight="1">
      <x:c r="A30" s="1">
        <x:v>1975</x:v>
      </x:c>
      <x:c r="B30" s="1" t="s">
        <x:v>49</x:v>
      </x:c>
      <x:c r="C30" s="1" t="str">
        <x:v>Tensions sociales et crises du logement (Westend). Débats sur la visibilité des minorités. Lois limitant les libertés civiles.
L’enlèvement du candidat CDU Peter Lorenz par le Mouvement du 2-Juin obtient la libération de cinq militants. La prise d’otages de l’ambassade de RFA à Stockholm par un commando de la RAF s’achève dans le sang.
Le procès des principaux dirigeants de la RAF s’ouvre à Stuttgart-Stammheim, tandis que se structurent en Allemagne et à l’étranger des comités de soutien.</x:v>
      </x:c>
      <x:c r="D30" s="1" t="s">
        <x:v>148</x:v>
      </x:c>
      <x:c r="E30" s="1" t="s">
        <x:v>149</x:v>
      </x:c>
      <x:c r="F30" s="1" t="s">
        <x:v>150</x:v>
      </x:c>
      <x:c r="G30" s="1" t="s">
        <x:v>151</x:v>
      </x:c>
      <x:c r="H30" s="19"/>
      <x:c r="I30" s="19"/>
      <x:c r="J30" s="19"/>
      <x:c r="K30" s="19"/>
      <x:c r="L30" s="15" t="s">
        <x:v>152</x:v>
      </x:c>
      <x:c r="M30" s="19" t="s">
        <x:v>153</x:v>
      </x:c>
      <x:c r="N30" s="19" t="s">
        <x:v>154</x:v>
      </x:c>
      <x:c r="O30" s="19"/>
      <x:c r="P30" s="19"/>
      <x:c r="Q30" s="19"/>
      <x:c r="R30" s="19"/>
      <x:c r="S30" s="19"/>
      <x:c r="T30" s="19"/>
      <x:c r="U30" s="2" t="str">
        <x: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x:f>
        <x:v>film-1975-le-droit-du-plus-fort; film-1975-maman-kusters-s-en-va-au-ciel; film-1975-comme-un-oiseau-sur-le-fil; film-1975-peur-de-la-peur</x:v>
      </x:c>
    </x:row>
    <x:row r="31" ht="132" hidden="0" customHeight="1">
      <x:c r="A31" s="1">
        <x:v>1976</x:v>
      </x:c>
      <x:c r="B31" s="1" t="s">
        <x:v>49</x:v>
      </x:c>
      <x:c r="C31" s="1" t="str">
        <x:v>Après quatre années de débats, l’IVG est autorisée sur indication médico-sociale, tout en demeurant pénalisée hors de ce cadre.
Ulrike Meinhof est retrouvée pendue dans sa cellule ; l’enquête conclut au suicide, conclusion contestée par les membres de la RAF. L’arrestation d’un avocat de Baader révèle la préparation de nouveaux attentats.</x:v>
      </x:c>
      <x:c r="D31" s="25" t="s">
        <x:v>155</x:v>
      </x:c>
      <x:c r="E31" s="1" t="s">
        <x:v>156</x:v>
      </x:c>
      <x:c r="F31" s="1" t="s">
        <x:v>157</x:v>
      </x:c>
      <x:c r="G31" s="1"/>
      <x:c r="H31" s="15"/>
      <x:c r="I31" s="15"/>
      <x:c r="J31" s="15"/>
      <x:c r="K31" s="15"/>
      <x:c r="L31" s="15"/>
      <x:c r="M31" s="15"/>
      <x:c r="N31" s="15"/>
      <x:c r="O31" s="15"/>
      <x:c r="P31" s="15"/>
      <x:c r="Q31" s="15"/>
      <x:c r="R31" s="15"/>
      <x:c r="S31" s="15"/>
      <x:c r="T31" s="15"/>
      <x:c r="U31" s="2" t="str">
        <x: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x:f>
        <x:v>film-1976-l-ombre-des-anges; film-1976-le-roti-de-satan; film-1976-roulette-chinoise; film-1976-je-veux-seulement-que-vous-m-aimiez</x:v>
      </x:c>
    </x:row>
    <x:row r="32" ht="384" hidden="0" customHeight="1">
      <x:c r="A32" s="1">
        <x:v>1977</x:v>
      </x:c>
      <x:c r="B32" s="1" t="s">
        <x:v>54</x:v>
      </x:c>
      <x:c r="C32" s="1" t="str">
        <x:v>Automne Allemand (1977) : enlèvement de Schleyer, détournement du Landshut, morts à Stammheim.
La réforme du droit de la famille supprime l’obligation faite à l’épouse de se consacrer prioritairement au foyer et lui permet de travailler sans l’autorisation de son mari.
L’« offensive 77 » de la RAF atteint son paroxysme avec les assassinats du procureur Siegfried Buback et du banquier Jürgen Ponto, l’enlèvement de Hanns Martin Schleyer et le détournement du Landshut. Après la libération des otages à Mogadiscio, Baader, Ensslin et Raspe sont retrouvés morts à Stammheim ; Schleyer est assassiné.</x:v>
      </x:c>
      <x:c r="D32" s="1" t="str">
        <x:v>Le mouvement atteint son apogée thématique et politique.
Hitler, un film d'Allemagne de Syberberg interroge le nazisme à travers son usage des médias (radio et cinéma) et sa mise en spectacle du politique.  Le film révèle commentl Le show business moderne présente une dimension fasciste.
L’expression « Automne allemand » désigne bientôt autant la séquence terroriste que le climat de peur, de contrôle et de crise démocratique qu’elle produit. Cinéastes, écrivains et artistes s’interrogent sur la violence politique, la mémoire du nazisme et les réponses de l’État.</x:v>
      </x:c>
      <x:c r="E32" s="1" t="s">
        <x:v>158</x:v>
      </x:c>
      <x:c r="F32" s="15" t="s">
        <x:v>159</x:v>
      </x:c>
      <x:c r="G32" s="19" t="s">
        <x:v>160</x:v>
      </x:c>
      <x:c r="H32" s="19"/>
      <x:c r="I32" s="19"/>
      <x:c r="J32" s="19"/>
      <x:c r="K32" s="19" t="s">
        <x:v>161</x:v>
      </x:c>
      <x:c r="L32" s="15" t="s">
        <x:v>162</x:v>
      </x:c>
      <x:c r="M32" s="19"/>
      <x:c r="N32" s="19"/>
      <x:c r="O32" s="19"/>
      <x:c r="P32" s="19"/>
      <x:c r="Q32" s="19"/>
      <x:c r="R32" s="19"/>
      <x:c r="S32" s="19"/>
      <x:c r="T32" s="19"/>
      <x:c r="U32" s="2" t="str">
        <x: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x:f>
        <x:v>film-1977-femmes-a-new-york; film-1977-la-femme-du-chef-de-gare</x:v>
      </x:c>
    </x:row>
    <x:row r="33" ht="252" hidden="0" customHeight="1">
      <x:c r="A33" s="1">
        <x:v>1978</x:v>
      </x:c>
      <x:c r="B33" s="1" t="s">
        <x:v>54</x:v>
      </x:c>
      <x:c r="C33" s="1"/>
      <x:c r="D33" s="25"/>
      <x:c r="E33" s="1" t="s">
        <x:v>163</x:v>
      </x:c>
      <x:c r="F33" s="1" t="s">
        <x:v>164</x:v>
      </x:c>
      <x:c r="G33" s="15" t="s">
        <x:v>165</x:v>
      </x:c>
      <x:c r="H33" s="19"/>
      <x:c r="I33" s="19"/>
      <x:c r="J33" s="19"/>
      <x:c r="K33" s="19"/>
      <x:c r="L33" s="15" t="s">
        <x:v>166</x:v>
      </x:c>
      <x:c r="M33" s="19"/>
      <x:c r="N33" s="19"/>
      <x:c r="O33" s="19"/>
      <x:c r="P33" s="19"/>
      <x:c r="Q33" s="19"/>
      <x:c r="R33" s="19"/>
      <x:c r="S33" s="19"/>
      <x:c r="T33" s="19"/>
      <x:c r="U33" s="2" t="str">
        <x: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x:f>
        <x:v>film-1978-l-allemagne-en-automne; film-1978-despair; film-1978-l-annee-des-treize-lunes; film-1978-le-mariage-de-maria-braun</x:v>
      </x:c>
    </x:row>
    <x:row r="34" ht="192" hidden="0" customHeight="1">
      <x:c r="A34" s="1">
        <x:v>1979</x:v>
      </x:c>
      <x:c r="B34" s="1" t="s">
        <x:v>54</x:v>
      </x:c>
      <x:c r="C34" s="1" t="str">
        <x:v>La détente internationale s’essouffle : reprise de la course aux armements et redéploiement des armes conventionnelles et nucléaires. Les mouvements pacifistes retrouvent une forte capacité de mobilisation.</x:v>
      </x:c>
      <x:c r="D34" s="1" t="s">
        <x:v>167</x:v>
      </x:c>
      <x:c r="E34" s="1" t="s">
        <x:v>168</x:v>
      </x:c>
      <x:c r="F34" s="15" t="s">
        <x:v>169</x:v>
      </x:c>
      <x:c r="G34" s="15" t="s">
        <x:v>170</x:v>
      </x:c>
      <x:c r="H34" s="19" t="s">
        <x:v>171</x:v>
      </x:c>
      <x:c r="I34" s="19"/>
      <x:c r="J34" s="19"/>
      <x:c r="K34" s="19"/>
      <x:c r="L34" s="19"/>
      <x:c r="M34" s="19"/>
      <x:c r="N34" s="19"/>
      <x:c r="O34" s="19"/>
      <x:c r="P34" s="19"/>
      <x:c r="Q34" s="19"/>
      <x:c r="R34" s="19"/>
      <x:c r="S34" s="19"/>
      <x:c r="T34" s="19"/>
      <x:c r="U34" s="2" t="str">
        <x: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x:f>
        <x:v>film-1978-le-mariage-de-maria-braun; film-1979-la-troisieme-generation</x:v>
      </x:c>
    </x:row>
    <x:row r="35" ht="228" hidden="0" customHeight="1">
      <x:c r="A35" s="1">
        <x:v>1980</x:v>
      </x:c>
      <x:c r="B35" s="1" t="s">
        <x:v>61</x:v>
      </x:c>
      <x:c r="C35" s="1" t="str">
        <x:v>Fondation des Verts (1980). Manifestations écologistes. Fin de l'ère sociale-libérale.
La création des Verts rassemble des courants écologistes, féministes et pacifistes issus des mobilisations de la décennie précédente. La représentation politique des femmes reste pourtant inférieure à 10 %, et les modèles sociaux demeurent largement centrés sur la femme au foyer.</x:v>
      </x:c>
      <x:c r="D35" s="25" t="s">
        <x:v>172</x:v>
      </x:c>
      <x:c r="E35" s="1" t="s">
        <x:v>64</x:v>
      </x:c>
      <x:c r="F35" s="1" t="s">
        <x:v>173</x:v>
      </x:c>
      <x:c r="G35" s="1" t="s">
        <x:v>174</x:v>
      </x:c>
      <x:c r="H35" s="19"/>
      <x:c r="I35" s="19"/>
      <x:c r="J35" s="19"/>
      <x:c r="K35" s="19"/>
      <x:c r="L35" s="19" t="s">
        <x:v>175</x:v>
      </x:c>
      <x:c r="M35" s="19"/>
      <x:c r="N35" s="19"/>
      <x:c r="O35" s="19"/>
      <x:c r="P35" s="19"/>
      <x:c r="Q35" s="19"/>
      <x:c r="R35" s="19"/>
      <x:c r="S35" s="19"/>
      <x:c r="T35" s="19"/>
      <x:c r="U35" s="2" t="str">
        <x: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x:f>
        <x:v>film-1980-berlin-alexanderplatz</x:v>
      </x:c>
    </x:row>
    <x:row r="36" ht="132" hidden="0" customHeight="1">
      <x:c r="A36" s="1">
        <x:v>1981</x:v>
      </x:c>
      <x:c r="B36" s="1" t="s">
        <x:v>61</x:v>
      </x:c>
      <x:c r="C36" s="1" t="str">
        <x:v>Une grande manifestation organisée à Bonn contre la course aux armements confirme l’importance du pacifisme dans la société ouest-allemande.</x:v>
      </x:c>
      <x:c r="D36" s="15" t="s">
        <x:v>176</x:v>
      </x:c>
      <x:c r="E36" s="1"/>
      <x:c r="F36" s="1" t="s">
        <x:v>177</x:v>
      </x:c>
      <x:c r="G36" s="1" t="s">
        <x:v>178</x:v>
      </x:c>
      <x:c r="H36" s="15"/>
      <x:c r="I36" s="15"/>
      <x:c r="J36" s="15"/>
      <x:c r="K36" s="15"/>
      <x:c r="L36" s="15" t="s">
        <x:v>179</x:v>
      </x:c>
      <x:c r="M36" s="15"/>
      <x:c r="N36" s="15"/>
      <x:c r="O36" s="15"/>
      <x:c r="P36" s="15"/>
      <x:c r="Q36" s="15"/>
      <x:c r="R36" s="15"/>
      <x:c r="S36" s="15"/>
      <x:c r="T36" s="15"/>
      <x:c r="U36" s="2" t="str">
        <x: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x:f>
        <x:v>film-1981-lili-marleen; film-1981-theatre-en-transe; film-1981-lola-une-femme-allemande</x:v>
      </x:c>
    </x:row>
    <x:row r="37" ht="132" hidden="0" customHeight="1">
      <x:c r="A37" s="1">
        <x:v>1982</x:v>
      </x:c>
      <x:c r="B37" s="1">
        <x:v>1982</x:v>
      </x:c>
      <x:c r="C37" s="1" t="str">
        <x:v>Victoire de la CDU en octobre : Helmut Kohl devient chancelier. Fin d'une époque artistique et politique radicale.
L’arrivée d’Helmut Kohl à la chancellerie ouvre une longue période de gouvernement chrétien-démocrate. Il maintient l’Ostpolitik tout en réaffirmant l’objectif de réunification inscrit dans la Loi fondamentale et en approfondissant la coopération franco-allemande.</x:v>
      </x:c>
      <x:c r="D37" s="1" t="s">
        <x:v>180</x:v>
      </x:c>
      <x:c r="E37" s="1" t="s">
        <x:v>68</x:v>
      </x:c>
      <x:c r="F37" s="25" t="s">
        <x:v>181</x:v>
      </x:c>
      <x:c r="G37" s="19"/>
      <x:c r="H37" s="19"/>
      <x:c r="I37" s="19"/>
      <x:c r="J37" s="19"/>
      <x:c r="K37" s="19"/>
      <x:c r="L37" s="19" t="s">
        <x:v>182</x:v>
      </x:c>
      <x:c r="M37" s="19"/>
      <x:c r="N37" s="19"/>
      <x:c r="O37" s="19"/>
      <x:c r="P37" s="19"/>
      <x:c r="Q37" s="19"/>
      <x:c r="R37" s="19"/>
      <x:c r="S37" s="19"/>
      <x:c r="T37" s="19"/>
      <x:c r="U37" s="2" t="str">
        <x: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x:f>
        <x:v>film-1981-le-secret-de-veronika-voss; film-1982-querelle</x:v>
      </x:c>
    </x:row>
  </x:sheetData>
  <x:hyperlinks>
    <x:hyperlink xmlns:r="http://schemas.openxmlformats.org/officeDocument/2006/relationships" ref="H2" r:id="Rf09701e4227149b1"/>
    <x:hyperlink xmlns:r="http://schemas.openxmlformats.org/officeDocument/2006/relationships" ref="H3" r:id="Rea7ccbe631244721"/>
    <x:hyperlink xmlns:r="http://schemas.openxmlformats.org/officeDocument/2006/relationships" ref="H5" r:id="R82f9d859ca32471c"/>
    <x:hyperlink xmlns:r="http://schemas.openxmlformats.org/officeDocument/2006/relationships" ref="H6" r:id="Rb813206680cf453d"/>
    <x:hyperlink xmlns:r="http://schemas.openxmlformats.org/officeDocument/2006/relationships" ref="H10" r:id="Ra26d2d27902a4982"/>
    <x:hyperlink xmlns:r="http://schemas.openxmlformats.org/officeDocument/2006/relationships" ref="H11" r:id="R240f76110668449d"/>
    <x:hyperlink xmlns:r="http://schemas.openxmlformats.org/officeDocument/2006/relationships" ref="H13" r:id="Rc57e0f0c7b2346ca"/>
    <x:hyperlink xmlns:r="http://schemas.openxmlformats.org/officeDocument/2006/relationships" ref="H19" r:id="R468118914d6e43bd"/>
    <x:hyperlink xmlns:r="http://schemas.openxmlformats.org/officeDocument/2006/relationships" ref="I19" r:id="R7cc0cd67a2a4461d"/>
  </x:hyperlinks>
  <x:pageMargins left="0.7" right="0.7" top="0.75" bottom="0.75" header="0.3" footer="0.3"/>
  <x:tableParts count="1">
    <x:tablePart xmlns:r="http://schemas.openxmlformats.org/officeDocument/2006/relationships" r:id="Rf10c0a120c194d31"/>
  </x:tableParts>
</x:worksheet>
</file>

<file path=xl/worksheets/sheet3.xml><?xml version="1.0" encoding="utf-8"?>
<x:worksheet xmlns:x="http://schemas.openxmlformats.org/spreadsheetml/2006/main">
  <x:sheetFormatPr baseColWidth="10" defaultColWidth="11.5" defaultRowHeight="13"/>
  <x:cols>
    <x:col min="2" max="2" width="37.5" customWidth="1"/>
    <x:col min="3" max="3" width="37" customWidth="1"/>
    <x:col min="4" max="4" width="30.83203125" customWidth="1"/>
  </x:cols>
  <x:sheetData>
    <x:row r="15">
      <x:c r="A15" s="16" t="s">
        <x:v>183</x:v>
      </x:c>
      <x:c r="B15" s="16" t="s">
        <x:v>184</x:v>
      </x:c>
      <x:c r="C15" s="16" t="s">
        <x:v>185</x:v>
      </x:c>
      <x:c r="D15" s="16" t="s">
        <x:v>186</x:v>
      </x:c>
    </x:row>
    <x:row r="16" ht="51">
      <x:c r="A16" s="17" t="s">
        <x:v>187</x:v>
      </x:c>
      <x:c r="B16" s="18" t="s">
        <x:v>188</x:v>
      </x:c>
      <x:c r="C16" s="17" t="s">
        <x:v>189</x:v>
      </x:c>
      <x:c r="D16" s="17"/>
    </x:row>
    <x:row r="17" ht="51">
      <x:c r="A17" s="17" t="s">
        <x:v>190</x:v>
      </x:c>
      <x:c r="B17" s="18" t="s">
        <x:v>191</x:v>
      </x:c>
      <x:c r="C17" s="17" t="s">
        <x:v>192</x:v>
      </x:c>
      <x:c r="D17" s="17" t="s">
        <x:v>193</x:v>
      </x:c>
    </x:row>
    <x:row r="18" ht="28">
      <x:c r="A18" s="17" t="s">
        <x:v>194</x:v>
      </x:c>
      <x:c r="B18" s="17" t="s">
        <x:v>195</x:v>
      </x:c>
      <x:c r="C18" s="17" t="s">
        <x:v>196</x:v>
      </x:c>
      <x:c r="D18" s="17" t="s">
        <x:v>193</x:v>
      </x:c>
    </x:row>
    <x:row r="19" ht="28">
      <x:c r="A19" s="17" t="s">
        <x:v>197</x:v>
      </x:c>
      <x:c r="B19" s="17" t="s">
        <x:v>198</x:v>
      </x:c>
      <x:c r="C19" s="17" t="s">
        <x:v>199</x:v>
      </x:c>
      <x:c r="D19" s="17" t="s">
        <x:v>200</x:v>
      </x:c>
    </x:row>
  </x:sheetData>
  <x:pageMargins left="0.7" right="0.7" top="0.75" bottom="0.75" header="0.3" footer="0.3"/>
</x:worksheet>
</file>

<file path=xl/worksheets/sheet4.xml><?xml version="1.0" encoding="utf-8"?>
<x:worksheet xmlns:x="http://schemas.openxmlformats.org/spreadsheetml/2006/main">
  <x:sheetFormatPr baseColWidth="10" defaultColWidth="10.5" defaultRowHeight="13"/>
  <x:cols>
    <x:col min="1" max="1" width="46.83203125" customWidth="1"/>
    <x:col min="2" max="2" width="59.1640625" customWidth="1"/>
  </x:cols>
  <x:sheetData>
    <x:row r="1" ht="17">
      <x:c r="A1" s="7" t="s">
        <x:v>201</x:v>
      </x:c>
      <x:c r="B1" s="7" t="s">
        <x:v>202</x:v>
      </x:c>
    </x:row>
    <x:row r="2" ht="17">
      <x:c r="A2" s="9" t="s">
        <x:v>203</x:v>
      </x:c>
      <x:c r="B2" s="9" t="s">
        <x:v>204</x:v>
      </x:c>
    </x:row>
    <x:row r="3" ht="17">
      <x:c r="A3" s="9" t="s">
        <x:v>205</x:v>
      </x:c>
      <x:c r="B3" s="9" t="s">
        <x:v>206</x:v>
      </x:c>
    </x:row>
    <x:row r="4" ht="17">
      <x:c r="A4" s="9" t="s">
        <x:v>207</x:v>
      </x:c>
      <x:c r="B4" s="9" t="s">
        <x:v>208</x:v>
      </x:c>
    </x:row>
    <x:row r="5" ht="17">
      <x:c r="A5" s="9" t="s">
        <x:v>209</x:v>
      </x:c>
      <x:c r="B5" s="9" t="s">
        <x:v>210</x:v>
      </x:c>
    </x:row>
    <x:row r="6" ht="17">
      <x:c r="A6" s="9" t="s">
        <x:v>211</x:v>
      </x:c>
      <x:c r="B6" s="9" t="s">
        <x:v>212</x:v>
      </x:c>
    </x:row>
    <x:row r="7" ht="17">
      <x:c r="A7" s="9" t="s">
        <x:v>213</x:v>
      </x:c>
      <x:c r="B7" s="9" t="s">
        <x:v>214</x:v>
      </x:c>
    </x:row>
    <x:row r="8" ht="17">
      <x:c r="A8" s="9" t="s">
        <x:v>215</x:v>
      </x:c>
      <x:c r="B8" s="9" t="s">
        <x:v>216</x:v>
      </x:c>
    </x:row>
    <x:row r="9" ht="17">
      <x:c r="A9" s="9" t="s">
        <x:v>217</x:v>
      </x:c>
      <x:c r="B9" s="9" t="s">
        <x:v>218</x:v>
      </x:c>
    </x:row>
    <x:row r="10" ht="17">
      <x:c r="A10" s="9" t="s">
        <x:v>219</x:v>
      </x:c>
      <x:c r="B10" s="9" t="s">
        <x:v>220</x:v>
      </x:c>
    </x:row>
    <x:row r="11" ht="17">
      <x:c r="A11" s="9" t="s">
        <x:v>221</x:v>
      </x:c>
      <x:c r="B11" s="9" t="s">
        <x:v>222</x:v>
      </x:c>
    </x:row>
    <x:row r="12" ht="17">
      <x:c r="A12" s="9" t="s">
        <x:v>223</x:v>
      </x:c>
      <x:c r="B12" s="9" t="s">
        <x:v>224</x:v>
      </x:c>
    </x:row>
    <x:row r="13" ht="17">
      <x:c r="A13" s="9" t="s">
        <x:v>225</x:v>
      </x:c>
      <x:c r="B13" s="9" t="s">
        <x:v>226</x:v>
      </x:c>
    </x:row>
    <x:row r="14" ht="17">
      <x:c r="A14" s="9" t="s">
        <x:v>227</x:v>
      </x:c>
      <x:c r="B14" s="9" t="s">
        <x:v>228</x:v>
      </x:c>
    </x:row>
    <x:row r="15" ht="17">
      <x:c r="A15" s="9" t="s">
        <x:v>229</x:v>
      </x:c>
      <x:c r="B15" s="9" t="s">
        <x:v>230</x:v>
      </x:c>
    </x:row>
    <x:row r="16" ht="17">
      <x:c r="A16" s="9" t="s">
        <x:v>231</x:v>
      </x:c>
      <x:c r="B16" s="9" t="s">
        <x:v>232</x:v>
      </x:c>
    </x:row>
    <x:row r="17" ht="17">
      <x:c r="A17" s="9" t="s">
        <x:v>233</x:v>
      </x:c>
      <x:c r="B17" s="9" t="s">
        <x:v>234</x:v>
      </x:c>
    </x:row>
    <x:row r="18" ht="17">
      <x:c r="A18" s="9" t="s">
        <x:v>235</x:v>
      </x:c>
      <x:c r="B18" s="9" t="s">
        <x:v>236</x:v>
      </x:c>
    </x:row>
    <x:row r="19" ht="17">
      <x:c r="A19" s="9" t="s">
        <x:v>237</x:v>
      </x:c>
      <x:c r="B19" s="9" t="s">
        <x:v>238</x:v>
      </x:c>
    </x:row>
    <x:row r="20" ht="17">
      <x:c r="A20" s="9" t="s">
        <x:v>239</x:v>
      </x:c>
      <x:c r="B20" s="9" t="s">
        <x:v>240</x:v>
      </x:c>
    </x:row>
    <x:row r="21" ht="17">
      <x:c r="A21" s="9" t="s">
        <x:v>241</x:v>
      </x:c>
      <x:c r="B21" s="9" t="s">
        <x:v>242</x:v>
      </x:c>
    </x:row>
    <x:row r="22" ht="17">
      <x:c r="A22" s="9" t="s">
        <x:v>243</x:v>
      </x:c>
      <x:c r="B22" s="9" t="s">
        <x:v>244</x:v>
      </x:c>
    </x:row>
    <x:row r="23" ht="17">
      <x:c r="A23" s="9" t="s">
        <x:v>245</x:v>
      </x:c>
      <x:c r="B23" s="9" t="s">
        <x:v>246</x:v>
      </x:c>
    </x:row>
    <x:row r="24" ht="17">
      <x:c r="A24" s="9" t="s">
        <x:v>247</x:v>
      </x:c>
      <x:c r="B24" s="9" t="s">
        <x:v>248</x:v>
      </x:c>
    </x:row>
    <x:row r="25" ht="17">
      <x:c r="A25" s="9" t="s">
        <x:v>249</x:v>
      </x:c>
      <x:c r="B25" s="9" t="s">
        <x:v>250</x:v>
      </x:c>
    </x:row>
    <x:row r="26" ht="17">
      <x:c r="A26" s="9" t="s">
        <x:v>251</x:v>
      </x:c>
      <x:c r="B26" s="9" t="s">
        <x:v>252</x:v>
      </x:c>
    </x:row>
    <x:row r="27" ht="17">
      <x:c r="A27" s="9" t="s">
        <x:v>253</x:v>
      </x:c>
      <x:c r="B27" s="9" t="s">
        <x:v>254</x:v>
      </x:c>
    </x:row>
    <x:row r="28" ht="17">
      <x:c r="A28" s="9" t="s">
        <x:v>255</x:v>
      </x:c>
      <x:c r="B28" s="9" t="s">
        <x:v>256</x:v>
      </x:c>
    </x:row>
    <x:row r="29" ht="17">
      <x:c r="A29" s="9" t="s">
        <x:v>257</x:v>
      </x:c>
      <x:c r="B29" s="9" t="s">
        <x:v>258</x:v>
      </x:c>
    </x:row>
    <x:row r="30" ht="17">
      <x:c r="A30" s="9" t="s">
        <x:v>259</x:v>
      </x:c>
      <x:c r="B30" s="9" t="s">
        <x:v>260</x:v>
      </x:c>
    </x:row>
    <x:row r="31" ht="17">
      <x:c r="A31" s="9" t="s">
        <x:v>261</x:v>
      </x:c>
      <x:c r="B31" s="9" t="s">
        <x:v>262</x:v>
      </x:c>
    </x:row>
    <x:row r="32" ht="17">
      <x:c r="A32" s="9" t="s">
        <x:v>263</x:v>
      </x:c>
      <x:c r="B32" s="9" t="s">
        <x:v>264</x:v>
      </x:c>
    </x:row>
    <x:row r="33" ht="17">
      <x:c r="A33" s="9" t="s">
        <x:v>265</x:v>
      </x:c>
      <x:c r="B33" s="9" t="s">
        <x:v>266</x:v>
      </x:c>
    </x:row>
    <x:row r="34" ht="17">
      <x:c r="A34" s="9" t="s">
        <x:v>267</x:v>
      </x:c>
      <x:c r="B34" s="9" t="s">
        <x:v>268</x:v>
      </x:c>
    </x:row>
    <x:row r="35" ht="17">
      <x:c r="A35" s="9" t="s">
        <x:v>269</x:v>
      </x:c>
      <x:c r="B35" s="9" t="s">
        <x:v>270</x:v>
      </x:c>
    </x:row>
    <x:row r="36" ht="17">
      <x:c r="A36" s="9" t="s">
        <x:v>271</x:v>
      </x:c>
      <x:c r="B36" s="9" t="s">
        <x:v>272</x:v>
      </x:c>
    </x:row>
    <x:row r="37" ht="17">
      <x:c r="A37" s="9" t="s">
        <x:v>273</x:v>
      </x:c>
      <x:c r="B37" s="9" t="s">
        <x:v>274</x:v>
      </x:c>
    </x:row>
    <x:row r="38" ht="17">
      <x:c r="A38" s="9" t="s">
        <x:v>275</x:v>
      </x:c>
      <x:c r="B38" s="9" t="s">
        <x:v>276</x:v>
      </x:c>
    </x:row>
    <x:row r="39" ht="17">
      <x:c r="A39" s="9" t="s">
        <x:v>277</x:v>
      </x:c>
      <x:c r="B39" s="9" t="s">
        <x:v>278</x:v>
      </x:c>
    </x:row>
    <x:row r="40" ht="17">
      <x:c r="A40" s="9" t="s">
        <x:v>279</x:v>
      </x:c>
      <x:c r="B40" s="9" t="s">
        <x:v>280</x:v>
      </x:c>
    </x:row>
    <x:row r="41" ht="17">
      <x:c r="A41" s="9" t="s">
        <x:v>281</x:v>
      </x:c>
      <x:c r="B41" s="9" t="s">
        <x:v>282</x:v>
      </x:c>
    </x:row>
  </x:sheetData>
  <x:pageMargins left="0.7" right="0.7" top="0.75" bottom="0.75" header="0.3" footer="0.3"/>
  <x:tableParts count="1">
    <x:tablePart xmlns:r="http://schemas.openxmlformats.org/officeDocument/2006/relationships" r:id="R104f3eb777574d86"/>
  </x:tableParts>
</x:worksheet>
</file>

<file path=xl/worksheets/sheet5.xml><?xml version="1.0" encoding="utf-8"?>
<x:worksheet xmlns:x="http://schemas.openxmlformats.org/spreadsheetml/2006/main">
  <x:sheetFormatPr baseColWidth="10" defaultColWidth="10.5" defaultRowHeight="13"/>
  <x:cols>
    <x:col min="1" max="1" width="29.6640625" customWidth="1"/>
    <x:col min="2" max="2" width="101.1640625" customWidth="1"/>
  </x:cols>
  <x:sheetData>
    <x:row r="1" ht="30" customHeight="1">
      <x:c r="A1" s="10" t="s">
        <x:v>283</x:v>
      </x:c>
      <x:c r="B1" s="10"/>
    </x:row>
    <x:row r="2" ht="34" customHeight="1">
      <x:c r="A2" s="11" t="s">
        <x:v>284</x:v>
      </x:c>
      <x:c r="B2" s="7" t="s">
        <x:v>285</x:v>
      </x:c>
    </x:row>
    <x:row r="3" ht="34" customHeight="1">
      <x:c r="A3" s="11" t="s">
        <x:v>286</x:v>
      </x:c>
      <x:c r="B3" s="7" t="s">
        <x:v>287</x:v>
      </x:c>
    </x:row>
    <x:row r="4" ht="34" customHeight="1">
      <x:c r="A4" s="11" t="s">
        <x:v>288</x:v>
      </x:c>
      <x:c r="B4" s="7" t="s">
        <x:v>289</x:v>
      </x:c>
    </x:row>
    <x:row r="5" ht="34" customHeight="1">
      <x:c r="A5" s="11" t="s">
        <x:v>290</x:v>
      </x:c>
      <x:c r="B5" s="7" t="s">
        <x:v>291</x:v>
      </x:c>
    </x:row>
  </x:sheetData>
  <x:pageMargins left="0.7" right="0.7" top="0.75" bottom="0.75" header="0.3" footer="0.3"/>
</x:worksheet>
</file>