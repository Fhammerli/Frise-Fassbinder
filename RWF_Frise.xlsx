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501" documentId="11_6BE08DF89F0657832A60AF55EF513509DE63B29B" xr6:coauthVersionLast="47" xr6:coauthVersionMax="47" xr10:uidLastSave="{8FC69069-5F36-5246-971E-6AB17094E0DE}"/>
  <bookViews>
    <workbookView xWindow="14420" yWindow="4920" windowWidth="29400" windowHeight="18480" tabRatio="500" activeTab="3"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7" i="2" l="1"/>
  <c r="U35" i="2"/>
  <c r="U32" i="2"/>
  <c r="U30"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<sst xmlns="http://schemas.openxmlformats.org/spreadsheetml/2006/main" count="393" uniqueCount="322">
  <si>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</si>
  <si>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</si>
  <si>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</si>
  <si>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</si>
  <si>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</si>
  <si>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</si>
  <si>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</si>
  <si>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</si>
  <si>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</si>
  <si>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</si>
  <si>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</si>
  <si>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</si>
  <si>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</si>
  <si>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</si>
  <si>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</si>
  <si>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</si>
  <si>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</si>
  <si>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</si>
  <si>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</si>
  <si>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</si>
  <si>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Les génériques de Fassbinder</t>
  </si>
  <si>
    <t>"Nous devons nous débarrasser du passé pour construire l'avenir". Konrad Adenauer</t>
  </si>
  <si>
    <t>Adenauer.jpeg</t>
  </si>
  <si>
    <t>Adénauer</t>
  </si>
  <si>
    <t>1947-1960</t>
  </si>
  <si>
    <t>Le miracle économique</t>
  </si>
  <si>
    <t>Enfance marquée par le divorce de ses parents (1951) et l'absence du père. Passion précoce pour le cinéma (refuge). Première lecture de Berlin Alexanderplatz vers 14 ans.</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</si>
  <si>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</si>
  <si>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</si>
  <si>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</si>
  <si>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</si>
  <si>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</si>
  <si>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</si>
  <si>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</si>
  <si>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</si>
  <si>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</si>
  <si>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</si>
  <si>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</si>
  <si>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</si>
  <si>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</si>
  <si>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</si>
  <si>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</si>
  <si>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</si>
  <si>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</si>
  <si>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</si>
  <si>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</si>
  <si>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</si>
  <si>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</si>
  <si>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</si>
  <si>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</si>
  <si>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</si>
  <si>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</si>
  <si>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</si>
  <si>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</si>
  <si>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</si>
  <si>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</si>
  <si>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</si>
  <si>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</si>
  <si>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</si>
  <si>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</si>
  <si>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</si>
  <si>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</si>
  <si>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</si>
  <si>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</si>
  <si>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</si>
  <si>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</si>
  <si>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</si>
  <si>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</si>
  <si>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</si>
  <si>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</si>
  <si>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</si>
  <si>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</si>
  <si>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</si>
  <si>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</si>
  <si>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</si>
  <si>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</si>
  <si>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</si>
  <si>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</si>
  <si>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</si>
  <si>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</si>
  <si>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</si>
  <si>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</si>
  <si>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</si>
  <si>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</si>
  <si>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</si>
  <si>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</si>
  <si>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</si>
  <si>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</si>
  <si>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</si>
  <si>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</si>
  <si>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</si>
  <si>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</si>
  <si>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</si>
  <si>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</si>
  <si>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</si>
  <si>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</si>
  <si>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</si>
  <si>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</si>
  <si>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</si>
  <si>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</si>
  <si>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</si>
  <si>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</si>
  <si>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</si>
  <si>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</si>
  <si>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</si>
  <si>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</si>
  <si>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</si>
  <si>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</si>
  <si>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</si>
  <si>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</si>
  <si>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</si>
  <si>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</si>
  <si>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</si>
  <si>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</si>
  <si>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</si>
  <si>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</si>
  <si>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</si>
  <si>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</si>
  <si>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</si>
  <si>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</si>
  <si>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</si>
  <si>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</si>
  <si>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</si>
  <si>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</si>
  <si>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</si>
  <si>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</si>
  <si>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</si>
  <si>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</si>
  <si>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</si>
  <si>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</si>
  <si>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</si>
  <si>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</si>
  <si>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</si>
  <si>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</si>
  <si>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</si>
  <si>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</si>
  <si>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</si>
  <si>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</si>
  <si>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</si>
  <si>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</si>
  <si>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</si>
  <si>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</si>
  <si>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</si>
  <si>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</si>
  <si>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</si>
  <si>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</si>
  <si>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</si>
  <si>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</si>
  <si>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</si>
  <si>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</si>
  <si>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</si>
  <si>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</si>
  <si>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</si>
  <si>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</si>
  <si>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</si>
  <si>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</si>
  <si>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</si>
  <si>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</si>
  <si>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</si>
  <si>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</si>
  <si>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</si>
  <si>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</si>
  <si>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</si>
  <si>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</si>
  <si>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</si>
  <si>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</si>
  <si>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</si>
  <si>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</si>
  <si>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</si>
  <si>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</si>
  <si>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</si>
  <si>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</si>
  <si>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</si>
  <si>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</si>
  <si>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</si>
  <si>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</si>
  <si>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</si>
  <si>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</si>
  <si>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</si>
  <si>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</si>
  <si>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</si>
  <si>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</si>
  <si>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</si>
  <si>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</si>
  <si>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</si>
  <si>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</si>
  <si>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</si>
  <si>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</si>
  <si>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</si>
  <si>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</si>
  <si>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</si>
  <si>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</si>
  <si>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</si>
  <si>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</si>
  <si>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</si>
  <si>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</si>
  <si>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</si>
  <si>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</si>
  <si>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</si>
  <si>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</si>
  <si>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</si>
  <si>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</si>
  <si>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</si>
  <si>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</si>
  <si>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</si>
  <si>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</si>
  <si>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</si>
  <si>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</si>
  <si>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</si>
  <si>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</si>
  <si>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</si>
  <si>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</si>
  <si>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</si>
  <si>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</si>
  <si>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</si>
  <si>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</si>
  <si>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</si>
  <si>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</si>
  <si>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</si>
  <si>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</si>
  <si>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</si>
  <si>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</si>
  <si>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</si>
  <si>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</si>
  <si>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</si>
  <si>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</si>
  <si>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</si>
  <si>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</si>
  <si>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</si>
  <si>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</si>
  <si>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</si>
  <si>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</si>
  <si>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</si>
  <si>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</si>
  <si>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</si>
  <si>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</si>
  <si>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</si>
  <si>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</si>
  <si>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</si>
  <si>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</si>
  <si>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</si>
  <si>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</si>
  <si>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</si>
  <si>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</si>
  <si>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</si>
  <si>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</si>
  <si>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</si>
  <si>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</si>
  <si>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</si>
  <si>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</si>
  <si>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</si>
  <si>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</si>
  <si>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</si>
  <si>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</si>
  <si>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</si>
  <si>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</si>
  <si>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</si>
  <si>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</si>
  <si>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</si>
  <si>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</si>
  <si>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</si>
  <si>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Découverte des mélodrames de Douglas Sirk . Période Sirkienne : Le Marchand des quatre saisons (1971). </t>
  </si>
  <si>
    <t>Effi Briest, Martha</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</si>
  <si>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</si>
  <si>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</si>
  <si>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</si>
  <si>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</si>
  <si>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</si>
  <si>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</si>
  <si>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</si>
  <si>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</si>
  <si>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</si>
  <si>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</si>
  <si>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</si>
  <si>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t xml:space="preserve">Automne Allemand (1977) : enlèvement de Schleyer, détournement du Landshut, morts à Stammheim. </t>
  </si>
  <si>
    <t>De l’année zéro au miracle économique|https://youtu.be/BC4BffkWyY8?si=e80MWCLF0K9Fgiub; Jalousie de Catharina Valente|https://youtu.be/-ugDTj7UFtU?si=vzGNySrsaYGKZW0k</t>
  </si>
  <si>
    <r>
      <t xml:space="preserve">"Despair est le film le plus rempli d'espoirt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Despair</t>
    </r>
    <r>
      <rPr>
        <sz val="10"/>
        <rFont val="Arial"/>
        <family val="2"/>
      </rPr>
      <t xml:space="preserve"> </t>
    </r>
  </si>
  <si>
    <t>Fondation du Filmverlag der Autoren (1971), une société indépendante, par quelques cinéastes dont RWF. La société est d'abord autogérée.
Accords Film-Télévision (1974) favorisant les coproductions (WDR).</t>
  </si>
  <si>
    <t xml:space="preserve">RFW devient actionnaire du Filmverlag der Autoren. </t>
  </si>
  <si>
    <t>RWF projette d'adapter le roman de Freytag Soll und Haben (1855), œuvre notaoirement antismétique en série télévisée. Il s'agit pour RWF d'interroger les origines de la bourgeoisie allemande. Face aux articles polémiques, le directeur de la WDR annule le projet. 
RWF quitte le Filmverlag der Autoren</t>
  </si>
  <si>
    <r>
      <t xml:space="preserve">Suicide d'Armin Meier (31 mai 1978).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</si>
  <si>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r>
      <t xml:space="preserve">Le succès de Maria Braun amène RWF à espérer pour voir réaslier </t>
    </r>
    <r>
      <rPr>
        <i/>
        <sz val="10"/>
        <color theme="1"/>
        <rFont val="Arial"/>
        <family val="2"/>
      </rPr>
      <t>Cocaïne</t>
    </r>
    <r>
      <rPr>
        <sz val="10"/>
        <color theme="1"/>
        <rFont val="Arial"/>
        <family val="2"/>
      </rPr>
      <t xml:space="preserve">, l'adaptation d'un roman de Pitigrilli. Il lui permet aussi de renégocier à la hausse le budget de production de Berlin Alexander Platz : le projet devient le le plus couteux de l'histoire de la télévision allemande. </t>
    </r>
  </si>
  <si>
    <t>RWF parvient à évincer Werner Schroeter qui souhaitait réaliser une adaptation de Querelle de Jean Genet.  Mort de Fassbinder marquant symboliquement la fin du Nouveau Cinéma Allemand.</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</si>
  <si>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</si>
  <si>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</si>
  <si>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</si>
  <si>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t xml:space="preserve">Monumental Berlin Alexanderplatz (1980, 15h). </t>
  </si>
  <si>
    <t>Suite de la Trilogie de la RFA : Lola, une femme allemande (1981) et Lili Marleen (1981).</t>
  </si>
  <si>
    <r>
      <rPr>
        <i/>
        <sz val="10"/>
        <color theme="1"/>
        <rFont val="Arial"/>
        <family val="2"/>
      </rPr>
      <t>Lola, une femme allemande</t>
    </r>
    <r>
      <rPr>
        <sz val="10"/>
        <color theme="1"/>
        <rFont val="Arial"/>
        <family val="2"/>
      </rPr>
      <t xml:space="preserve"> est d'abord conçu comme un remake de L</t>
    </r>
    <r>
      <rPr>
        <i/>
        <sz val="10"/>
        <color theme="1"/>
        <rFont val="Arial"/>
        <family val="2"/>
      </rPr>
      <t xml:space="preserve">'ange bleu </t>
    </r>
    <r>
      <rPr>
        <sz val="10"/>
        <color theme="1"/>
        <rFont val="Arial"/>
        <family val="2"/>
      </rPr>
      <t>de Josphe von Sternberg (1930).</t>
    </r>
  </si>
  <si>
    <t xml:space="preserve">Comment l'Allemagne de l'ouest a-t-elle pu devenir une des premières nations industrielles capitalistes et une démocratie alors même qu'elle était marquée par le provincialisme, l'absence de morale et l'hypocrisie ? </t>
  </si>
  <si>
    <t xml:space="preserve">Que serait un cinéma nouveau prenant à bras le corps l'histoire de l'Allemagne et du cinéma, tout en s'en détachant ? </t>
  </si>
  <si>
    <t xml:space="preserve">Qu'-est-ce qu'un cinéaste engagé ? </t>
  </si>
  <si>
    <t xml:space="preserve">Comment faire du cinéma allemand hollywoodien, qui attire et séduise le public le plus large tout en l'amenant à l'analyse et à la réflexion, sans didactisme ? </t>
  </si>
  <si>
    <t xml:space="preserve">Comment le rapport dominant/dominé structure-t-il toute relation, affective ou sociale ? </t>
  </si>
  <si>
    <t>Quelles ambitions pour la série télévisuelle ?</t>
  </si>
  <si>
    <t xml:space="preserve">RWF, figure du collectif  politique des années 60 et 70 ou dhéritier de la figure du génie romantique et du poète maudit ? Auteur ou cinéaste populaire ? </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</si>
  <si>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t>
  </si>
  <si>
    <r>
      <t xml:space="preserve">L'œuvre de Fassbinder proposera plus tard une radiographie critique de ce "point zéro" de la nouvelle Allemagne, notamment dans </t>
    </r>
    <r>
      <rPr>
        <i/>
        <sz val="10"/>
        <color theme="1"/>
        <rFont val="Arial"/>
        <family val="2"/>
      </rPr>
      <t>Le mariage de Maria Braun</t>
    </r>
  </si>
  <si>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</si>
  <si>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t>
  </si>
  <si>
    <r>
      <t xml:space="preserve">Jochen et ses collègues, dans </t>
    </r>
    <r>
      <rPr>
        <i/>
        <sz val="10"/>
        <color theme="1"/>
        <rFont val="Arial"/>
        <family val="2"/>
      </rPr>
      <t xml:space="preserve">Huit heures ne font pas un jour, </t>
    </r>
    <r>
      <rPr>
        <sz val="10"/>
        <color theme="1"/>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theme="1"/>
        <rFont val="Arial"/>
        <family val="2"/>
      </rPr>
      <t>Huit heures ne font pas un jour</t>
    </r>
    <r>
      <rPr>
        <sz val="10"/>
        <color theme="1"/>
        <rFont val="Arial"/>
        <family val="2"/>
      </rPr>
      <t xml:space="preserve">, l'ascension de </t>
    </r>
    <r>
      <rPr>
        <i/>
        <sz val="10"/>
        <color theme="1"/>
        <rFont val="Arial"/>
        <family val="2"/>
      </rPr>
      <t>Maria Braun)</t>
    </r>
  </si>
  <si>
    <t xml:space="preserve">Le chancelier Willy Brandt se rend en Pologne et s'agenouille devant le mémorial du ghetto de Varsovie. </t>
  </si>
  <si>
    <r>
      <t xml:space="preserve">Décès de Bertold Brecht
</t>
    </r>
    <r>
      <rPr>
        <i/>
        <sz val="10"/>
        <color theme="1"/>
        <rFont val="Arial"/>
        <family val="2"/>
      </rPr>
      <t xml:space="preserve">Nuit et brouillard </t>
    </r>
    <r>
      <rPr>
        <sz val="10"/>
        <color theme="1"/>
        <rFont val="Arial"/>
        <family val="2"/>
      </rPr>
      <t xml:space="preserve">d'Alain Resnais. </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</si>
  <si>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rFont val="Arial"/>
        <family val="2"/>
      </rPr>
      <t>, 1992, p.178</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</si>
  <si>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t>
  </si>
  <si>
    <t>Le tambour de Volker Schlondorff obtient la palme d'or à Cannes. 
Diffusion de la série Holocaust (1979).</t>
  </si>
  <si>
    <t xml:space="preserve"> Le mouvement atteint son apogée thématique et politique.
Hitler, un film d'Allemagne de Syberberg
</t>
  </si>
  <si>
    <t>Allemagne mère blafarde de Helma Sanders-Brahms.</t>
  </si>
  <si>
    <t>le cinéaste Edgar Reitz affirme la nécessité " de films, de livres, d'images qui nous fassent reprendre connaissance et rétablissent nos réflexes", Medium, 5/1979, p.21</t>
  </si>
  <si>
    <r>
      <rPr>
        <i/>
        <sz val="10"/>
        <color theme="1"/>
        <rFont val="Arial"/>
        <family val="2"/>
      </rPr>
      <t>Les damnés</t>
    </r>
    <r>
      <rPr>
        <sz val="10"/>
        <color theme="1"/>
        <rFont val="Arial"/>
        <family val="2"/>
      </rPr>
      <t>, mélodrame de Visconti, travaille à interroger le régime nazi et sla manière dont l'imagerie nazie, qui érotise de manière spectaculaire le pouvoir, contamine moralment les esprits. L'éloignement du néoréalisme est maximal.</t>
    </r>
  </si>
  <si>
    <r>
      <t xml:space="preserve">"Mein Herr", numéro de </t>
    </r>
    <r>
      <rPr>
        <i/>
        <sz val="10"/>
        <rFont val="Arial"/>
        <family val="2"/>
      </rPr>
      <t>Cabaret |</t>
    </r>
    <r>
      <rPr>
        <sz val="10"/>
        <rFont val="Arial"/>
        <family val="2"/>
      </rPr>
      <t>https://www.youtube.com/watch?v=qBjiQ5oDHBc</t>
    </r>
  </si>
  <si>
    <r>
      <rPr>
        <i/>
        <sz val="10"/>
        <color theme="1"/>
        <rFont val="Arial"/>
        <family val="2"/>
      </rPr>
      <t xml:space="preserve">Aguirre, la colère de Dieu </t>
    </r>
    <r>
      <rPr>
        <sz val="10"/>
        <color theme="1"/>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</si>
  <si>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10"/>
        <color rgb="FF000000"/>
        <rFont val="Arial"/>
        <family val="2"/>
      </rPr>
      <t>Portier de nuit</t>
    </r>
    <r>
      <rPr>
        <sz val="10"/>
        <color rgb="FF000000"/>
        <rFont val="Arial"/>
        <family val="2"/>
      </rPr>
      <t xml:space="preserve"> de Liliana Cavani</t>
    </r>
  </si>
  <si>
    <t>M. Klein de Joseph Losey</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</si>
  <si>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r>
      <rPr>
        <sz val="10"/>
        <color theme="1"/>
        <rFont val="Arial"/>
        <family val="2"/>
      </rPr>
      <t xml:space="preserve">
Alexander Mitscherlich publie</t>
    </r>
    <r>
      <rPr>
        <i/>
        <sz val="10"/>
        <color theme="1"/>
        <rFont val="Arial"/>
        <family val="2"/>
      </rPr>
      <t xml:space="preserve"> La société sans père </t>
    </r>
    <r>
      <rPr>
        <sz val="10"/>
        <color theme="1"/>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</si>
  <si>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t xml:space="preserve">La parution du </t>
    </r>
    <r>
      <rPr>
        <i/>
        <sz val="10"/>
        <color theme="1"/>
        <rFont val="Arial"/>
        <family val="2"/>
      </rPr>
      <t>Deuil impossible</t>
    </r>
    <r>
      <rPr>
        <sz val="10"/>
        <color theme="1"/>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règnent RFA, le refoulement dedu passé. L'ouvrage exercce une influence sur les artistes allemands de l'époque. 
Une réflexion sur la mémoire et l'oubli qui n'a rien perdu de son actualité</t>
    </r>
  </si>
  <si>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A parti de 1968 l'industrie du cinéma commercial allemand agonise</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</si>
  <si>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</si>
  <si>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Jusqu'à quel point les femmes de la trilogie RFA sont-elles une allégorie de la nation allemande ? Quelle distance RWF prend-il avec la critique historique de son pays ? </t>
  </si>
  <si>
    <r>
      <rPr>
        <i/>
        <sz val="10"/>
        <color theme="1"/>
        <rFont val="Arial"/>
        <family val="2"/>
      </rPr>
      <t>Automne Allemand</t>
    </r>
    <r>
      <rPr>
        <sz val="10"/>
        <color theme="1"/>
        <rFont val="Arial"/>
        <family val="2"/>
      </rPr>
      <t xml:space="preserve"> (1977) : enlèvement de Schleyer, détournement du Landshut, morts à Stammheim. </t>
    </r>
  </si>
  <si>
    <r>
      <t xml:space="preserve">Le cinéma allemand s'empare de son histoire passée et récente et réfléchit aux problèmes de représentation qu'elle pose. Film collectif </t>
    </r>
    <r>
      <rPr>
        <i/>
        <sz val="10"/>
        <color theme="1"/>
        <rFont val="Arial"/>
        <family val="2"/>
      </rPr>
      <t>L'Allemagne en automne</t>
    </r>
    <r>
      <rPr>
        <sz val="10"/>
        <color theme="1"/>
        <rFont val="Arial"/>
        <family val="2"/>
      </rPr>
      <t xml:space="preserve"> (1978). La diffusion de la série</t>
    </r>
    <r>
      <rPr>
        <i/>
        <sz val="10"/>
        <color theme="1"/>
        <rFont val="Arial"/>
        <family val="2"/>
      </rPr>
      <t xml:space="preserve"> Holocaust</t>
    </r>
    <r>
      <rPr>
        <sz val="10"/>
        <color theme="1"/>
        <rFont val="Arial"/>
        <family val="2"/>
      </rPr>
      <t xml:space="preserve"> (1979) à la télévision allemande suscite des débats importants, auxquels participent des cinéastes comme Syberberg ou Edgard Reitz. Le mouvement du Nouveau Cinéma allemand atteint son apogée thématique et politique.</t>
    </r>
  </si>
  <si>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t>
    </r>
    <r>
      <rPr>
        <i/>
        <sz val="10"/>
        <color theme="1"/>
        <rFont val="Arial"/>
        <family val="2"/>
      </rPr>
      <t>Le mariage de Maria Braun</t>
    </r>
    <r>
      <rPr>
        <sz val="10"/>
        <color theme="1"/>
        <rFont val="Arial"/>
        <family val="2"/>
      </rPr>
      <t xml:space="preserve">,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</si>
</sst>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
      <sz val="14"/>
      <color rgb="FF000000"/>
      <name val="-webkit-standard"/>
    </font>
  </fonts>
  <fills count="7">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29">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13" fillId="6" borderId="1" xfId="0" applyFont="1" applyFill="1" applyBorder="1" applyAlignment="1">
      <alignment vertical="top" wrapText="1"/>
    </xf>
    <xf numFmtId="0" fontId="20" fillId="0" borderId="0" xfId="0" applyFont="1"/>
    <xf numFmtId="0" fontId="0" fillId="0" borderId="0" xfId="0" applyAlignment="1">
      <alignment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22">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1"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C6" zoomScaleNormal="100" workbookViewId="0">
      <selection activeCell="I7" sqref="I7"/>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297</v>
      </c>
      <c r="J2" s="3" t="s">
        <v>20</v>
      </c>
      <c r="K2" s="15" t="s">
        <v>21</v>
      </c>
      <c r="L2" t="s">
        <v>22</v>
      </c>
      <c r="M2" t="s">
        <v>23</v>
      </c>
    </row>
    <row r="3" spans="1:14" s="14" customFormat="1" ht="211" customHeight="1">
      <c r="A3" s="1" t="s">
        <v>24</v>
      </c>
      <c r="B3" s="1" t="s">
        <v>25</v>
      </c>
      <c r="C3" s="1" t="s">
        <v>289</v>
      </c>
      <c r="D3" s="1" t="s">
        <v>296</v>
      </c>
      <c r="E3" s="1" t="s">
        <v>304</v>
      </c>
      <c r="F3" s="1" t="s">
        <v>26</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300</v>
      </c>
      <c r="J3" s="13" t="s">
        <v>275</v>
      </c>
      <c r="L3" s="15" t="s">
        <v>27</v>
      </c>
    </row>
    <row r="4" spans="1:14" ht="196" customHeight="1">
      <c r="A4" s="1" t="s">
        <v>28</v>
      </c>
      <c r="B4" s="1" t="s">
        <v>29</v>
      </c>
      <c r="C4" s="1" t="s">
        <v>290</v>
      </c>
      <c r="D4" s="1" t="s">
        <v>30</v>
      </c>
      <c r="E4" s="1" t="s">
        <v>299</v>
      </c>
      <c r="F4" s="1" t="s">
        <v>31</v>
      </c>
      <c r="G4" s="1" t="s">
        <v>32</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13" t="s">
        <v>33</v>
      </c>
      <c r="K4" s="5" t="s">
        <v>298</v>
      </c>
    </row>
    <row r="5" spans="1:14" ht="85" customHeight="1">
      <c r="A5" s="1" t="s">
        <v>34</v>
      </c>
      <c r="B5" s="1" t="s">
        <v>35</v>
      </c>
      <c r="C5" s="1" t="s">
        <v>291</v>
      </c>
      <c r="D5" s="1" t="s">
        <v>36</v>
      </c>
      <c r="E5" s="1"/>
      <c r="F5" s="1" t="s">
        <v>38</v>
      </c>
      <c r="G5" s="1" t="s">
        <v>265</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266</v>
      </c>
      <c r="K5" s="28"/>
    </row>
    <row r="6" spans="1:14" ht="303" customHeight="1">
      <c r="A6" s="1" t="s">
        <v>39</v>
      </c>
      <c r="B6" s="1" t="s">
        <v>40</v>
      </c>
      <c r="C6" s="1" t="s">
        <v>292</v>
      </c>
      <c r="D6" s="1" t="s">
        <v>41</v>
      </c>
      <c r="E6" s="1" t="s">
        <v>316</v>
      </c>
      <c r="F6" s="1" t="s">
        <v>284</v>
      </c>
      <c r="G6" s="1" t="s">
        <v>42</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317</v>
      </c>
    </row>
    <row r="7" spans="1:14" ht="70" customHeight="1">
      <c r="A7" s="1" t="s">
        <v>43</v>
      </c>
      <c r="B7" s="1"/>
      <c r="C7" s="1" t="s">
        <v>293</v>
      </c>
      <c r="D7" s="1" t="s">
        <v>44</v>
      </c>
      <c r="E7" s="1" t="s">
        <v>45</v>
      </c>
      <c r="F7" s="1" t="s">
        <v>46</v>
      </c>
      <c r="G7" s="1" t="s">
        <v>47</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5" t="s">
        <v>48</v>
      </c>
    </row>
    <row r="8" spans="1:14" ht="129" customHeight="1">
      <c r="A8" s="1" t="s">
        <v>49</v>
      </c>
      <c r="B8" s="1"/>
      <c r="C8" s="1" t="s">
        <v>318</v>
      </c>
      <c r="D8" s="1" t="s">
        <v>319</v>
      </c>
      <c r="E8" s="1" t="s">
        <v>320</v>
      </c>
      <c r="F8" s="1" t="s">
        <v>50</v>
      </c>
      <c r="G8" s="1" t="s">
        <v>51</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K8" s="15" t="s">
        <v>308</v>
      </c>
      <c r="N8" s="14" t="s">
        <v>52</v>
      </c>
    </row>
    <row r="9" spans="1:14" ht="89" customHeight="1">
      <c r="A9" s="1" t="s">
        <v>53</v>
      </c>
      <c r="B9" s="1"/>
      <c r="C9" s="15" t="s">
        <v>294</v>
      </c>
      <c r="D9" s="1" t="s">
        <v>54</v>
      </c>
      <c r="E9" s="1" t="s">
        <v>55</v>
      </c>
      <c r="F9" s="1" t="s">
        <v>56</v>
      </c>
      <c r="G9" s="1" t="s">
        <v>57</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c r="A10" s="1">
        <v>1982</v>
      </c>
      <c r="B10" s="1"/>
      <c r="C10" s="1" t="s">
        <v>295</v>
      </c>
      <c r="D10" s="1" t="s">
        <v>58</v>
      </c>
      <c r="E10" s="1" t="s">
        <v>59</v>
      </c>
      <c r="F10" s="1" t="s">
        <v>60</v>
      </c>
      <c r="G10" s="1" t="s">
        <v>61</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A32" zoomScaleNormal="100" workbookViewId="0">
      <selection activeCell="I33" sqref="I33"/>
    </sheetView>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c r="A1" s="8" t="s">
        <v>62</v>
      </c>
      <c r="B1" s="8" t="s">
        <v>0</v>
      </c>
      <c r="C1" s="8" t="s">
        <v>3</v>
      </c>
      <c r="D1" s="8" t="s">
        <v>4</v>
      </c>
      <c r="E1" s="8" t="s">
        <v>5</v>
      </c>
      <c r="F1" s="8" t="s">
        <v>6</v>
      </c>
      <c r="G1" s="8" t="s">
        <v>63</v>
      </c>
      <c r="H1" s="8" t="s">
        <v>9</v>
      </c>
      <c r="I1" s="8" t="s">
        <v>64</v>
      </c>
      <c r="J1" s="8" t="s">
        <v>65</v>
      </c>
      <c r="K1" s="8" t="s">
        <v>66</v>
      </c>
      <c r="L1" s="8" t="s">
        <v>10</v>
      </c>
      <c r="M1" s="8" t="s">
        <v>67</v>
      </c>
      <c r="N1" s="8" t="s">
        <v>68</v>
      </c>
      <c r="O1" s="8" t="s">
        <v>69</v>
      </c>
      <c r="P1" s="8" t="s">
        <v>70</v>
      </c>
      <c r="Q1" s="8" t="s">
        <v>71</v>
      </c>
      <c r="R1" s="8" t="s">
        <v>72</v>
      </c>
      <c r="S1" s="8" t="s">
        <v>13</v>
      </c>
      <c r="T1" s="8" t="s">
        <v>73</v>
      </c>
      <c r="U1" s="12" t="s">
        <v>74</v>
      </c>
    </row>
    <row r="2" spans="1:21" ht="98">
      <c r="A2" s="1">
        <v>1945</v>
      </c>
      <c r="B2" s="1" t="s">
        <v>14</v>
      </c>
      <c r="C2" s="1" t="s">
        <v>75</v>
      </c>
      <c r="D2" s="1" t="s">
        <v>76</v>
      </c>
      <c r="E2" s="1" t="s">
        <v>77</v>
      </c>
      <c r="F2" s="1"/>
      <c r="G2" s="1"/>
      <c r="H2" s="20" t="s">
        <v>20</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c r="A3" s="1">
        <v>1946</v>
      </c>
      <c r="B3" s="1" t="s">
        <v>14</v>
      </c>
      <c r="C3" s="1" t="s">
        <v>78</v>
      </c>
      <c r="D3" s="1" t="s">
        <v>79</v>
      </c>
      <c r="E3" s="1" t="s">
        <v>80</v>
      </c>
      <c r="F3" s="19"/>
      <c r="G3" s="1"/>
      <c r="H3" s="20" t="s">
        <v>81</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c r="A4" s="1">
        <v>1947</v>
      </c>
      <c r="B4" s="1" t="s">
        <v>24</v>
      </c>
      <c r="C4" s="1" t="s">
        <v>82</v>
      </c>
      <c r="D4" s="1" t="s">
        <v>83</v>
      </c>
      <c r="E4" s="1"/>
      <c r="F4" s="19"/>
      <c r="G4" s="1"/>
      <c r="H4" s="20"/>
      <c r="I4" s="19"/>
      <c r="J4" s="19"/>
      <c r="K4" s="19"/>
      <c r="L4" s="1"/>
      <c r="M4" s="19"/>
      <c r="N4" s="19"/>
      <c r="O4" s="19"/>
      <c r="P4" s="19"/>
      <c r="Q4" s="19"/>
      <c r="R4" s="19"/>
      <c r="S4" s="19"/>
      <c r="T4" s="1" t="s">
        <v>84</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c r="A5" s="1">
        <v>1948</v>
      </c>
      <c r="B5" s="1" t="s">
        <v>24</v>
      </c>
      <c r="C5" s="1" t="s">
        <v>85</v>
      </c>
      <c r="D5" s="21" t="s">
        <v>86</v>
      </c>
      <c r="E5" s="1"/>
      <c r="F5" s="19"/>
      <c r="G5" s="1"/>
      <c r="H5" s="20" t="s">
        <v>87</v>
      </c>
      <c r="I5" s="1" t="s">
        <v>88</v>
      </c>
      <c r="J5" s="22" t="s">
        <v>89</v>
      </c>
      <c r="K5" s="1" t="s">
        <v>90</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c r="A6" s="1">
        <v>1949</v>
      </c>
      <c r="B6" s="1" t="s">
        <v>24</v>
      </c>
      <c r="C6" s="1" t="s">
        <v>91</v>
      </c>
      <c r="D6" s="21" t="s">
        <v>92</v>
      </c>
      <c r="E6" s="1"/>
      <c r="F6" s="19"/>
      <c r="G6" s="1"/>
      <c r="H6" s="20" t="s">
        <v>93</v>
      </c>
      <c r="I6" s="20"/>
      <c r="J6" s="20"/>
      <c r="K6" s="20"/>
      <c r="L6" s="1"/>
      <c r="M6" s="19" t="s">
        <v>22</v>
      </c>
      <c r="N6" s="19" t="s">
        <v>94</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c r="A7" s="1">
        <v>1950</v>
      </c>
      <c r="B7" s="1" t="s">
        <v>24</v>
      </c>
      <c r="C7" s="1"/>
      <c r="D7" s="1"/>
      <c r="E7" s="1" t="s">
        <v>95</v>
      </c>
      <c r="F7" s="19"/>
      <c r="G7" s="1"/>
      <c r="H7" s="19"/>
      <c r="I7" s="20"/>
      <c r="J7" s="20"/>
      <c r="K7" s="20"/>
      <c r="L7" s="1"/>
      <c r="M7" s="19" t="s">
        <v>22</v>
      </c>
      <c r="N7" s="19" t="s">
        <v>94</v>
      </c>
      <c r="O7" s="19"/>
      <c r="P7" s="19"/>
      <c r="Q7" s="19"/>
      <c r="R7" s="19" t="s">
        <v>96</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c r="A8" s="1">
        <v>1951</v>
      </c>
      <c r="B8" s="1" t="s">
        <v>24</v>
      </c>
      <c r="C8" s="1" t="s">
        <v>97</v>
      </c>
      <c r="D8" s="1"/>
      <c r="E8" s="1" t="s">
        <v>98</v>
      </c>
      <c r="F8" s="1"/>
      <c r="G8" s="19"/>
      <c r="H8" s="19"/>
      <c r="I8" s="19"/>
      <c r="J8" s="19"/>
      <c r="K8" s="19"/>
      <c r="L8" s="19"/>
      <c r="M8" s="19" t="s">
        <v>22</v>
      </c>
      <c r="N8" s="19" t="s">
        <v>94</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c r="A9" s="1">
        <v>1952</v>
      </c>
      <c r="B9" s="1" t="s">
        <v>24</v>
      </c>
      <c r="C9" s="1" t="s">
        <v>99</v>
      </c>
      <c r="D9" s="1" t="s">
        <v>100</v>
      </c>
      <c r="E9" s="1" t="s">
        <v>101</v>
      </c>
      <c r="F9" s="1"/>
      <c r="G9" s="19"/>
      <c r="H9" s="19"/>
      <c r="I9" s="19"/>
      <c r="J9" s="19"/>
      <c r="K9" s="19"/>
      <c r="L9" s="19"/>
      <c r="M9" s="1" t="s">
        <v>102</v>
      </c>
      <c r="N9" s="1" t="s">
        <v>103</v>
      </c>
      <c r="O9" s="19" t="s">
        <v>22</v>
      </c>
      <c r="P9" s="19" t="s">
        <v>94</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c r="A10" s="1">
        <v>1953</v>
      </c>
      <c r="B10" s="1" t="s">
        <v>24</v>
      </c>
      <c r="C10" s="1" t="s">
        <v>104</v>
      </c>
      <c r="D10" s="1" t="s">
        <v>105</v>
      </c>
      <c r="E10" s="1"/>
      <c r="F10" s="1"/>
      <c r="G10" s="19"/>
      <c r="H10" s="20" t="s">
        <v>106</v>
      </c>
      <c r="I10" s="19"/>
      <c r="J10" s="19"/>
      <c r="K10" s="19"/>
      <c r="L10" s="19"/>
      <c r="M10" s="19" t="s">
        <v>22</v>
      </c>
      <c r="N10" s="19" t="s">
        <v>94</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c r="A11" s="1">
        <v>1954</v>
      </c>
      <c r="B11" s="1" t="s">
        <v>24</v>
      </c>
      <c r="C11" s="1" t="s">
        <v>285</v>
      </c>
      <c r="D11" s="22" t="s">
        <v>107</v>
      </c>
      <c r="E11" s="1"/>
      <c r="F11" s="1"/>
      <c r="G11" s="19"/>
      <c r="H11" s="20" t="s">
        <v>108</v>
      </c>
      <c r="I11" s="20"/>
      <c r="J11" s="20"/>
      <c r="K11" s="20"/>
      <c r="L11" s="19"/>
      <c r="M11" s="19" t="s">
        <v>109</v>
      </c>
      <c r="N11" s="19" t="s">
        <v>110</v>
      </c>
      <c r="O11" s="19" t="s">
        <v>22</v>
      </c>
      <c r="P11" s="19" t="s">
        <v>94</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c r="A12" s="1">
        <v>1955</v>
      </c>
      <c r="B12" s="1" t="s">
        <v>24</v>
      </c>
      <c r="C12" s="1"/>
      <c r="D12" s="1"/>
      <c r="E12" s="1" t="s">
        <v>111</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c r="A13" s="1">
        <v>1956</v>
      </c>
      <c r="B13" s="1" t="s">
        <v>24</v>
      </c>
      <c r="C13" s="1" t="s">
        <v>112</v>
      </c>
      <c r="D13" s="1" t="s">
        <v>302</v>
      </c>
      <c r="E13" s="1" t="s">
        <v>270</v>
      </c>
      <c r="F13" s="1"/>
      <c r="G13" s="19"/>
      <c r="H13" s="23" t="s">
        <v>113</v>
      </c>
      <c r="I13" s="19"/>
      <c r="J13" s="19"/>
      <c r="K13" s="19"/>
      <c r="L13" s="19"/>
      <c r="M13" s="19" t="s">
        <v>22</v>
      </c>
      <c r="N13" s="19" t="s">
        <v>94</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c r="A14" s="1">
        <v>1957</v>
      </c>
      <c r="B14" s="1" t="s">
        <v>24</v>
      </c>
      <c r="C14" s="1" t="s">
        <v>114</v>
      </c>
      <c r="D14" s="1" t="s">
        <v>115</v>
      </c>
      <c r="E14" s="1"/>
      <c r="F14" s="1"/>
      <c r="G14" s="19"/>
      <c r="H14" s="20"/>
      <c r="I14" s="19"/>
      <c r="J14" s="19"/>
      <c r="K14" s="19"/>
      <c r="L14" s="19"/>
      <c r="M14" s="19" t="s">
        <v>22</v>
      </c>
      <c r="N14" s="19" t="s">
        <v>94</v>
      </c>
      <c r="O14" s="19"/>
      <c r="P14" s="19"/>
      <c r="Q14" s="19"/>
      <c r="R14" s="19"/>
      <c r="S14" s="19"/>
      <c r="T14" s="19"/>
      <c r="U14" s="2"/>
    </row>
    <row r="15" spans="1:21" ht="126">
      <c r="A15" s="1">
        <v>1959</v>
      </c>
      <c r="B15" s="1" t="s">
        <v>24</v>
      </c>
      <c r="C15" s="1" t="s">
        <v>116</v>
      </c>
      <c r="D15" s="1" t="s">
        <v>117</v>
      </c>
      <c r="E15" s="21" t="s">
        <v>269</v>
      </c>
      <c r="F15" s="1"/>
      <c r="G15" s="19" t="s">
        <v>118</v>
      </c>
      <c r="H15" s="19"/>
      <c r="I15" s="19"/>
      <c r="J15" s="19"/>
      <c r="K15" s="19"/>
      <c r="L15" s="19"/>
      <c r="M15" s="19" t="s">
        <v>22</v>
      </c>
      <c r="N15" s="19" t="s">
        <v>94</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c r="A16" s="1">
        <v>1960</v>
      </c>
      <c r="B16" s="1" t="s">
        <v>24</v>
      </c>
      <c r="C16" s="1" t="s">
        <v>119</v>
      </c>
      <c r="D16" s="1" t="s">
        <v>120</v>
      </c>
      <c r="E16" s="1" t="s">
        <v>121</v>
      </c>
      <c r="F16" s="1"/>
      <c r="G16" s="19"/>
      <c r="H16" s="19"/>
      <c r="I16" s="19"/>
      <c r="J16" s="19"/>
      <c r="K16" s="19"/>
      <c r="L16" s="19"/>
      <c r="M16" s="19" t="s">
        <v>22</v>
      </c>
      <c r="N16" s="19" t="s">
        <v>94</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c r="A17" s="1">
        <v>1961</v>
      </c>
      <c r="B17" s="1" t="s">
        <v>28</v>
      </c>
      <c r="C17" s="1" t="s">
        <v>122</v>
      </c>
      <c r="D17" s="19"/>
      <c r="E17" s="1" t="s">
        <v>123</v>
      </c>
      <c r="F17" s="19"/>
      <c r="G17" s="19"/>
      <c r="H17" s="19"/>
      <c r="I17" s="19"/>
      <c r="J17" s="19"/>
      <c r="K17" s="19"/>
      <c r="L17" s="19"/>
      <c r="M17" s="19" t="s">
        <v>22</v>
      </c>
      <c r="N17" s="19" t="s">
        <v>94</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 r="A18" s="1">
        <v>1962</v>
      </c>
      <c r="B18" s="1" t="s">
        <v>28</v>
      </c>
      <c r="C18" s="1" t="s">
        <v>124</v>
      </c>
      <c r="D18" s="1" t="s">
        <v>125</v>
      </c>
      <c r="E18" s="1"/>
      <c r="F18" s="1"/>
      <c r="G18" s="19"/>
      <c r="H18" s="19"/>
      <c r="I18" s="19"/>
      <c r="J18" s="19"/>
      <c r="K18" s="19"/>
      <c r="L18" s="19" t="s">
        <v>126</v>
      </c>
      <c r="M18" s="19" t="s">
        <v>22</v>
      </c>
      <c r="N18" s="19" t="s">
        <v>94</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371">
      <c r="A19" s="1">
        <v>1963</v>
      </c>
      <c r="B19" s="1"/>
      <c r="C19" s="1" t="s">
        <v>127</v>
      </c>
      <c r="D19" s="1" t="s">
        <v>314</v>
      </c>
      <c r="E19" s="1" t="s">
        <v>128</v>
      </c>
      <c r="F19" s="1"/>
      <c r="G19" s="19"/>
      <c r="H19" s="23" t="s">
        <v>129</v>
      </c>
      <c r="I19" s="23" t="s">
        <v>130</v>
      </c>
      <c r="J19" s="19" t="s">
        <v>131</v>
      </c>
      <c r="K19" s="19"/>
      <c r="L19" s="19"/>
      <c r="M19" s="19" t="s">
        <v>132</v>
      </c>
      <c r="N19" s="19" t="s">
        <v>133</v>
      </c>
      <c r="O19" s="19"/>
      <c r="P19" s="19"/>
      <c r="Q19" s="19"/>
      <c r="R19" s="19"/>
      <c r="S19" s="19"/>
      <c r="T19" s="19"/>
      <c r="U19" s="2"/>
    </row>
    <row r="20" spans="1:21" ht="28">
      <c r="A20" s="1">
        <v>1964</v>
      </c>
      <c r="B20" s="1"/>
      <c r="C20" s="1"/>
      <c r="D20" s="1"/>
      <c r="E20" s="1" t="s">
        <v>134</v>
      </c>
      <c r="F20" s="1"/>
      <c r="G20" s="19"/>
      <c r="H20" s="20"/>
      <c r="I20" s="19"/>
      <c r="J20" s="19"/>
      <c r="K20" s="19"/>
      <c r="L20" s="19"/>
      <c r="M20" s="19"/>
      <c r="N20" s="19"/>
      <c r="O20" s="19"/>
      <c r="P20" s="19"/>
      <c r="Q20" s="19"/>
      <c r="R20" s="19"/>
      <c r="S20" s="19"/>
      <c r="T20" s="19"/>
      <c r="U20" s="2"/>
    </row>
    <row r="21" spans="1:21" ht="112">
      <c r="A21" s="1">
        <v>1966</v>
      </c>
      <c r="B21" s="1" t="s">
        <v>28</v>
      </c>
      <c r="C21" s="1" t="s">
        <v>135</v>
      </c>
      <c r="D21" s="1" t="s">
        <v>267</v>
      </c>
      <c r="E21" s="1"/>
      <c r="F21" s="1" t="s">
        <v>32</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38">
      <c r="A22" s="1">
        <v>1967</v>
      </c>
      <c r="B22" s="1" t="s">
        <v>34</v>
      </c>
      <c r="C22" s="1"/>
      <c r="D22" s="1" t="s">
        <v>315</v>
      </c>
      <c r="E22" s="1" t="s">
        <v>136</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c r="A23" s="1">
        <v>1968</v>
      </c>
      <c r="B23" s="1" t="s">
        <v>34</v>
      </c>
      <c r="C23" s="1" t="s">
        <v>36</v>
      </c>
      <c r="D23" s="1" t="s">
        <v>37</v>
      </c>
      <c r="E23" s="1" t="s">
        <v>38</v>
      </c>
      <c r="F23" s="1" t="s">
        <v>263</v>
      </c>
      <c r="G23" s="24" t="s">
        <v>264</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98">
      <c r="A24" s="1">
        <v>1969</v>
      </c>
      <c r="B24" s="1" t="s">
        <v>34</v>
      </c>
      <c r="C24" s="1" t="s">
        <v>137</v>
      </c>
      <c r="D24" s="1" t="s">
        <v>309</v>
      </c>
      <c r="E24" s="1"/>
      <c r="F24" s="1"/>
      <c r="G24" s="24"/>
      <c r="H24" s="19"/>
      <c r="I24" s="19"/>
      <c r="J24" s="19"/>
      <c r="K24" s="19"/>
      <c r="L24" s="19"/>
      <c r="M24" s="19"/>
      <c r="N24" s="19"/>
      <c r="O24" s="19"/>
      <c r="P24" s="19"/>
      <c r="Q24" s="19"/>
      <c r="R24" s="19"/>
      <c r="S24" s="19"/>
      <c r="T24" s="19"/>
      <c r="U24" s="2"/>
    </row>
    <row r="25" spans="1:21" ht="42">
      <c r="A25" s="1">
        <v>1970</v>
      </c>
      <c r="B25" s="1"/>
      <c r="C25" s="1" t="s">
        <v>301</v>
      </c>
      <c r="D25" s="27"/>
      <c r="E25" s="1"/>
      <c r="F25" s="1" t="s">
        <v>138</v>
      </c>
      <c r="G25" s="24"/>
      <c r="H25" s="19"/>
      <c r="I25" s="19"/>
      <c r="J25" s="19"/>
      <c r="K25" s="19"/>
      <c r="L25" s="19"/>
      <c r="M25" s="19"/>
      <c r="N25" s="19"/>
      <c r="O25" s="19"/>
      <c r="P25" s="19"/>
      <c r="Q25" s="19"/>
      <c r="R25" s="19"/>
      <c r="S25" s="19"/>
      <c r="T25" s="19"/>
      <c r="U25" s="2"/>
    </row>
    <row r="26" spans="1:21" ht="196">
      <c r="A26" s="1">
        <v>1971</v>
      </c>
      <c r="B26" s="1" t="s">
        <v>39</v>
      </c>
      <c r="C26" s="1" t="s">
        <v>139</v>
      </c>
      <c r="D26" s="1" t="s">
        <v>277</v>
      </c>
      <c r="E26" s="1" t="s">
        <v>140</v>
      </c>
      <c r="F26" s="1" t="s">
        <v>261</v>
      </c>
      <c r="G26" s="19" t="s">
        <v>271</v>
      </c>
      <c r="H26" s="19"/>
      <c r="I26" s="19"/>
      <c r="J26" s="15"/>
      <c r="K26" s="19"/>
      <c r="L26" s="19" t="s">
        <v>268</v>
      </c>
      <c r="M26" s="1" t="s">
        <v>141</v>
      </c>
      <c r="N26" s="21" t="s">
        <v>142</v>
      </c>
      <c r="O26" s="1"/>
      <c r="P26" s="1"/>
      <c r="Q26" s="1"/>
      <c r="R26" s="1"/>
      <c r="S26" s="1" t="s">
        <v>52</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306">
      <c r="A27" s="1">
        <v>1972</v>
      </c>
      <c r="B27" s="1"/>
      <c r="C27" s="1"/>
      <c r="D27" s="1" t="s">
        <v>311</v>
      </c>
      <c r="E27" s="1"/>
      <c r="F27" s="1"/>
      <c r="G27" s="15"/>
      <c r="H27" s="15"/>
      <c r="I27" s="15"/>
      <c r="J27" s="15"/>
      <c r="K27" s="15"/>
      <c r="L27" s="15"/>
      <c r="M27" s="1"/>
      <c r="N27" s="21"/>
      <c r="O27" s="1"/>
      <c r="P27" s="1"/>
      <c r="Q27" s="1"/>
      <c r="R27" s="1"/>
      <c r="S27" s="1"/>
      <c r="T27" s="15"/>
      <c r="U27" s="2"/>
    </row>
    <row r="28" spans="1:21" ht="84">
      <c r="A28" s="1">
        <v>1973</v>
      </c>
      <c r="B28" s="1"/>
      <c r="C28" s="1"/>
      <c r="D28" s="26" t="s">
        <v>312</v>
      </c>
      <c r="E28" s="1"/>
      <c r="F28" s="25" t="s">
        <v>143</v>
      </c>
      <c r="G28" s="1"/>
      <c r="H28" s="15" t="s">
        <v>310</v>
      </c>
      <c r="I28" s="15"/>
      <c r="J28" s="15"/>
      <c r="K28" s="15"/>
      <c r="L28" s="15"/>
      <c r="M28" s="1"/>
      <c r="N28" s="21"/>
      <c r="O28" s="1"/>
      <c r="P28" s="1"/>
      <c r="Q28" s="1"/>
      <c r="R28" s="1"/>
      <c r="S28" s="1"/>
      <c r="T28" s="15"/>
      <c r="U28" s="2"/>
    </row>
    <row r="29" spans="1:21" ht="56">
      <c r="A29" s="1">
        <v>1974</v>
      </c>
      <c r="B29" s="1"/>
      <c r="C29" s="1"/>
      <c r="D29" s="1"/>
      <c r="E29" s="1"/>
      <c r="F29" s="25" t="s">
        <v>262</v>
      </c>
      <c r="G29" s="1" t="s">
        <v>272</v>
      </c>
      <c r="H29" s="15"/>
      <c r="I29" s="15"/>
      <c r="J29" s="15"/>
      <c r="K29" s="15"/>
      <c r="L29" s="15"/>
      <c r="M29" s="1"/>
      <c r="N29" s="21"/>
      <c r="O29" s="1"/>
      <c r="P29" s="1"/>
      <c r="Q29" s="1"/>
      <c r="R29" s="1"/>
      <c r="S29" s="1"/>
      <c r="T29" s="15"/>
      <c r="U29" s="2"/>
    </row>
    <row r="30" spans="1:21" ht="238">
      <c r="A30" s="1">
        <v>1975</v>
      </c>
      <c r="B30" s="1" t="s">
        <v>43</v>
      </c>
      <c r="C30" s="1" t="s">
        <v>44</v>
      </c>
      <c r="D30" s="1" t="s">
        <v>45</v>
      </c>
      <c r="E30" s="1" t="s">
        <v>46</v>
      </c>
      <c r="F30" s="1" t="s">
        <v>47</v>
      </c>
      <c r="G30" s="1" t="s">
        <v>273</v>
      </c>
      <c r="H30" s="19"/>
      <c r="I30" s="19"/>
      <c r="J30" s="19"/>
      <c r="K30" s="19"/>
      <c r="L30" s="19"/>
      <c r="M30" s="19"/>
      <c r="N30" s="19"/>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v>
      </c>
    </row>
    <row r="31" spans="1:21" ht="28">
      <c r="A31" s="1">
        <v>1976</v>
      </c>
      <c r="B31" s="1" t="s">
        <v>43</v>
      </c>
      <c r="C31" s="1"/>
      <c r="D31" s="25" t="s">
        <v>313</v>
      </c>
      <c r="E31" s="1" t="s">
        <v>278</v>
      </c>
      <c r="F31" s="1"/>
      <c r="G31" s="1"/>
      <c r="H31" s="15"/>
      <c r="I31" s="15"/>
      <c r="J31" s="15"/>
      <c r="K31" s="15"/>
      <c r="L31" s="15"/>
      <c r="M31" s="15"/>
      <c r="N31" s="15"/>
      <c r="O31" s="15"/>
      <c r="P31" s="15"/>
      <c r="Q31" s="15"/>
      <c r="R31" s="15"/>
      <c r="S31" s="15"/>
      <c r="T31" s="15"/>
      <c r="U31" s="2"/>
    </row>
    <row r="32" spans="1:21" ht="252">
      <c r="A32" s="1">
        <v>1977</v>
      </c>
      <c r="B32" s="1" t="s">
        <v>49</v>
      </c>
      <c r="C32" s="1" t="s">
        <v>274</v>
      </c>
      <c r="D32" s="1" t="s">
        <v>306</v>
      </c>
      <c r="E32" s="1" t="s">
        <v>279</v>
      </c>
      <c r="F32" s="15"/>
      <c r="G32" s="19"/>
      <c r="H32" s="19"/>
      <c r="I32" s="19"/>
      <c r="J32" s="19"/>
      <c r="K32" s="19" t="s">
        <v>144</v>
      </c>
      <c r="L32" s="19" t="s">
        <v>145</v>
      </c>
      <c r="M32" s="19"/>
      <c r="N32" s="19"/>
      <c r="O32" s="19"/>
      <c r="P32" s="19"/>
      <c r="Q32" s="19"/>
      <c r="R32" s="19"/>
      <c r="S32" s="19"/>
      <c r="T32" s="19"/>
      <c r="U32" s="2" t="str">
        <f>IF(E32="","",_xlfn.TEXTJOIN("; ",TRUE(),IF(ISNUMBER(SEARCH(SUBSTITUTE('Référentiel films'!$A$2,"’","'"),SUBSTITUTE(E32,"’","'"))),'Référentiel films'!$B$2,""),IF(ISNUMBER(SEARCH(SUBSTITUTE('Référentiel films'!$A$3,"’","'"),SUBSTITUTE(E32,"’","'"))),'Référentiel films'!$B$3,""),IF(ISNUMBER(SEARCH(SUBSTITUTE('Référentiel films'!$A$4,"’","'"),SUBSTITUTE(E32,"’","'"))),'Référentiel films'!$B$4,""),IF(ISNUMBER(SEARCH(SUBSTITUTE('Référentiel films'!$A$5,"’","'"),SUBSTITUTE(E32,"’","'"))),'Référentiel films'!$B$5,""),IF(ISNUMBER(SEARCH(SUBSTITUTE('Référentiel films'!$A$6,"’","'"),SUBSTITUTE(E32,"’","'"))),'Référentiel films'!$B$6,""),IF(ISNUMBER(SEARCH(SUBSTITUTE('Référentiel films'!$A$7,"’","'"),SUBSTITUTE(E32,"’","'"))),'Référentiel films'!$B$7,""),IF(ISNUMBER(SEARCH(SUBSTITUTE('Référentiel films'!$A$8,"’","'"),SUBSTITUTE(E32,"’","'"))),'Référentiel films'!$B$8,""),IF(ISNUMBER(SEARCH(SUBSTITUTE('Référentiel films'!$A$9,"’","'"),SUBSTITUTE(E32,"’","'"))),'Référentiel films'!$B$9,""),IF(ISNUMBER(SEARCH(SUBSTITUTE('Référentiel films'!$A$10,"’","'"),SUBSTITUTE(E32,"’","'"))),'Référentiel films'!$B$10,""),IF(ISNUMBER(SEARCH(SUBSTITUTE('Référentiel films'!$A$11,"’","'"),SUBSTITUTE(E32,"’","'"))),'Référentiel films'!$B$11,""),IF(ISNUMBER(SEARCH(SUBSTITUTE('Référentiel films'!$A$12,"’","'"),SUBSTITUTE(E32,"’","'"))),'Référentiel films'!$B$12,""),IF(ISNUMBER(SEARCH(SUBSTITUTE('Référentiel films'!$A$13,"’","'"),SUBSTITUTE(E32,"’","'"))),'Référentiel films'!$B$13,""),IF(ISNUMBER(SEARCH(SUBSTITUTE('Référentiel films'!$A$14,"’","'"),SUBSTITUTE(E32,"’","'"))),'Référentiel films'!$B$14,""),IF(ISNUMBER(SEARCH(SUBSTITUTE('Référentiel films'!$A$15,"’","'"),SUBSTITUTE(E32,"’","'"))),'Référentiel films'!$B$15,""),IF(ISNUMBER(SEARCH(SUBSTITUTE('Référentiel films'!$A$16,"’","'"),SUBSTITUTE(E32,"’","'"))),'Référentiel films'!$B$16,""),IF(ISNUMBER(SEARCH(SUBSTITUTE('Référentiel films'!$A$17,"’","'"),SUBSTITUTE(E32,"’","'"))),'Référentiel films'!$B$17,""),IF(ISNUMBER(SEARCH(SUBSTITUTE('Référentiel films'!$A$18,"’","'"),SUBSTITUTE(E32,"’","'"))),'Référentiel films'!$B$18,""),IF(ISNUMBER(SEARCH(SUBSTITUTE('Référentiel films'!$A$19,"’","'"),SUBSTITUTE(E32,"’","'"))),'Référentiel films'!$B$19,""),IF(ISNUMBER(SEARCH(SUBSTITUTE('Référentiel films'!$A$20,"’","'"),SUBSTITUTE(E32,"’","'"))),'Référentiel films'!$B$20,""),IF(ISNUMBER(SEARCH(SUBSTITUTE('Référentiel films'!$A$21,"’","'"),SUBSTITUTE(E32,"’","'"))),'Référentiel films'!$B$21,""),IF(ISNUMBER(SEARCH(SUBSTITUTE('Référentiel films'!$A$22,"’","'"),SUBSTITUTE(E32,"’","'"))),'Référentiel films'!$B$22,""),IF(ISNUMBER(SEARCH(SUBSTITUTE('Référentiel films'!$A$23,"’","'"),SUBSTITUTE(E32,"’","'"))),'Référentiel films'!$B$23,""),IF(ISNUMBER(SEARCH(SUBSTITUTE('Référentiel films'!$A$24,"’","'"),SUBSTITUTE(E32,"’","'"))),'Référentiel films'!$B$24,""),IF(ISNUMBER(SEARCH(SUBSTITUTE('Référentiel films'!$A$25,"’","'"),SUBSTITUTE(E32,"’","'"))),'Référentiel films'!$B$25,""),IF(ISNUMBER(SEARCH(SUBSTITUTE('Référentiel films'!$A$26,"’","'"),SUBSTITUTE(E32,"’","'"))),'Référentiel films'!$B$26,""),IF(ISNUMBER(SEARCH(SUBSTITUTE('Référentiel films'!$A$27,"’","'"),SUBSTITUTE(E32,"’","'"))),'Référentiel films'!$B$27,""),IF(ISNUMBER(SEARCH(SUBSTITUTE('Référentiel films'!$A$28,"’","'"),SUBSTITUTE(E32,"’","'"))),'Référentiel films'!$B$28,""),IF(ISNUMBER(SEARCH(SUBSTITUTE('Référentiel films'!$A$29,"’","'"),SUBSTITUTE(E32,"’","'"))),'Référentiel films'!$B$29,""),IF(ISNUMBER(SEARCH(SUBSTITUTE('Référentiel films'!$A$30,"’","'"),SUBSTITUTE(E32,"’","'"))),'Référentiel films'!$B$30,""),IF(ISNUMBER(SEARCH(SUBSTITUTE('Référentiel films'!$A$31,"’","'"),SUBSTITUTE(E32,"’","'"))),'Référentiel films'!$B$31,""),IF(ISNUMBER(SEARCH(SUBSTITUTE('Référentiel films'!$A$32,"’","'"),SUBSTITUTE(E32,"’","'"))),'Référentiel films'!$B$32,""),IF(ISNUMBER(SEARCH(SUBSTITUTE('Référentiel films'!$A$33,"’","'"),SUBSTITUTE(E32,"’","'"))),'Référentiel films'!$B$33,""),IF(ISNUMBER(SEARCH(SUBSTITUTE('Référentiel films'!$A$34,"’","'"),SUBSTITUTE(E32,"’","'"))),'Référentiel films'!$B$34,""),IF(ISNUMBER(SEARCH(SUBSTITUTE('Référentiel films'!$A$35,"’","'"),SUBSTITUTE(E32,"’","'"))),'Référentiel films'!$B$35,""),IF(ISNUMBER(SEARCH(SUBSTITUTE('Référentiel films'!$A$36,"’","'"),SUBSTITUTE(E32,"’","'"))),'Référentiel films'!$B$36,""),IF(ISNUMBER(SEARCH(SUBSTITUTE('Référentiel films'!$A$37,"’","'"),SUBSTITUTE(E32,"’","'"))),'Référentiel films'!$B$37,""),IF(ISNUMBER(SEARCH(SUBSTITUTE('Référentiel films'!$A$38,"’","'"),SUBSTITUTE(E32,"’","'"))),'Référentiel films'!$B$38,""),IF(ISNUMBER(SEARCH(SUBSTITUTE('Référentiel films'!$A$39,"’","'"),SUBSTITUTE(E32,"’","'"))),'Référentiel films'!$B$39,""),IF(ISNUMBER(SEARCH(SUBSTITUTE('Référentiel films'!$A$40,"’","'"),SUBSTITUTE(E32,"’","'"))),'Référentiel films'!$B$40,""),IF(ISNUMBER(SEARCH(SUBSTITUTE('Référentiel films'!$A$41,"’","'"),SUBSTITUTE(E32,"’","'"))),'Référentiel films'!$B$41,"")))</f>
        <v/>
      </c>
    </row>
    <row r="33" spans="1:21" ht="196">
      <c r="A33" s="1">
        <v>1978</v>
      </c>
      <c r="B33" s="1"/>
      <c r="C33" s="1"/>
      <c r="D33" s="25"/>
      <c r="E33" s="1" t="s">
        <v>280</v>
      </c>
      <c r="F33" s="1" t="s">
        <v>321</v>
      </c>
      <c r="G33" s="15" t="s">
        <v>276</v>
      </c>
      <c r="H33" s="19"/>
      <c r="I33" s="19"/>
      <c r="J33" s="19"/>
      <c r="K33" s="19"/>
      <c r="L33" s="15" t="s">
        <v>146</v>
      </c>
      <c r="M33" s="19"/>
      <c r="N33" s="19"/>
      <c r="O33" s="19"/>
      <c r="P33" s="19"/>
      <c r="Q33" s="19"/>
      <c r="R33" s="19"/>
      <c r="S33" s="19"/>
      <c r="T33" s="19"/>
      <c r="U33" s="2"/>
    </row>
    <row r="34" spans="1:21" ht="210">
      <c r="A34" s="1">
        <v>1979</v>
      </c>
      <c r="B34" s="1"/>
      <c r="C34" s="1"/>
      <c r="D34" s="1" t="s">
        <v>305</v>
      </c>
      <c r="E34" s="1" t="s">
        <v>281</v>
      </c>
      <c r="F34" s="15" t="s">
        <v>147</v>
      </c>
      <c r="G34" s="15" t="s">
        <v>283</v>
      </c>
      <c r="H34" s="19"/>
      <c r="I34" s="19"/>
      <c r="J34" s="19"/>
      <c r="K34" s="19"/>
      <c r="L34" s="19"/>
      <c r="M34" s="19"/>
      <c r="N34" s="19"/>
      <c r="O34" s="19"/>
      <c r="P34" s="19"/>
      <c r="Q34" s="19"/>
      <c r="R34" s="19"/>
      <c r="S34" s="19"/>
      <c r="T34" s="19"/>
      <c r="U34" s="2"/>
    </row>
    <row r="35" spans="1:21" ht="293">
      <c r="A35" s="1">
        <v>1980</v>
      </c>
      <c r="B35" s="1" t="s">
        <v>53</v>
      </c>
      <c r="C35" s="1" t="s">
        <v>54</v>
      </c>
      <c r="D35" s="25" t="s">
        <v>307</v>
      </c>
      <c r="E35" s="1" t="s">
        <v>56</v>
      </c>
      <c r="F35" s="1" t="s">
        <v>286</v>
      </c>
      <c r="G35" s="1" t="s">
        <v>148</v>
      </c>
      <c r="H35" s="19"/>
      <c r="I35" s="19"/>
      <c r="J35" s="19"/>
      <c r="K35" s="19"/>
      <c r="L35" s="19" t="s">
        <v>149</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82">
      <c r="A36" s="1"/>
      <c r="B36" s="1"/>
      <c r="C36" s="1"/>
      <c r="D36" s="1"/>
      <c r="E36" s="1"/>
      <c r="F36" s="1" t="s">
        <v>287</v>
      </c>
      <c r="G36" s="1" t="s">
        <v>288</v>
      </c>
      <c r="H36" s="15"/>
      <c r="I36" s="15"/>
      <c r="J36" s="15"/>
      <c r="K36" s="15"/>
      <c r="L36" s="15" t="s">
        <v>303</v>
      </c>
      <c r="M36" s="15"/>
      <c r="N36" s="15"/>
      <c r="O36" s="15"/>
      <c r="P36" s="15"/>
      <c r="Q36" s="15"/>
      <c r="R36" s="15"/>
      <c r="S36" s="15"/>
      <c r="T36" s="15"/>
      <c r="U36" s="2"/>
    </row>
    <row r="37" spans="1:21" ht="126">
      <c r="A37" s="1">
        <v>1982</v>
      </c>
      <c r="B37" s="1">
        <v>1982</v>
      </c>
      <c r="C37" s="1" t="s">
        <v>150</v>
      </c>
      <c r="D37" s="1" t="s">
        <v>282</v>
      </c>
      <c r="E37" s="1" t="s">
        <v>60</v>
      </c>
      <c r="F37" s="1" t="s">
        <v>61</v>
      </c>
      <c r="G37" s="19"/>
      <c r="H37" s="19"/>
      <c r="I37" s="19"/>
      <c r="J37" s="19"/>
      <c r="K37" s="19"/>
      <c r="L37" s="19" t="s">
        <v>151</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cols>
    <col min="2" max="2" width="37.5" customWidth="1"/>
    <col min="3" max="3" width="37" customWidth="1"/>
    <col min="4" max="4" width="30.83203125" customWidth="1"/>
  </cols>
  <sheetData>
    <row r="15" spans="1:4">
      <c r="A15" s="16" t="s">
        <v>152</v>
      </c>
      <c r="B15" s="16" t="s">
        <v>153</v>
      </c>
      <c r="C15" s="16" t="s">
        <v>154</v>
      </c>
      <c r="D15" s="16" t="s">
        <v>155</v>
      </c>
    </row>
    <row r="16" spans="1:4" ht="51">
      <c r="A16" s="17" t="s">
        <v>156</v>
      </c>
      <c r="B16" s="18" t="s">
        <v>157</v>
      </c>
      <c r="C16" s="17" t="s">
        <v>158</v>
      </c>
      <c r="D16" s="17"/>
    </row>
    <row r="17" spans="1:4" ht="51">
      <c r="A17" s="17" t="s">
        <v>159</v>
      </c>
      <c r="B17" s="18" t="s">
        <v>160</v>
      </c>
      <c r="C17" s="17" t="s">
        <v>161</v>
      </c>
      <c r="D17" s="17" t="s">
        <v>162</v>
      </c>
    </row>
    <row r="18" spans="1:4" ht="28">
      <c r="A18" s="17" t="s">
        <v>163</v>
      </c>
      <c r="B18" s="17" t="s">
        <v>164</v>
      </c>
      <c r="C18" s="17" t="s">
        <v>165</v>
      </c>
      <c r="D18" s="17" t="s">
        <v>162</v>
      </c>
    </row>
    <row r="19" spans="1:4" ht="28">
      <c r="A19" s="17" t="s">
        <v>166</v>
      </c>
      <c r="B19" s="17" t="s">
        <v>167</v>
      </c>
      <c r="C19" s="17" t="s">
        <v>168</v>
      </c>
      <c r="D19" s="17"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tabSelected="1" topLeftCell="A11" zoomScaleNormal="100" workbookViewId="0">
      <selection activeCell="B31" sqref="B31"/>
    </sheetView>
  </sheetViews>
  <sheetFormatPr baseColWidth="10" defaultColWidth="10.5" defaultRowHeight="13"/>
  <cols>
    <col min="1" max="1" width="46.83203125" customWidth="1"/>
    <col min="2" max="2" width="59.1640625" customWidth="1"/>
  </cols>
  <sheetData>
    <row r="1" spans="1:2" ht="17">
      <c r="A1" s="7" t="s">
        <v>170</v>
      </c>
      <c r="B1" s="7" t="s">
        <v>171</v>
      </c>
    </row>
    <row r="2" spans="1:2" ht="17">
      <c r="A2" s="9" t="s">
        <v>172</v>
      </c>
      <c r="B2" s="9" t="s">
        <v>173</v>
      </c>
    </row>
    <row r="3" spans="1:2" ht="17">
      <c r="A3" s="9" t="s">
        <v>174</v>
      </c>
      <c r="B3" s="9" t="s">
        <v>175</v>
      </c>
    </row>
    <row r="4" spans="1:2" ht="17">
      <c r="A4" s="9" t="s">
        <v>176</v>
      </c>
      <c r="B4" s="9" t="s">
        <v>177</v>
      </c>
    </row>
    <row r="5" spans="1:2" ht="17">
      <c r="A5" s="9" t="s">
        <v>178</v>
      </c>
      <c r="B5" s="9" t="s">
        <v>179</v>
      </c>
    </row>
    <row r="6" spans="1:2" ht="17">
      <c r="A6" s="9" t="s">
        <v>180</v>
      </c>
      <c r="B6" s="9" t="s">
        <v>181</v>
      </c>
    </row>
    <row r="7" spans="1:2" ht="17">
      <c r="A7" s="9" t="s">
        <v>182</v>
      </c>
      <c r="B7" s="9" t="s">
        <v>183</v>
      </c>
    </row>
    <row r="8" spans="1:2" ht="17">
      <c r="A8" s="9" t="s">
        <v>184</v>
      </c>
      <c r="B8" s="9" t="s">
        <v>185</v>
      </c>
    </row>
    <row r="9" spans="1:2" ht="17">
      <c r="A9" s="9" t="s">
        <v>186</v>
      </c>
      <c r="B9" s="9" t="s">
        <v>187</v>
      </c>
    </row>
    <row r="10" spans="1:2" ht="17">
      <c r="A10" s="9" t="s">
        <v>188</v>
      </c>
      <c r="B10" s="9" t="s">
        <v>189</v>
      </c>
    </row>
    <row r="11" spans="1:2" ht="17">
      <c r="A11" s="9" t="s">
        <v>190</v>
      </c>
      <c r="B11" s="9" t="s">
        <v>191</v>
      </c>
    </row>
    <row r="12" spans="1:2" ht="17">
      <c r="A12" s="9" t="s">
        <v>192</v>
      </c>
      <c r="B12" s="9" t="s">
        <v>193</v>
      </c>
    </row>
    <row r="13" spans="1:2" ht="17">
      <c r="A13" s="9" t="s">
        <v>194</v>
      </c>
      <c r="B13" s="9" t="s">
        <v>195</v>
      </c>
    </row>
    <row r="14" spans="1:2" ht="17">
      <c r="A14" s="9" t="s">
        <v>196</v>
      </c>
      <c r="B14" s="9" t="s">
        <v>197</v>
      </c>
    </row>
    <row r="15" spans="1:2" ht="17">
      <c r="A15" s="9" t="s">
        <v>198</v>
      </c>
      <c r="B15" s="9" t="s">
        <v>199</v>
      </c>
    </row>
    <row r="16" spans="1:2" ht="17">
      <c r="A16" s="9" t="s">
        <v>200</v>
      </c>
      <c r="B16" s="9" t="s">
        <v>201</v>
      </c>
    </row>
    <row r="17" spans="1:2" ht="17">
      <c r="A17" s="9" t="s">
        <v>202</v>
      </c>
      <c r="B17" s="9" t="s">
        <v>203</v>
      </c>
    </row>
    <row r="18" spans="1:2" ht="17">
      <c r="A18" s="9" t="s">
        <v>204</v>
      </c>
      <c r="B18" s="9" t="s">
        <v>205</v>
      </c>
    </row>
    <row r="19" spans="1:2" ht="17">
      <c r="A19" s="9" t="s">
        <v>206</v>
      </c>
      <c r="B19" s="9" t="s">
        <v>207</v>
      </c>
    </row>
    <row r="20" spans="1:2" ht="17">
      <c r="A20" s="9" t="s">
        <v>208</v>
      </c>
      <c r="B20" s="9" t="s">
        <v>209</v>
      </c>
    </row>
    <row r="21" spans="1:2" ht="17">
      <c r="A21" s="9" t="s">
        <v>210</v>
      </c>
      <c r="B21" s="9" t="s">
        <v>211</v>
      </c>
    </row>
    <row r="22" spans="1:2" ht="17">
      <c r="A22" s="9" t="s">
        <v>212</v>
      </c>
      <c r="B22" s="9" t="s">
        <v>213</v>
      </c>
    </row>
    <row r="23" spans="1:2" ht="17">
      <c r="A23" s="9" t="s">
        <v>214</v>
      </c>
      <c r="B23" s="9" t="s">
        <v>215</v>
      </c>
    </row>
    <row r="24" spans="1:2" ht="17">
      <c r="A24" s="9" t="s">
        <v>216</v>
      </c>
      <c r="B24" s="9" t="s">
        <v>217</v>
      </c>
    </row>
    <row r="25" spans="1:2" ht="17">
      <c r="A25" s="9" t="s">
        <v>218</v>
      </c>
      <c r="B25" s="9" t="s">
        <v>219</v>
      </c>
    </row>
    <row r="26" spans="1:2" ht="17">
      <c r="A26" s="9" t="s">
        <v>220</v>
      </c>
      <c r="B26" s="9" t="s">
        <v>221</v>
      </c>
    </row>
    <row r="27" spans="1:2" ht="17">
      <c r="A27" s="9" t="s">
        <v>222</v>
      </c>
      <c r="B27" s="9" t="s">
        <v>223</v>
      </c>
    </row>
    <row r="28" spans="1:2" ht="17">
      <c r="A28" s="9" t="s">
        <v>224</v>
      </c>
      <c r="B28" s="9" t="s">
        <v>225</v>
      </c>
    </row>
    <row r="29" spans="1:2" ht="17">
      <c r="A29" s="9" t="s">
        <v>226</v>
      </c>
      <c r="B29" s="9" t="s">
        <v>227</v>
      </c>
    </row>
    <row r="30" spans="1:2" ht="17">
      <c r="A30" s="9" t="s">
        <v>228</v>
      </c>
      <c r="B30" s="9" t="s">
        <v>229</v>
      </c>
    </row>
    <row r="31" spans="1:2" ht="17">
      <c r="A31" s="9" t="s">
        <v>230</v>
      </c>
      <c r="B31" s="9" t="s">
        <v>231</v>
      </c>
    </row>
    <row r="32" spans="1:2" ht="17">
      <c r="A32" s="9" t="s">
        <v>232</v>
      </c>
      <c r="B32" s="9" t="s">
        <v>233</v>
      </c>
    </row>
    <row r="33" spans="1:2" ht="17">
      <c r="A33" s="9" t="s">
        <v>234</v>
      </c>
      <c r="B33" s="9" t="s">
        <v>235</v>
      </c>
    </row>
    <row r="34" spans="1:2" ht="17">
      <c r="A34" s="9" t="s">
        <v>236</v>
      </c>
      <c r="B34" s="9" t="s">
        <v>237</v>
      </c>
    </row>
    <row r="35" spans="1:2" ht="17">
      <c r="A35" s="9" t="s">
        <v>238</v>
      </c>
      <c r="B35" s="9" t="s">
        <v>239</v>
      </c>
    </row>
    <row r="36" spans="1:2" ht="17">
      <c r="A36" s="9" t="s">
        <v>240</v>
      </c>
      <c r="B36" s="9" t="s">
        <v>241</v>
      </c>
    </row>
    <row r="37" spans="1:2" ht="17">
      <c r="A37" s="9" t="s">
        <v>242</v>
      </c>
      <c r="B37" s="9" t="s">
        <v>243</v>
      </c>
    </row>
    <row r="38" spans="1:2" ht="17">
      <c r="A38" s="9" t="s">
        <v>244</v>
      </c>
      <c r="B38" s="9" t="s">
        <v>245</v>
      </c>
    </row>
    <row r="39" spans="1:2" ht="17">
      <c r="A39" s="9" t="s">
        <v>246</v>
      </c>
      <c r="B39" s="9" t="s">
        <v>247</v>
      </c>
    </row>
    <row r="40" spans="1:2" ht="17">
      <c r="A40" s="9" t="s">
        <v>248</v>
      </c>
      <c r="B40" s="9" t="s">
        <v>249</v>
      </c>
    </row>
    <row r="41" spans="1:2" ht="17">
      <c r="A41" s="9" t="s">
        <v>250</v>
      </c>
      <c r="B41" s="9" t="s">
        <v>251</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cols>
    <col min="1" max="1" width="29.6640625" customWidth="1"/>
    <col min="2" max="2" width="101.1640625" customWidth="1"/>
  </cols>
  <sheetData>
    <row r="1" spans="1:2" ht="30" customHeight="1">
      <c r="A1" s="10" t="s">
        <v>252</v>
      </c>
      <c r="B1" s="10"/>
    </row>
    <row r="2" spans="1:2" ht="34" customHeight="1">
      <c r="A2" s="11" t="s">
        <v>253</v>
      </c>
      <c r="B2" s="7" t="s">
        <v>254</v>
      </c>
    </row>
    <row r="3" spans="1:2" ht="34" customHeight="1">
      <c r="A3" s="11" t="s">
        <v>255</v>
      </c>
      <c r="B3" s="7" t="s">
        <v>256</v>
      </c>
    </row>
    <row r="4" spans="1:2" ht="34" customHeight="1">
      <c r="A4" s="11" t="s">
        <v>257</v>
      </c>
      <c r="B4" s="7" t="s">
        <v>258</v>
      </c>
    </row>
    <row r="5" spans="1:2" ht="34" customHeight="1">
      <c r="A5" s="11" t="s">
        <v>259</v>
      </c>
      <c r="B5" s="7" t="s">
        <v>260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2026-07-28T07:21:00Z</dcterms:modified>
  <cp:category/>
  <cp:contentStatus/>
</cp:coreProperties>
</file>