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frederiquehammerli/Desktop/"/>
    </mc:Choice>
  </mc:AlternateContent>
  <xr:revisionPtr revIDLastSave="0" documentId="13_ncr:1_{87FDAE5B-7F65-8C43-B511-7F09BBCED8F5}" xr6:coauthVersionLast="47" xr6:coauthVersionMax="47" xr10:uidLastSave="{00000000-0000-0000-0000-000000000000}"/>
  <bookViews>
    <workbookView xWindow="13800" yWindow="1120" windowWidth="26580" windowHeight="24080" activeTab="1"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7" i="2" l="1"/>
  <c r="U36" i="2"/>
  <c r="U35" i="2"/>
  <c r="U34" i="2"/>
  <c r="U33" i="2"/>
  <c r="U32" i="2"/>
  <c r="U31" i="2"/>
  <c r="U30" i="2"/>
  <c r="U29" i="2"/>
  <c r="U28" i="2"/>
  <c r="U27" i="2"/>
  <c r="U26" i="2"/>
  <c r="U25" i="2"/>
  <c r="U24" i="2"/>
  <c r="U23" i="2"/>
  <c r="U22" i="2"/>
  <c r="U21" i="2"/>
  <c r="U20" i="2"/>
  <c r="U19" i="2"/>
  <c r="U18" i="2"/>
  <c r="U17" i="2"/>
  <c r="U16" i="2"/>
  <c r="U15" i="2"/>
  <c r="U14" i="2"/>
  <c r="U13" i="2"/>
  <c r="U12" i="2"/>
  <c r="U11" i="2"/>
  <c r="U10" i="2"/>
  <c r="U9" i="2"/>
  <c r="U8" i="2"/>
  <c r="U7" i="2"/>
  <c r="U6" i="2"/>
  <c r="U5" i="2"/>
  <c r="U4" i="2"/>
  <c r="U3" i="2"/>
  <c r="U2" i="2"/>
  <c r="H10" i="1"/>
  <c r="H9" i="1"/>
  <c r="H8" i="1"/>
  <c r="H7" i="1"/>
  <c r="H6" i="1"/>
  <c r="H5" i="1"/>
  <c r="H4" i="1"/>
  <c r="H3" i="1"/>
  <c r="H2" i="1"/>
</calcChain>
</file>

<file path=xl/sharedStrings.xml><?xml version="1.0" encoding="utf-8"?>
<sst xmlns="http://schemas.openxmlformats.org/spreadsheetml/2006/main" count="422" uniqueCount="356">
  <si>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</si>
  <si>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</si>
  <si>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</si>
  <si>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</si>
  <si>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</si>
  <si>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</si>
  <si>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</si>
  <si>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</si>
  <si>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</si>
  <si>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</si>
  <si>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</si>
  <si>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</si>
  <si>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Legende</t>
  </si>
  <si>
    <t>Notion</t>
  </si>
  <si>
    <t>1945-1946</t>
  </si>
  <si>
    <t>Les ruines l'Heure zéro</t>
  </si>
  <si>
    <t>Le "point zéro" de l'histoire de l'Allemagne d'après-guerre est-il un point zéro pour la vie et l'œuvre de RWF ?</t>
  </si>
  <si>
    <t>Naissance de Rainer Werner Fassbinder le 31 mai à Bad Wörishofen, Bavière.</t>
  </si>
  <si>
    <t>Les génériques de Fassbinder</t>
  </si>
  <si>
    <t>"Nous devons nous débarrasser du passé pour construire l'avenir". Konrad Adenauer</t>
  </si>
  <si>
    <t>Allemagne_zones.jpeg</t>
  </si>
  <si>
    <t>Le découpage de l'Allemagne et de Berlin en 4 zones d'occupation alliée</t>
  </si>
  <si>
    <t>1947-1960</t>
  </si>
  <si>
    <t>Le miracle économique</t>
  </si>
  <si>
    <t xml:space="preserve">Comment l'Allemagne de l'ouest a-t-elle pu devenir une des premières nations industrielles capitalistes et une démocratie alors même qu'elle était marquée par le provincialisme, l'absence de morale et l'hypocrisie ? </t>
  </si>
  <si>
    <t>Enfance marquée par le divorce de ses parents (1951) et l'absence du père. Passion précoce pour le cinéma (refuge). Première lecture de Berlin Alexanderplatz vers 14 ans.</t>
  </si>
  <si>
    <t>De l’année zéro au miracle économique|https://youtu.be/BC4BffkWyY8?si=e80MWCLF0K9Fgiub; Jalousie de Catharina Valente|https://youtu.be/-ugDTj7UFtU?si=vzGNySrsaYGKZW0k</t>
  </si>
  <si>
    <t>l-industrie-de-l-industrie-automobile-l-usine-volkswagen-vue-de-l-interieur-usine-wolfsburg-vers-1950.jpg</t>
  </si>
  <si>
    <t>1961-1966</t>
  </si>
  <si>
    <t>naissance du Nouveau cinéma allemand</t>
  </si>
  <si>
    <t xml:space="preserve">Que serait un cinéma nouveau prenant à bras le corps l'histoire de l'Allemagne et du cinéma, tout en s'en détachant ? </t>
  </si>
  <si>
    <t>Échec au concours d'entrée de la DFFB. Rencontre Hanna Schygulla et Irm Hermann dans un cours d'art dramatique. Rejoint l'Action-Theater (1967).</t>
  </si>
  <si>
    <t>Réalise ses premiers courts métrages : This Night (1966) et Le Clochard (1966). Confrontation de la mémoire de la Shoah.</t>
  </si>
  <si>
    <t>Documentaire sur le nouveau cinéma allemand</t>
  </si>
  <si>
    <t>"Le cinéma de Papa est mort. Nous croyons au nouveau cinéma " Manifeste d'Oberhausen (1962)
« Toute une génération exorcisa son enfance déjà presque oubliée en soulignant sans répit combien étaient encombrantes et dévastatrices les ombres que le passé des parents avaient jetées sur le présent de leurs enfants ».Thomas Elsaesser, RWF un cinéaste d'Allemagne (2005) p.201</t>
  </si>
  <si>
    <t>1967-1970</t>
  </si>
  <si>
    <t>Antitheater et politisation</t>
  </si>
  <si>
    <t xml:space="preserve">Qu'-est-ce qu'un cinéaste engagé ? </t>
  </si>
  <si>
    <t>Fonde l' antiteater (1968). Collaboration intense avec sa "troupe" (Schygulla, Hermann, Raab, Baer, Lommel). Mariage avec Ingrid Caven (1970).</t>
  </si>
  <si>
    <t>L'amour est plus froid que la mort (1969),  Le Bouc (1969)</t>
  </si>
  <si>
    <t>1971-1974</t>
  </si>
  <si>
    <t>Terrorisme et mélodrame</t>
  </si>
  <si>
    <t xml:space="preserve">Comment faire du cinéma allemand hollywoodien, qui attire et séduise le public le plus large tout en l'amenant à l'analyse et à la réflexion, sans didactisme ? </t>
  </si>
  <si>
    <t xml:space="preserve">Découverte des mélodrames de Douglas Sirk grâce à Peer Raben .Liaison avec El Hedi ben Salem. Direction du TAT à Francfort. Collaboration avec le caméraman Michael Ballhaus. Succès international. Les films de RWF deviennent incontournables dans les grands festivals internationaux (Cannes, Venise, Berlin). </t>
  </si>
  <si>
    <t>Période Sirkienne : Le Marchand des quatre saisons (1971). Tous les autres s'appellent Ali (1974, succès mondial à Cannes) : critique du racisme ordinaire. Martha (1974).</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</si>
  <si>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figées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</si>
  <si>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1975-1976</t>
  </si>
  <si>
    <t xml:space="preserve">Comment le rapport dominant/dominé structure-t-il toute relation, affective ou sociale ? </t>
  </si>
  <si>
    <t>Scandale théâtral autour de la pièce L'Ordure, la ville et la mort (accusations d'antisémitisme). Liaison avec Armin Meier.</t>
  </si>
  <si>
    <t xml:space="preserve">Maman Küsters s'en va au ciel (1975). Le Droit du plus fort (1975) : </t>
  </si>
  <si>
    <t>Fassbinder y joue un rôle principal, assumant une visibilité politique de son homosexualité.</t>
  </si>
  <si>
    <t>1977-1979</t>
  </si>
  <si>
    <t>Le retour de l'histoire</t>
  </si>
  <si>
    <t xml:space="preserve">Jusqu'à quel point les femmes de la trilogie RFA sont-elles une allégorie de la nation allemande ? Quelle distance RWF prend-il avec la critique historique de son pays ? </t>
  </si>
  <si>
    <t>Suicide d'Armin Meier (31 mai 1978). Début de la collaboration avec Juliane Lorenz. Fassbinder se filme en crise, exposant son angoisse face à l'État.</t>
  </si>
  <si>
    <t>L'Année des treize lunes (1978) : œuvre radicale sur le désespoir. Le Mariage de Maria Braun (1979) : triomphe international, allégorie de la reconstruction.</t>
  </si>
  <si>
    <t>le cinéaste Edgar Reitz affirme la nécessité " de films, de livres, d'images qui nous fassent reprendre connaissance et rétablissent nos réflexes", Medium, 5/1979, p.21</t>
  </si>
  <si>
    <t>mélodrame</t>
  </si>
  <si>
    <t>1980-1981</t>
  </si>
  <si>
    <t>La fin d'un ère</t>
  </si>
  <si>
    <t>Quelles ambitions pour la série télévisuelle ?</t>
  </si>
  <si>
    <t>Travaille frénétiquement. Réalise son projet de vie : l'adaptation de Döblin. Épuisement physique dû aux excès.</t>
  </si>
  <si>
    <t>Monumental Berlin Alexanderplatz (1980, 15h). Suite de la Trilogie de la RFA : Lola, une femme allemande (1981) et Lili Marleen (1981).</t>
  </si>
  <si>
    <t>La mort du Maître</t>
  </si>
  <si>
    <t xml:space="preserve">RWF, figure du collectif  politique des années 60 et 70 ou d'héritier de la figure du génie romantique et du poète maudit ? Auteur ou cinéaste populaire ? </t>
  </si>
  <si>
    <t>Décès de Fassbinder le 10 juin à Munich, à l'âge de 37 ans (épuisement et overdose).</t>
  </si>
  <si>
    <t>Le Secret de Veronika Voss (Ours d'Or à Berlin). Querelle (œuvre posthume). Fassbinder laisse un héritage de plus de 40 films.</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</si>
  <si>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</si>
  <si>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</si>
  <si>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</si>
  <si>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</si>
  <si>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</si>
  <si>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</si>
  <si>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</si>
  <si>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</si>
  <si>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</si>
  <si>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</si>
  <si>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</si>
  <si>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</si>
  <si>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</si>
  <si>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Naissance de Rainer Werner Fassbinder le 31 mai à Bad Wörishofen, Bavière. Père médecin généraliste, mère traductrice. Première année passée chez son oncle paternel</t>
  </si>
  <si>
    <t xml:space="preserve">Le couple Fassbinder prend l'enfant avec eux à Munich. Une partie de la famille vit dans le même appartement, notamment la grand-mère de Rainer. </t>
  </si>
  <si>
    <t>Le procès de Nuremberg</t>
  </si>
  <si>
    <t>Elsaesser, Wikipedia</t>
  </si>
  <si>
    <t>Le blocus de Berlin en 3 minutes</t>
  </si>
  <si>
    <t>Allemagne_annee_0_Reichstag.mp4</t>
  </si>
  <si>
    <t>Comment Rossellini traduit-il une relation complexe avec l'Histoire, entre fascination, terreur, et hantise ?</t>
  </si>
  <si>
    <t>Bande Annonce de Fatherland de Pavel Pawlikoski</t>
  </si>
  <si>
    <t>Adenauer.jpeg</t>
  </si>
  <si>
    <t>Portrait d'Adenauer</t>
  </si>
  <si>
    <t xml:space="preserve">La mère de Fassbinder Lisolette Eder, née Pempeit, dite aussi Lilo Pempeit, est hospitalisée pour cause de tuberculose. </t>
  </si>
  <si>
    <t>,,,,,,,,,,,,,,,,,,,,,,,,,,,,,,,,,,,,,,,,,,,,,,,,,,,,,,,,,,,,,,,,,,,,,,,,,,,,,,,,,,,,,,,,,,,,,,,,,,,,,,,,,,,,,,,,,,,,,,,,,,,,,,,,,,,,,,,,,,,,,,,,,,,,,,,,,,,,,,,,,,,,,,,,,,,,,,,,,,,,,,,,,,,,,,,,,,,,,,,,,,,,,,,,,,,,,,,,,,,,,</t>
  </si>
  <si>
    <t xml:space="preserve">Divorce des parents. Le père de RWF, Helmut Fassbinder, s'installe à Cologne. RWF reste à Munich avec sa mère. </t>
  </si>
  <si>
    <t xml:space="preserve">La mère de RWF l'inscrit dans une école Rudolf Steiner. Nbx séjours de la mère à l'hopital ou en sanatorium. RWF est confié à des voisins ou parents. Il commence à fréquenter assidument les salles de cinéma. </t>
  </si>
  <si>
    <t>Fassbinder_enfant.jpeg</t>
  </si>
  <si>
    <t>Fassbinder enfant</t>
  </si>
  <si>
    <t>La révolte des ouvriers est-allemands</t>
  </si>
  <si>
    <t>Bande Annonce de Sissi (1955)</t>
  </si>
  <si>
    <t>Bohm.jpg</t>
  </si>
  <si>
    <t>Karlheinz Böhm</t>
  </si>
  <si>
    <t xml:space="preserve">RWF est lycéen à Munich. </t>
  </si>
  <si>
    <t>RWF est pensionnaire à Augsbourg, sa mère étant hospitalisée pendant près de deux ans à la suite d'une opération. Il continue à fréquenter les salles obscures. Il voit toutes sortes de film sans distinction, des films noirs américains doublés en allemand, des films pornos sans budget qui se développent à partir de 1960. Le cinéma hollywoodien est alors plutôt dénigré par la bourgeoisie.</t>
  </si>
  <si>
    <t>découvrir Brecht avec l'INA</t>
  </si>
  <si>
    <t>Remariage de Lilo avec un journaliste, Wolff Eder. Relations difficiles entre RWF et son beau-père. 
RWF revient à Munich mais vit dans un pensionnat.
RWF commence à assumer ouvertement son homosexualité, fait rare pour l'époque.</t>
  </si>
  <si>
    <t>RWF commence à écrire des nouvelles et de petites pièces de théâtre</t>
  </si>
  <si>
    <t xml:space="preserve">RWF interrompt ses études avant le baccalauréat. Il rejoint son père à Cologne. Il collecte pour lui des loyers dans des immeubles principalement occupés par des Gastarbeiters (travaillers "invités" c'est-à-dire immigrés). RWF prend des cours du soir, écrit, f'équente les bars homosexuels. </t>
  </si>
  <si>
    <t>A l'occasion du festival du film documentaire d'Oberhausen, publication du Manifeste d'Oberhausen : naissance du Nouveau Cinéma Allemand ("Le vieux cinéma est mort").
Les Beatles entament eur carrière par un concert à Hambourg</t>
  </si>
  <si>
    <t>RWF retourne à Munich et contitnue d'écire,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</si>
  <si>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</si>
  <si>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</si>
  <si>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</si>
  <si>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</si>
  <si>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</si>
  <si>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RWF s'inscrit à l'école d'art dramatique Fridl Loeonhard</t>
  </si>
  <si>
    <t>Rejoint l'Action-Theater (1967).</t>
  </si>
  <si>
    <t>Petit chaos, court-métrage</t>
  </si>
  <si>
    <t xml:space="preserve">Premier film accueili froidement à Berlin. Le second,une critique de la xénophobie et de l'apathie bourgeoise,  remporte 5 distinctions cinématographiques en Allemagne. Le coût de production de 80000 marks est largement couvert : avec 650000 malrs de prix et 200000 marks de subventions a posteri, le film assure à RWF de quoi poursuivre son travail pour quelques années. </t>
  </si>
  <si>
    <t>Fondation du Filmverlag der Autoren (1971), une société indépendante, par quelques cinéastes dont RWF. La société est d'abord autogérée.
Accords Film-Télévision (1974) favorisant les coproductions (WDR).</t>
  </si>
  <si>
    <t>Liaison avec El Hedi ben Salem. Direction du TAT à Francfort. Collaboration avec le caméraman Michael Ballhaus. Succès international.</t>
  </si>
  <si>
    <t>Whity
Prenez garde à la sainte putain
Pionniers à Ingolstadt - Téléfilm</t>
  </si>
  <si>
    <t>Si RWF ne renonce pas à l'expérimentation l'attention qu'il porte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oeuvre sentiment et distanciation réflexive, échappant à la seule création de cas sociaux.</t>
  </si>
  <si>
    <t>"Il m'est impossible de comprende qu'on puisse travailler avec un outil comme la caméra en ne se souciant pas du spectateur", interview avec Norbert Sparrow, in Cinéste, WIII/2 automne 1977</t>
  </si>
  <si>
    <t>Maria_braun.jpeg</t>
  </si>
  <si>
    <t>Effi Briest permet à RWF d'obtenir une reconnaissance plus large en Allemagne, qui tempère sa réputation d'enfant terrible du cinéma</t>
  </si>
  <si>
    <t>Fassbinder_fox.jpeg</t>
  </si>
  <si>
    <t xml:space="preserve"> </t>
  </si>
  <si>
    <t>M. Klein de Joseph Losey</t>
  </si>
  <si>
    <t xml:space="preserve">RFW devient actionnaire du Filmverlag der Autoren. 
</t>
  </si>
  <si>
    <t>Femmes à New York  -Téléfilm
La femme du chef de gare  - Téléfilm</t>
  </si>
  <si>
    <t xml:space="preserve">Dans "devoir de l'avoir - avoir du devoir" un article repris dans Les films libèrent la tête, RWF revient sur le roman de Freytag  et son projet empêché .  Son propos marque la conscience précoce du cinéaste de l'antisémitisme  cosncient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</si>
  <si>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cinémétographique et sa réflexion politique. Même les films dont l'action se situent avant 1945 sont à envisager comme "une archéologie de la société allemande d'après-guerre" (Elsaesser, p. 34)</t>
  </si>
  <si>
    <t xml:space="preserve">Holocaust, une serie eveille les consciences|https://www.ina.fr/ina-eclaire-actu/video/s1313279_001/1979-une-serie-eveille-les-consciences-sur-la-shoah; </t>
  </si>
  <si>
    <t>La première diffusion de Berlin Alexander Platz à la télévision déclenche une violente campagne de haine contre le réalisateur. Le journaliste Klaus Eder qualifie l'oeuvre de "mastubations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</si>
  <si>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t>RWF parvient à évincer Werner Schroeter qui souhaitait réaliser une adaptation de Querelle de Jean Genet.  Mort de Fassbinder marquant symboliquement la fin du Nouveau Cinéma Allemand.</t>
  </si>
  <si>
    <t>Catégorie</t>
  </si>
  <si>
    <t>Référence bibliographique</t>
  </si>
  <si>
    <t>Usage dans la frise</t>
  </si>
  <si>
    <t>Lien</t>
  </si>
  <si>
    <t>Histoire allemande</t>
  </si>
  <si>
    <r>
      <rPr>
        <i/>
        <sz val="409.55"/>
        <color rgb="FF000000"/>
        <rFont val="Arial"/>
        <family val="2"/>
      </rPr>
      <t>R. W. Fassbinder, cinéaste d’Allemagne</t>
    </r>
    <r>
      <rPr>
        <sz val="409.55"/>
        <color rgb="FF000000"/>
        <rFont val="Aptos"/>
      </rPr>
      <t>, de Thomas Elsaesser, Centre Pompidou, 2005</t>
    </r>
    <r>
      <rPr>
        <i/>
        <sz val="409.55"/>
        <color rgb="FF000000"/>
        <rFont val="Aptos"/>
      </rPr>
      <t>, pp. 490-507</t>
    </r>
  </si>
  <si>
    <t>Repères historiques, chronologie politique</t>
  </si>
  <si>
    <t>Fassbinder</t>
  </si>
  <si>
    <r>
      <rPr>
        <i/>
        <sz val="409.55"/>
        <color rgb="FF000000"/>
        <rFont val="Arial"/>
        <family val="2"/>
      </rPr>
      <t>R. W. Fassbinder, cinéaste d’Allemagne</t>
    </r>
    <r>
      <rPr>
        <sz val="409.55"/>
        <color rgb="FF000000"/>
        <rFont val="Aptos"/>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</si>
  <si>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</si>
  <si>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</si>
  <si>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</si>
  <si>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</si>
  <si>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</si>
  <si>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</si>
  <si>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</si>
  <si>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</si>
  <si>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</si>
  <si>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</si>
  <si>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</si>
  <si>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</si>
  <si>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</si>
  <si>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</si>
  <si>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</si>
  <si>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</si>
  <si>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</si>
  <si>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</si>
  <si>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</si>
  <si>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</si>
  <si>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</si>
  <si>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</si>
  <si>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</si>
  <si>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</si>
  <si>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</si>
  <si>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</si>
  <si>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</si>
  <si>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</si>
  <si>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</si>
  <si>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</si>
  <si>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</si>
  <si>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</si>
  <si>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</si>
  <si>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</si>
  <si>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</si>
  <si>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</si>
  <si>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</si>
  <si>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</si>
  <si>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</si>
  <si>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</si>
  <si>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</si>
  <si>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</si>
  <si>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</si>
  <si>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</si>
  <si>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</si>
  <si>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</si>
  <si>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</si>
  <si>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</si>
  <si>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</si>
  <si>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</si>
  <si>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</si>
  <si>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</si>
  <si>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</si>
  <si>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</si>
  <si>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</si>
  <si>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</si>
  <si>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</si>
  <si>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</si>
  <si>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</si>
  <si>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</si>
  <si>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</si>
  <si>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</si>
  <si>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</si>
  <si>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</si>
  <si>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</si>
  <si>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</si>
  <si>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</si>
  <si>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</si>
  <si>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</si>
  <si>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</si>
  <si>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</si>
  <si>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</si>
  <si>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</si>
  <si>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</si>
  <si>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</si>
  <si>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</si>
  <si>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</si>
  <si>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</si>
  <si>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</si>
  <si>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</si>
  <si>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</si>
  <si>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</si>
  <si>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</si>
  <si>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</si>
  <si>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</si>
  <si>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</si>
  <si>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</si>
  <si>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</si>
  <si>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</si>
  <si>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</si>
  <si>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</si>
  <si>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</si>
  <si>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</si>
  <si>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</si>
  <si>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</si>
  <si>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</si>
  <si>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</si>
  <si>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</si>
  <si>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</si>
  <si>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</si>
  <si>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Capitulation du Troisième Reich (mai). L'Allemagne est en ruines (Année Zéro). Début de l'occupation alliée et de l'amnésie collective sur le passé nazi. Le pays et berlin sont partagés en zone sous contrôle des différentes forces alliées.
L’« heure zéro » désigne moins une rupture absolue qu’une société de l’effondrement : destructions, déplacements, pertes humaines et continuités avec le personnel du régime précédent. L’occupation alliée engage simultanément division territoriale, dénazification, démilitarisation et apprentissage démocratique, tandis que Nuremberg fonde de nouvelles catégories de justice internationale.</t>
  </si>
  <si>
    <t>Le cinéma est en ruines. Période des films de décombres ( Trümmerfilme ) comme Les assassins sont parmi nous (Staudte, 1946).
La reconstruction culturelle est pensée comme une rééducation. Presse, édition, radio et cinéma renaissent sous le contrôle des puissances occupantes ; œuvres interdites et artistes exilés retrouvent une place publique. L’esthétique des ruines met en scène la catastrophe matérielle et morale.</t>
  </si>
  <si>
    <t>Création de la RFA (1949). Ère Adenauer. Miracle économique ( Wirtschaftswunder )  entre 1950 et 1965 l'économie ouest-allemande croît de 8,2% en moyenne (contre 5% en France pendant les 30 glorieuses). La coccinelle de Wolkswagen devient l'emblème du "miracle économique". Les entreprise de taille moyenne constituent la colonne vertébrale de la puissance économique allemande en fournissant les outils spécialisés nécessaires à l'industrie. 
Parallèmement, l'état  développe une politique sociale conservatrice. Réarmement de la RFA (1955).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t>
  </si>
  <si>
    <t>Domination du "cinéma de papa" ( Papas Kino ) : films de terroir ( Heimatfilm ), comédies légères dépolitisées, films en costumes , comédies musicales obitennent toujours les faveurs du public. Ces genres nés dans les années 10 et 20 ont été très exploités par les nazis.
Freddy Quinn, Rocco Granata ou Catharina Valente sont les stars de la culture populaire allemande. 
Il n'existe presque aucun film allemand des années 50 et 60 qui traite des camps de concentration nazis. Le cinéma allemand de la période s'intéresse peu à l'histoire.
Sous l’apparente dépolitisation du Schlager, du Heimatfilm 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t>
  </si>
  <si>
    <t>Manifeste d'Oberhausen (1962) : naissance du Nouveau Cinéma Allemand. Une nouvelle génération de cinéastes s'affirme et conquiert son indépendance notamment par la création de structures de production indépendantes. Fondation de l'école de cinéma DFFB à Berlin (1966).
Cette génération incarne le phénomène de la "société sans père" et "la crise du patriarcat". L'absence ou la défaillance des pères devient un thème récurrent du Nouveau Cinéma allemand.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t>
  </si>
  <si>
    <t>Mouvements étudiants de 1968. Tentative d'assassinat contre Rudi Dutschke. Victoire de Willy Brandt (SPD, 1969). Abrogation partielle de l'article 175 (homosexualité).
De la mort de Benno Ohnesorg à l’adoption des lois d’exception, la contestation étudiante dénonce la guerre du Vietnam, les continuités autoritaires et le refoulement du nazisme. L’arrivée de Willy Brandt, l’Ostpolitik et la réforme du paragraphe 175 ouvrent une phase de réformes, tandis qu’une minorité choisit la clandestinité armée et fonde la RAF.</t>
  </si>
  <si>
    <t>La redécouverte de l’École de Francfort, Le Deuil impossible et la circulation de modèles venus de la Nouvelle Vague, du théâtre d’avant-garde et de la culture rock font de la critique des institutions, de la famille et des représentations un enjeu esthétique autant que politique.</t>
  </si>
  <si>
    <t>Terrorisme de la RAF (arrestations en 1972). Attentat des JO de Munich (1972). Démission de Willy Brandt (1974) suite à l'affaire Guillaume.
L’Ostpolitik aboutit à la reconnaissance mutuelle des deux Allemagne, mais la période est aussi marquée par les attentats et l’arrestation de la première génération de la RAF, le choc pétrolier, la fin du recrutement des Gastarbeiter et la démission de Willy Brandt. La crise économique et le terrorisme infléchissent le climat réformateur.</t>
  </si>
  <si>
    <t>Fondation du Filmverlag der Autoren (1971). Accords Film-Télévision (1974) favorisant les coproductions (WDR).
Plusieurs cinéastes allemands ( Schlöndorff, Herzog notamment) réalisent des charges politiques violentes contre la politique et la société allemande. Pourtant l'amnnésie historique se poursuit dans le cinéma allemand de fiction. Seuls des documentaires s'emparent de l'histoire du nazisme.
A parti de 1968 l'industrie du cinéma commercial allemand agonise
Le cinéma s’appuie sur de nouvelles structures indépendantes et sur la télévision, alors que les cinéastes interrogent plus frontalement l’histoire, la violence et les contradictions de la société ouest-allemande. Les genres populaires deviennent des instruments de distanciation critique.</t>
  </si>
  <si>
    <t>Tensions sociales et crises du logement (Westend). Débats sur la visibilité des minorités. Lois limitant les libertés civiles.
Procès, enlèvements, prises d’otages et morts en détention installent la RAF au centre du débat public. Les réponses judiciaires et sécuritaires renforcent les tensions autour des libertés civiles, tandis que les réformes de société, notamment sur l’avortement, demeurent limitées et conflictuelles.</t>
  </si>
  <si>
    <t>Automne Allemand (1977) : enlèvement de Schleyer, détournement du Landshut, morts à Stammheim.
L’Automne allemand concentre l’affrontement entre la RAF et l’État : assassinats, enlèvement de Schleyer, détournement du Landshut et morts de Stammheim. À la fin de la décennie, le retour des tensions Est-Ouest relance les mobilisations pacifistes.</t>
  </si>
  <si>
    <t>Le cinéma allemand s'empare de son histoire passée et récente et réfléchit aux problèmes de représentation qu'elle pose. Film collectif L'Allemagne en automne (1978). La diffusion de la série Holocaust de Marvin J. Chomsky (1979) à la télévision allemande suscite des débats importants, auxquels participent des cinéastes comme Syberberg ou Edgard Reitz. Le mouvement du Nouveau Cinéma allemand atteint son apogée thématique et politique.
La représentation de l’histoire récente et du nazisme devient un enjeu central. L’Allemagne en automne, Hitler, un film d’Allemagne puis la diffusion de Holocaust confrontent cinéma et télévision aux limites du témoignage, au sentimentalisme, à la mémoire collective et à la capacité des images populaires à rouvrir le passé.</t>
  </si>
  <si>
    <t>Fondation des Verts (1980). Manifestations écologistes. Fin de l'ère sociale-libérale.
Les mouvements écologistes, féministes et pacifistes se structurent avec la fondation des Verts et les grandes mobilisations contre la course aux armements. Ils reconfigurent un système politique jusque-là dominé par trois partis.</t>
  </si>
  <si>
    <t>Le cinéma allemand poursuit son travail sur la mémoire familiale et nationale, notamment avec Allemagne mère blafarde et le projet Heimat. La télévision devient un lieu majeur pour les récits historiques de longue durée.</t>
  </si>
  <si>
    <t>Mort de Fassbinder marquant symboliquement la fin du Nouveau Cinéma Allemand.
La mort de Fassbinder symbolise l’épuisement du Nouveau Cinéma allemand comme mouvement collectif, au moment où ses principaux enjeux — histoire nationale, mémoire, culture populaire et télévision — se déplacent vers de nouvelles formes.</t>
  </si>
  <si>
    <t>Les alliés aident à la relance de médias d'information et promeuvent une nouvelle politique éducative. 
Les alliés organisent un vaste programme de démocratisation, décartellisation, démilatarisation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</si>
  <si>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</si>
  <si>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Fondation de la DEFA (Deutsch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</si>
  <si>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</si>
  <si>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A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</si>
  <si>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Création de l'OTAN. Création de la RFA. Konrad Adenauer est élu chancelier fédéral avec une courte majorité. La division de l'Allemande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</si>
  <si>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</si>
  <si>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</si>
  <si>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</si>
  <si>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</si>
  <si>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</si>
  <si>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</si>
  <si>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</si>
  <si>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t>Le premier accord de recrutement de travailleurs étrangers est signé avec l’Italie : il inaugure le système des Gastarbeiter, indispensable à la croissance industrielle ouest-allemande.</t>
  </si>
  <si>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</si>
  <si>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t>Construction du Mur de Berlin (1961). Adenauer est rééel 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</si>
  <si>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Visite de J.F Kennedy à Berlin-ouest : "ich bin ein Berliner". 
Procès d'Auschwitz à Francfort (1963-1965)
Démission d'Adenauer à 87 ans. Ludwijg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</si>
  <si>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</si>
  <si>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t>
  </si>
  <si>
    <t>La pièce outrage au public du dramaturge allemand Peter Handke témoigne du goût de l'avant-garde  artistique subentionnée pour une forme de provocation à l'égard du public, manière paradoxale de s'affranchir de la tutelle culturelle dont ils bénéficient.
La publication du Journal de Spandau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</si>
  <si>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</si>
  <si>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t>Une majorité sociale-libérale place Willy Brandt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</si>
  <si>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t>Le premier choc pétrolier met fin à la haute croissance et entraîne l’arrêt du recrutement de Gastarbeiter. Cette décision favorise ensuite l’installation durable des travailleurs déjà présents et le regroupement familial.</t>
  </si>
  <si>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</si>
  <si>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La détente internationale s’essouffle : reprise de la course aux armements et redéploiement des armes conventionnelles et nucléaires. Les mouvements pacifistes retrouvent une forte capacité de mobilisation.</t>
  </si>
  <si>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</si>
  <si>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t>Une grande manifestation organisée à Bonn contre la course aux armements confirme l’importance du pacifisme dans la société ouest-allemande.</t>
  </si>
  <si>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</si>
  <si>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r>
      <rPr>
        <sz val="10"/>
        <color rgb="FF000000"/>
        <rFont val="Arial"/>
        <family val="2"/>
      </rPr>
      <t xml:space="preserve">L'œuvre de Fassbinder proposera plus tard une radiographie critique de ce "point zéro" de la nouvelle Allemagne, notamment dans </t>
    </r>
    <r>
      <rPr>
        <i/>
        <sz val="10"/>
        <color rgb="FF000000"/>
        <rFont val="Arial"/>
        <family val="2"/>
      </rPr>
      <t>Le mariage de Maria Braun</t>
    </r>
  </si>
  <si>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</si>
  <si>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r>
      <rPr>
        <i/>
        <sz val="10"/>
        <color theme="1"/>
        <rFont val="Aptos Narrow"/>
      </rPr>
      <t>Le bouc</t>
    </r>
    <r>
      <rPr>
        <sz val="10"/>
        <color theme="1"/>
        <rFont val="Aptos Narrow"/>
      </rPr>
      <t xml:space="preserve"> est un tournant  tant en termes de reconnaissance que du point de vue économique. Le film aborde des problématiques contemporaines (sort des travailleurs immigrés) et des thématiques chères à RWF (l'univers étriqué de la bourgeoisie, en particulière bavaroise). </t>
    </r>
  </si>
  <si>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mise en place à l'initiative des Etats-Unis et de la Grande-Bretagne.
Dans les zones occidentales, la dénazification est déclarée achevée : de nombreux individus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</si>
  <si>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r>
      <t>Le film de Rossellini</t>
    </r>
    <r>
      <rPr>
        <i/>
        <sz val="10"/>
        <color rgb="FF000000"/>
        <rFont val="Arial"/>
        <family val="2"/>
      </rPr>
      <t xml:space="preserve"> Allemagne année zéro</t>
    </r>
    <r>
      <rPr>
        <sz val="10"/>
        <color rgb="FF000000"/>
        <rFont val="Arial"/>
        <family val="2"/>
      </rPr>
      <t xml:space="preserve"> offre une vision réaliste et critique de l'Allemagne en ruine
Revenu d’exil, Bertolt Brecht se voit refuser par les Alliés occidentaux l’autorisation de s’installer en RFA ; cette trajectoire annonce la polarisation culturelle entre les deux Allemagne.</t>
    </r>
  </si>
  <si>
    <r>
      <t xml:space="preserve">Le cinéma est en ruines. Premières projection des </t>
    </r>
    <r>
      <rPr>
        <i/>
        <sz val="10"/>
        <color theme="1"/>
        <rFont val="Arial"/>
        <family val="2"/>
      </rPr>
      <t>Moulins de la mort</t>
    </r>
    <r>
      <rPr>
        <sz val="10"/>
        <color theme="1"/>
        <rFont val="Arial"/>
        <family val="2"/>
      </rPr>
      <t xml:space="preserve">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r>
  </si>
  <si>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xml:space="preserve">. Thomas Mann donne des conférences  en Allemagne de l'ouest et en République démocratique (voir le film de Pavel Pwalikoscki </t>
    </r>
    <r>
      <rPr>
        <i/>
        <sz val="10"/>
        <color rgb="FF000000"/>
        <rFont val="Arial"/>
        <family val="2"/>
      </rPr>
      <t xml:space="preserve">Fatherland </t>
    </r>
    <r>
      <rPr>
        <sz val="10"/>
        <color rgb="FF000000"/>
        <rFont val="Arial"/>
        <family val="2"/>
      </rPr>
      <t>(2026))
Le retour d’exil d’Adorno et de Horkheimer contribue à la refondation intellectuelle de la RFA et prépare l’influence ultérieure de l’École de Francfort. Brecht choisit au contraire de s’installer en RDA.</t>
    </r>
  </si>
  <si>
    <r>
      <t xml:space="preserve">Jean Vilar présente à Berlin-Ouest </t>
    </r>
    <r>
      <rPr>
        <i/>
        <sz val="10"/>
        <color theme="1"/>
        <rFont val="Arial"/>
        <family val="2"/>
      </rPr>
      <t xml:space="preserve">Le Prince de Hombourg </t>
    </r>
    <r>
      <rPr>
        <sz val="10"/>
        <color theme="1"/>
        <rFont val="Arial"/>
        <family val="2"/>
      </rPr>
      <t xml:space="preserve">de Kleist, créé à Avignon, avec un immense succès. Le TNP accueille également </t>
    </r>
    <r>
      <rPr>
        <i/>
        <sz val="10"/>
        <color theme="1"/>
        <rFont val="Arial"/>
        <family val="2"/>
      </rPr>
      <t>Mère Courage</t>
    </r>
    <r>
      <rPr>
        <sz val="10"/>
        <color theme="1"/>
        <rFont val="Arial"/>
        <family val="2"/>
      </rPr>
      <t xml:space="preserve"> de Brecht : les échanges théâtraux participent au retour de l’Allemagne dans la vie culturelle européenne.</t>
    </r>
  </si>
  <si>
    <r>
      <t xml:space="preserve">Première émission de télévision dans le nord et l'ouest de la RFA
Dans </t>
    </r>
    <r>
      <rPr>
        <i/>
        <sz val="10"/>
        <color theme="1"/>
        <rFont val="Arial"/>
        <family val="2"/>
      </rPr>
      <t>Les Cerises de la liberté</t>
    </r>
    <r>
      <rPr>
        <sz val="10"/>
        <color theme="1"/>
        <rFont val="Arial"/>
        <family val="2"/>
      </rPr>
      <t>, Alfred Andersch raconte sa désertion de la Wehrmacht en 1944. Cette œuvre de la « littérature des ruines », mal reçue en RFA, témoigne des difficultés à élaborer publiquement l’expérience de la guerre.</t>
    </r>
  </si>
  <si>
    <r>
      <t xml:space="preserve">succès populaire du drame historique Sissi </t>
    </r>
    <r>
      <rPr>
        <sz val="10"/>
        <color rgb="FF000000"/>
        <rFont val="Arial"/>
        <family val="2"/>
      </rPr>
      <t xml:space="preserve">d'Ernst Marischka avec Romy Schneider et Karlheinz Böhm, qui deviendra un acteur récurrent du cinéma de Fassbinder </t>
    </r>
  </si>
  <si>
    <r>
      <rPr>
        <i/>
        <sz val="10"/>
        <color rgb="FF000000"/>
        <rFont val="Arial"/>
        <family val="2"/>
      </rPr>
      <t>L'opéra de quat'sous</t>
    </r>
    <r>
      <rPr>
        <sz val="10"/>
        <color rgb="FF000000"/>
        <rFont val="Arial"/>
        <family val="2"/>
      </rPr>
      <t xml:space="preserve"> de Brecht (1928) est diffusé à la télévision est obient un taux d'audience de 81,2%. 
L'appel à boycotter les pièces de Brecht est refusé par la plupart des théâtres ouest-allemands. </t>
    </r>
  </si>
  <si>
    <r>
      <rPr>
        <sz val="10"/>
        <color rgb="FF000000"/>
        <rFont val="Arial"/>
        <family val="2"/>
      </rPr>
      <t xml:space="preserve">La vogue du </t>
    </r>
    <r>
      <rPr>
        <i/>
        <sz val="10"/>
        <color rgb="FF000000"/>
        <rFont val="Arial"/>
        <family val="2"/>
      </rPr>
      <t xml:space="preserve">hula-hoop </t>
    </r>
    <r>
      <rPr>
        <sz val="10"/>
        <color rgb="FF000000"/>
        <rFont val="Arial"/>
        <family val="2"/>
      </rPr>
      <t>déferle sur l'Allemagne</t>
    </r>
  </si>
  <si>
    <r>
      <rPr>
        <sz val="10"/>
        <color rgb="FF000000"/>
        <rFont val="Arial"/>
        <family val="2"/>
      </rPr>
      <t xml:space="preserve">Fin de la série télévisée </t>
    </r>
    <r>
      <rPr>
        <i/>
        <sz val="10"/>
        <color rgb="FF000000"/>
        <rFont val="Arial"/>
        <family val="2"/>
      </rPr>
      <t xml:space="preserve">Die familie Schölermann </t>
    </r>
    <r>
      <rPr>
        <sz val="10"/>
        <color rgb="FF000000"/>
        <rFont val="Arial"/>
        <family val="2"/>
      </rPr>
      <t xml:space="preserve">(111 épisodes depuis 1954), extrêmement populaire (70% à 90% d'audience). Elle est remplacée par un nouveau feuilleton </t>
    </r>
    <r>
      <rPr>
        <i/>
        <sz val="10"/>
        <color rgb="FF000000"/>
        <rFont val="Arial"/>
        <family val="2"/>
      </rPr>
      <t>Die Firma Hesselbach</t>
    </r>
  </si>
  <si>
    <r>
      <rPr>
        <sz val="10"/>
        <color theme="1"/>
        <rFont val="Arial"/>
        <family val="2"/>
      </rPr>
      <t xml:space="preserve">Les œuvres de Fassbinder témoignent de l'influence du Rock'nRoll sur la culture populaire ouest-allemande, notamment dans </t>
    </r>
    <r>
      <rPr>
        <i/>
        <sz val="10"/>
        <color theme="1"/>
        <rFont val="Arial"/>
        <family val="2"/>
      </rPr>
      <t xml:space="preserve">huit heures ne font pas un jour. </t>
    </r>
  </si>
  <si>
    <r>
      <rPr>
        <sz val="10"/>
        <color rgb="FF000000"/>
        <rFont val="Arial"/>
        <family val="2"/>
      </rPr>
      <t xml:space="preserve">Jean-Marie Straub sort son premier court-métrage, </t>
    </r>
    <r>
      <rPr>
        <i/>
        <sz val="10"/>
        <color rgb="FF000000"/>
        <rFont val="Arial"/>
        <family val="2"/>
      </rPr>
      <t>Machorka Muff,</t>
    </r>
    <r>
      <rPr>
        <sz val="10"/>
        <color rgb="FF000000"/>
        <rFont val="Arial"/>
        <family val="2"/>
      </rPr>
      <t xml:space="preserve"> d'après un roman d'Heinrich Böll.
Création de la deuxième chaîne de télévision ouest-allemande, la ZDF.
Hannah Arendt, qui a suivi le procès d'Eichmann pour la revue Le New-Yorke</t>
    </r>
    <r>
      <rPr>
        <i/>
        <sz val="10"/>
        <color rgb="FF000000"/>
        <rFont val="Arial"/>
        <family val="2"/>
      </rPr>
      <t>r</t>
    </r>
    <r>
      <rPr>
        <sz val="10"/>
        <color rgb="FF000000"/>
        <rFont val="Arial"/>
        <family val="2"/>
      </rPr>
      <t xml:space="preserve">,  publie </t>
    </r>
    <r>
      <rPr>
        <i/>
        <sz val="10"/>
        <color rgb="FF000000"/>
        <rFont val="Arial"/>
        <family val="2"/>
      </rPr>
      <t>Eichmann à Jérusalem : Rapport sur la banalité du mal</t>
    </r>
    <r>
      <rPr>
        <sz val="10"/>
        <color rgb="FF000000"/>
        <rFont val="Arial"/>
        <family val="2"/>
      </rPr>
      <t xml:space="preserve">
Alexander Mitscherlich publie</t>
    </r>
    <r>
      <rPr>
        <i/>
        <sz val="10"/>
        <color rgb="FF000000"/>
        <rFont val="Arial"/>
        <family val="2"/>
      </rPr>
      <t xml:space="preserve"> La société sans père </t>
    </r>
    <r>
      <rPr>
        <sz val="10"/>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entraine l'expression, plus ou moins anarchique et violente, des forces pulsionnelles négatives. celles-ci sont le fait d'une autorité sociale dont les contraintes paraissent de plus en plus absurdes et répressives puisqu'elles ne sont plus intégrées par l'identificaion à une figure individuelle affective. </t>
    </r>
  </si>
  <si>
    <r>
      <rPr>
        <sz val="10"/>
        <color rgb="FF000000"/>
        <rFont val="Arial"/>
        <family val="2"/>
      </rPr>
      <t xml:space="preserve">Réalise ses premiers courts métrages : </t>
    </r>
    <r>
      <rPr>
        <i/>
        <sz val="10"/>
        <color rgb="FF000000"/>
        <rFont val="Arial"/>
        <family val="2"/>
      </rPr>
      <t>This Night</t>
    </r>
    <r>
      <rPr>
        <sz val="10"/>
        <color rgb="FF000000"/>
        <rFont val="Arial"/>
        <family val="2"/>
      </rPr>
      <t xml:space="preserve"> (1966) et </t>
    </r>
    <r>
      <rPr>
        <i/>
        <sz val="10"/>
        <color rgb="FF000000"/>
        <rFont val="Arial"/>
        <family val="2"/>
      </rPr>
      <t xml:space="preserve">Le Clochard </t>
    </r>
    <r>
      <rPr>
        <sz val="10"/>
        <color rgb="FF000000"/>
        <rFont val="Arial"/>
        <family val="2"/>
      </rPr>
      <t>(1966). Confrontation de la mémoire de la Shoah.</t>
    </r>
  </si>
  <si>
    <r>
      <rPr>
        <i/>
        <sz val="10"/>
        <color rgb="FF000000"/>
        <rFont val="Arial"/>
        <family val="2"/>
      </rPr>
      <t>Les damnés</t>
    </r>
    <r>
      <rPr>
        <sz val="10"/>
        <color rgb="FF000000"/>
        <rFont val="Arial"/>
        <family val="2"/>
      </rPr>
      <t>, mélodrame de Visconti, travaille à interroger le régime nazi et sla manière dont l'imagerie nazie, qui érotise de manière spectaculaire le pouvoir, contamine moralement les esprits. L'éloignement du néoréalisme est maximal.</t>
    </r>
  </si>
  <si>
    <r>
      <rPr>
        <i/>
        <sz val="10"/>
        <color rgb="FF000000"/>
        <rFont val="Arial"/>
        <family val="2"/>
      </rPr>
      <t>L'amour est plus froid que la mort
Le Bouc (</t>
    </r>
    <r>
      <rPr>
        <sz val="10"/>
        <color rgb="FF000000"/>
        <rFont val="Arial"/>
        <family val="2"/>
      </rPr>
      <t>succès à Mannheim) : critique de la xénophobie et de l'apathie bourgeoise.</t>
    </r>
  </si>
  <si>
    <r>
      <rPr>
        <i/>
        <sz val="10"/>
        <color rgb="FF000000"/>
        <rFont val="Arial"/>
        <family val="2"/>
      </rPr>
      <t>Les dieux de la peste
Pourquoi M. R. est-il atteint de folie meurtrière ?
Le soldat américain</t>
    </r>
    <r>
      <rPr>
        <sz val="10"/>
        <color rgb="FF000000"/>
        <rFont val="Arial"/>
        <family val="2"/>
      </rPr>
      <t xml:space="preserve">
</t>
    </r>
    <r>
      <rPr>
        <i/>
        <sz val="10"/>
        <color rgb="FF000000"/>
        <rFont val="Arial"/>
        <family val="2"/>
      </rPr>
      <t>Le Voyage à Niklashausen - Téléfilm
Rio das mortes
Le café -</t>
    </r>
    <r>
      <rPr>
        <sz val="10"/>
        <color rgb="FF000000"/>
        <rFont val="Arial"/>
        <family val="2"/>
      </rPr>
      <t xml:space="preserve">Téléfilm tiré d'une création théâtrale de Peer Raben et RWF
</t>
    </r>
  </si>
  <si>
    <r>
      <t xml:space="preserve">Dans </t>
    </r>
    <r>
      <rPr>
        <i/>
        <sz val="10"/>
        <color theme="1"/>
        <rFont val="Arial"/>
        <family val="2"/>
      </rPr>
      <t>Le Pain des jeunes années</t>
    </r>
    <r>
      <rPr>
        <sz val="10"/>
        <color theme="1"/>
        <rFont val="Arial"/>
        <family val="2"/>
      </rPr>
      <t>, Heinrich Böll décrit le bouleversement provoqué par le passage brutal des privations de l’après-guerre à l’abondance du boom économique.</t>
    </r>
  </si>
  <si>
    <t>Adenauer fête ses 80 ans. 
Le KDP, parti communiste ouest-allemand, est interdit et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</si>
  <si>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t xml:space="preserve">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Les mouvements pacifistes dénoncent la remilitarisation et mènent campagne contre l’armement nucléaire.
Willy Brandt devient maire de Berlin-Ouest et associe étroitement la communauté juive à la vie de la ville. Une loi organise l’indemnisation des biens spoliés par les nazis.
</t>
  </si>
  <si>
    <t>Le constructeur automobile Volkswagen est privatisé à hauteur de 60% de son capital. 78% des ménages ouest-allemands disposent d'un réfrigérateur contre 25% en France. 42% possèdent une voiture. La société de consommation de masse est une réalité en RFA.
Adolf Eichamnn, criminel de guerre nazi, est extradé en Israel.
La RFA atteint le plein emploi et signe de nouveaux accords de recrutement avec la Grèce et l’Espagne. La croissance et l’immigration de travail deviennent deux dimensions indissociables du modèle ouest-allemand.</t>
  </si>
  <si>
    <t>Construction du Mur de Berlin (1961). Procès d'Auschwitz à Francfort (1963-1965). Démission d'Adenauer. Grande Coalition (1966).
Le Mur matérialise la division allemande, tandis que les procès Eichmann et d’Auschwitz replacent les crimes nazis au centre du débat public. La fin de l’ère Adenauer et la Grande Coalition accompagnent l’émergence d’une nouvelle génération nombreuse, plus critique envers les institutions et l’autorité.</t>
  </si>
  <si>
    <t xml:space="preserve">Mouvements étudiants de 1968. Tentative d'assassinat contre Rudi Dutschke, marxiste et  figure de l’opposition étudiante. Victoire de Willy Brandt (SPD, 1969). Abrogation partielle de l'article 175 (homosexualité).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Beate Klarsfeld, une militante de la mémoire qui vient d’être licenciée en France de l’office Franco-allemand de la jeunesse pour son activisme, gifle le chancelier Kiesinger
À l’Est, l’écrasement du Printemps de Prague dissipe les espoirs d’un « socialisme à visage humain ». </t>
  </si>
  <si>
    <t>Le chancelier Willy Brandt se rend en Pologne et s'agenouille devant le mémorial du ghetto de Varsovie.Le geste de Willy Brandt s'acccompagne de la reconnaissance de la frontière Oder-Neisse avec la Pologne.
L’abaissement de la majorité électorale à 18 ans reconnaît  et intègre la politisation de la jeunesse.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</si>
  <si>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r>
      <t xml:space="preserve">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t>
    </r>
    <r>
      <rPr>
        <i/>
        <sz val="10"/>
        <color theme="1"/>
        <rFont val="Arial"/>
        <family val="2"/>
      </rPr>
      <t>Le Concept de guérilla urbaine</t>
    </r>
    <r>
      <rPr>
        <sz val="10"/>
        <color theme="1"/>
        <rFont val="Arial"/>
        <family val="2"/>
      </rPr>
      <t>. Une vaste opération d'arrestation vise ses membres ; Petra Schelm est tuée par la police et deux policiers meurent à l’automne.</t>
    </r>
  </si>
  <si>
    <t>Le traité fondamental organise la reconnaissance mutuelle de la RFA et de la RDA.
La RAF mène une série d’attentats contre l’armée américaine, la police, un juge et le groupe de presse Springer : quatre personnes sont tuées et des dizaines blessées. Baader, Ensslin, Meinhof, Raspe et plusieurs autres membres sont arrêtés en juin.</t>
  </si>
  <si>
    <r>
      <rPr>
        <i/>
        <sz val="10"/>
        <color rgb="FF000000"/>
        <rFont val="Arial"/>
        <family val="2"/>
      </rPr>
      <t xml:space="preserve">Le Marchand des quatre saisons
Les larmes amères de Petra von Kant
Liberté à Brême </t>
    </r>
    <r>
      <rPr>
        <sz val="10"/>
        <color rgb="FF000000"/>
        <rFont val="Arial"/>
        <family val="2"/>
      </rPr>
      <t>- Téléfilm</t>
    </r>
    <r>
      <rPr>
        <i/>
        <sz val="10"/>
        <color rgb="FF000000"/>
        <rFont val="Arial"/>
        <family val="2"/>
      </rPr>
      <t xml:space="preserve">
Huit heures ne font pas un jour </t>
    </r>
    <r>
      <rPr>
        <sz val="10"/>
        <color rgb="FF000000"/>
        <rFont val="Arial"/>
        <family val="2"/>
      </rPr>
      <t xml:space="preserve"> - série</t>
    </r>
  </si>
  <si>
    <r>
      <rPr>
        <i/>
        <sz val="10"/>
        <color rgb="FF000000"/>
        <rFont val="Arial"/>
        <family val="2"/>
      </rPr>
      <t>Portier de nuit</t>
    </r>
    <r>
      <rPr>
        <sz val="10"/>
        <color rgb="FF000000"/>
        <rFont val="Arial"/>
        <family val="2"/>
      </rPr>
      <t xml:space="preserve"> de Liliana Cavani</t>
    </r>
  </si>
  <si>
    <r>
      <rPr>
        <i/>
        <sz val="10"/>
        <color rgb="FF000000"/>
        <rFont val="Arial"/>
        <family val="2"/>
      </rPr>
      <t xml:space="preserve">Gibier de passage </t>
    </r>
    <r>
      <rPr>
        <sz val="10"/>
        <color rgb="FF000000"/>
        <rFont val="Arial"/>
        <family val="2"/>
      </rPr>
      <t>-Téléfilm</t>
    </r>
    <r>
      <rPr>
        <i/>
        <sz val="10"/>
        <color rgb="FF000000"/>
        <rFont val="Arial"/>
        <family val="2"/>
      </rPr>
      <t xml:space="preserve">
Le monde sur un fil</t>
    </r>
    <r>
      <rPr>
        <sz val="10"/>
        <color rgb="FF000000"/>
        <rFont val="Arial"/>
        <family val="2"/>
      </rPr>
      <t xml:space="preserve"> - Téléfilm en parties</t>
    </r>
  </si>
  <si>
    <r>
      <rPr>
        <i/>
        <sz val="10"/>
        <color rgb="FF000000"/>
        <rFont val="Arial"/>
        <family val="2"/>
      </rPr>
      <t xml:space="preserve">Effi Briest
Martha - Téléfilm
Tous les autres s'appellent Ali
Noral Helmer - </t>
    </r>
    <r>
      <rPr>
        <sz val="10"/>
        <color rgb="FF000000"/>
        <rFont val="Arial"/>
        <family val="2"/>
      </rPr>
      <t>Téléfilm</t>
    </r>
  </si>
  <si>
    <r>
      <rPr>
        <sz val="10"/>
        <color rgb="FF000000"/>
        <rFont val="Arial"/>
        <family val="2"/>
      </rPr>
      <t xml:space="preserve">L'ombre des anges de Daniel Schmid,  d'après la pièce </t>
    </r>
    <r>
      <rPr>
        <i/>
        <sz val="10"/>
        <color rgb="FF000000"/>
        <rFont val="Arial"/>
        <family val="2"/>
      </rPr>
      <t>Les ordures, la ville et la mort</t>
    </r>
    <r>
      <rPr>
        <sz val="10"/>
        <color rgb="FF000000"/>
        <rFont val="Arial"/>
        <family val="2"/>
      </rPr>
      <t xml:space="preserve">
Le rôti de satan 
Je veux seulement que vous m'aimiez - Téléfilm
Roulette chinoise </t>
    </r>
  </si>
  <si>
    <r>
      <rPr>
        <sz val="10"/>
        <color rgb="FF000000"/>
        <rFont val="Arial"/>
        <family val="2"/>
      </rPr>
      <t xml:space="preserve">Il joue dans  </t>
    </r>
    <r>
      <rPr>
        <i/>
        <sz val="10"/>
        <color rgb="FF000000"/>
        <rFont val="Arial"/>
        <family val="2"/>
      </rPr>
      <t>L'ombre des anges</t>
    </r>
    <r>
      <rPr>
        <sz val="10"/>
        <color rgb="FF000000"/>
        <rFont val="Arial"/>
        <family val="2"/>
      </rPr>
      <t xml:space="preserve">, l'adaptation de sa propre pièce, </t>
    </r>
    <r>
      <rPr>
        <i/>
        <sz val="10"/>
        <color rgb="FF000000"/>
        <rFont val="Arial"/>
        <family val="2"/>
      </rPr>
      <t>Les ordures la ville et la mort</t>
    </r>
    <r>
      <rPr>
        <sz val="10"/>
        <color rgb="FF000000"/>
        <rFont val="Arial"/>
        <family val="2"/>
      </rPr>
      <t xml:space="preserve">, mise en scène au cinéma par D. Schmid, et en partie financée par Fassbinder et produit par la société Albatros films de Fengler. C'est tout l'entourage de Fassbinder qui se joint au film, notamment Ingrid Caven. </t>
    </r>
  </si>
  <si>
    <r>
      <rPr>
        <sz val="10"/>
        <color rgb="FF000000"/>
        <rFont val="Arial"/>
        <family val="2"/>
      </rPr>
      <t xml:space="preserve">Mai 1978 : RWF quitte Armin Meier pendant un voyage à New York.Meier rentre seul à Munich tandis que RWF se rend à Cannes. Le 31 mai 1978, jour d'anniversaire de RWF, Armin Meier se suicide dans leur appartement. Le corps n'est découvert qu'une seumaine plus tard. Scandale. RWF se jette dans le travail. L'année des treize lunes, qui sort trois mois plus tard est dédié à Armin (et à tous les autres). 
Début de la collaboration avec Juliane Lorenz. </t>
    </r>
    <r>
      <rPr>
        <i/>
        <sz val="10"/>
        <color rgb="FF000000"/>
        <rFont val="Arial"/>
        <family val="2"/>
      </rPr>
      <t xml:space="preserve">L'année des treize lunes devient un film </t>
    </r>
    <r>
      <rPr>
        <sz val="10"/>
        <color rgb="FF000000"/>
        <rFont val="Arial"/>
        <family val="2"/>
      </rPr>
      <t>expiatoire. Le tournage de</t>
    </r>
    <r>
      <rPr>
        <i/>
        <sz val="10"/>
        <color rgb="FF000000"/>
        <rFont val="Arial"/>
        <family val="2"/>
      </rPr>
      <t xml:space="preserve"> Maria Braun </t>
    </r>
    <r>
      <rPr>
        <sz val="10"/>
        <color rgb="FF000000"/>
        <rFont val="Arial"/>
        <family val="2"/>
      </rPr>
      <t xml:space="preserve">est compliqué : dépassement de budget, consommation explosive de cocaïne. Ceci explique peut être la fin de la collaboration entre Ballhaus et RWF.
RWF travaille active à l'écriture de Berlin Alexander Platz, dont il dicte des passages dans </t>
    </r>
    <r>
      <rPr>
        <i/>
        <sz val="10"/>
        <color rgb="FF000000"/>
        <rFont val="Arial"/>
        <family val="2"/>
      </rPr>
      <t xml:space="preserve">L'année des treize lunes. </t>
    </r>
  </si>
  <si>
    <r>
      <rPr>
        <i/>
        <sz val="10"/>
        <color rgb="FF000000"/>
        <rFont val="Arial"/>
        <family val="2"/>
      </rPr>
      <t xml:space="preserve">Despair, </t>
    </r>
    <r>
      <rPr>
        <sz val="10"/>
        <color rgb="FF000000"/>
        <rFont val="Arial"/>
        <family val="2"/>
      </rPr>
      <t xml:space="preserve">deuxième coproduction internationale de RWF avec Dirk Bogarde et Andra Ferreol, deux acteurs importants du cinéma moderne européen, en compétition à Cannes en 1978
</t>
    </r>
    <r>
      <rPr>
        <i/>
        <sz val="10"/>
        <color rgb="FF000000"/>
        <rFont val="Arial"/>
        <family val="2"/>
      </rPr>
      <t>Le mariage de Maria Braun</t>
    </r>
    <r>
      <rPr>
        <sz val="10"/>
        <color rgb="FF000000"/>
        <rFont val="Arial"/>
        <family val="2"/>
      </rPr>
      <t xml:space="preserve">, en compétition officielle à Berlin en 1979
</t>
    </r>
    <r>
      <rPr>
        <i/>
        <sz val="10"/>
        <color rgb="FF000000"/>
        <rFont val="Arial"/>
        <family val="2"/>
      </rPr>
      <t>L'année des treize lunes</t>
    </r>
    <r>
      <rPr>
        <sz val="10"/>
        <color rgb="FF000000"/>
        <rFont val="Arial"/>
        <family val="2"/>
      </rPr>
      <t xml:space="preserve"> poursuit la réflexion entamée sur le désespoir. 
L'épisode réalisé par RWF dans </t>
    </r>
    <r>
      <rPr>
        <i/>
        <sz val="10"/>
        <color rgb="FF000000"/>
        <rFont val="Arial"/>
        <family val="2"/>
      </rPr>
      <t>L'Allemagne en automne</t>
    </r>
    <r>
      <rPr>
        <sz val="10"/>
        <color rgb="FF000000"/>
        <rFont val="Arial"/>
        <family val="2"/>
      </rPr>
      <t xml:space="preserve"> offre une relecture des actions commises par la RAF sur le mode de l'autofiction.</t>
    </r>
  </si>
  <si>
    <r>
      <rPr>
        <i/>
        <sz val="10"/>
        <color theme="1"/>
        <rFont val="Arial"/>
        <family val="2"/>
      </rPr>
      <t>L'année des treize lunes</t>
    </r>
    <r>
      <rPr>
        <sz val="10"/>
        <color theme="1"/>
        <rFont val="Arial"/>
        <family val="2"/>
      </rPr>
      <t xml:space="preserve"> est un projet très personnel pour RWF. Outre son sujet, qui se nourrit du deuil et de la culpabilité liés à la mort d'Armin Meier, RWF y participe à toutes les étapes, y compris le cadrage et le montage. La critique est divisée, entre enthouasisme et rejet, entre lecture sentimentale et lecture politique. 
"</t>
    </r>
    <r>
      <rPr>
        <i/>
        <sz val="10"/>
        <color theme="1"/>
        <rFont val="Arial"/>
        <family val="2"/>
      </rPr>
      <t xml:space="preserve">Despair </t>
    </r>
    <r>
      <rPr>
        <sz val="10"/>
        <color theme="1"/>
        <rFont val="Arial"/>
        <family val="2"/>
      </rPr>
      <t xml:space="preserve">est le film le plus rempli d'espoir que j'ai jamais fait " RWF, </t>
    </r>
    <r>
      <rPr>
        <i/>
        <sz val="10"/>
        <color theme="1"/>
        <rFont val="Arial"/>
        <family val="2"/>
      </rPr>
      <t>L'anarchie de l'imaginaire</t>
    </r>
    <r>
      <rPr>
        <sz val="10"/>
        <color theme="1"/>
        <rFont val="Arial"/>
        <family val="2"/>
      </rPr>
      <t xml:space="preserve">, </t>
    </r>
    <r>
      <rPr>
        <i/>
        <sz val="10"/>
        <color theme="1"/>
        <rFont val="Arial"/>
        <family val="2"/>
      </rPr>
      <t>p.80-81</t>
    </r>
    <r>
      <rPr>
        <sz val="10"/>
        <color theme="1"/>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color theme="1"/>
        <rFont val="Arial"/>
        <family val="2"/>
      </rPr>
      <t xml:space="preserve">Le mariage de Maria Braun. </t>
    </r>
    <r>
      <rPr>
        <sz val="10"/>
        <color theme="1"/>
        <rFont val="Arial"/>
        <family val="2"/>
      </rPr>
      <t xml:space="preserve">ce film exclipse </t>
    </r>
    <r>
      <rPr>
        <i/>
        <sz val="10"/>
        <color theme="1"/>
        <rFont val="Arial"/>
        <family val="2"/>
      </rPr>
      <t xml:space="preserve">Despair.
L'allemagne en automne n'est vu que par un public limité. </t>
    </r>
  </si>
  <si>
    <r>
      <rPr>
        <i/>
        <sz val="10"/>
        <color rgb="FF000000"/>
        <rFont val="Arial"/>
        <family val="2"/>
      </rPr>
      <t>Le tambour</t>
    </r>
    <r>
      <rPr>
        <sz val="10"/>
        <color rgb="FF000000"/>
        <rFont val="Arial"/>
        <family val="2"/>
      </rPr>
      <t xml:space="preserve"> de V. Schlondorff obtient la palme d'or à Cannes. 
La diffusion de la série américaine  </t>
    </r>
    <r>
      <rPr>
        <i/>
        <sz val="10"/>
        <color rgb="FF000000"/>
        <rFont val="Arial"/>
        <family val="2"/>
      </rPr>
      <t>Holocaust</t>
    </r>
    <r>
      <rPr>
        <sz val="10"/>
        <color rgb="FF000000"/>
        <rFont val="Arial"/>
        <family val="2"/>
      </rPr>
      <t xml:space="preserve"> de Marvin J. Chomsky (1976)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rgb="FF000000"/>
        <rFont val="Arial"/>
        <family val="2"/>
      </rPr>
      <t>soap opera.</t>
    </r>
  </si>
  <si>
    <r>
      <rPr>
        <sz val="10"/>
        <color rgb="FF000000"/>
        <rFont val="Arial"/>
        <family val="2"/>
      </rPr>
      <t xml:space="preserve">Le succès du </t>
    </r>
    <r>
      <rPr>
        <i/>
        <sz val="10"/>
        <color rgb="FF000000"/>
        <rFont val="Arial"/>
        <family val="2"/>
      </rPr>
      <t>Mariage de Maria Braun</t>
    </r>
    <r>
      <rPr>
        <sz val="10"/>
        <color rgb="FF000000"/>
        <rFont val="Arial"/>
        <family val="2"/>
      </rPr>
      <t xml:space="preserve"> amène RWF à espérer pour voir réaliser </t>
    </r>
    <r>
      <rPr>
        <i/>
        <sz val="10"/>
        <color rgb="FF000000"/>
        <rFont val="Arial"/>
        <family val="2"/>
      </rPr>
      <t>Cocaïne</t>
    </r>
    <r>
      <rPr>
        <sz val="10"/>
        <color rgb="FF000000"/>
        <rFont val="Arial"/>
        <family val="2"/>
      </rPr>
      <t xml:space="preserve">, l'adaptation d'un roman de Pitigrilli. Il lui permet aussi de renégocier à la hausse le budget de production de </t>
    </r>
    <r>
      <rPr>
        <i/>
        <sz val="10"/>
        <color rgb="FF000000"/>
        <rFont val="Arial"/>
        <family val="2"/>
      </rPr>
      <t>Berlin Alexanderplatz</t>
    </r>
    <r>
      <rPr>
        <sz val="10"/>
        <color rgb="FF000000"/>
        <rFont val="Arial"/>
        <family val="2"/>
      </rPr>
      <t xml:space="preserve"> : le projet devient le le plus coûteux de l'histoire de la télévision allemande. </t>
    </r>
  </si>
  <si>
    <r>
      <rPr>
        <i/>
        <sz val="10"/>
        <color theme="1"/>
        <rFont val="Arial"/>
        <family val="2"/>
      </rPr>
      <t xml:space="preserve">La troisième génération, </t>
    </r>
    <r>
      <rPr>
        <sz val="10"/>
        <color theme="1"/>
        <rFont val="Arial"/>
        <family val="2"/>
      </rPr>
      <t xml:space="preserve">film inspiré par les actions de la RAF et la violence d'Etat, est compliqué à produire. </t>
    </r>
    <r>
      <rPr>
        <i/>
        <sz val="10"/>
        <color theme="1"/>
        <rFont val="Arial"/>
        <family val="2"/>
      </rPr>
      <t xml:space="preserve">Le Mariage de Maria Braun </t>
    </r>
    <r>
      <rPr>
        <sz val="10"/>
        <color theme="1"/>
        <rFont val="Arial"/>
        <family val="2"/>
      </rPr>
      <t xml:space="preserve">allégorie de la reconstruction allemande, connaît un triomphe international.  </t>
    </r>
  </si>
  <si>
    <r>
      <rPr>
        <i/>
        <sz val="10"/>
        <color theme="1"/>
        <rFont val="Arial"/>
        <family val="2"/>
      </rPr>
      <t xml:space="preserve">Le mariage de Maria Braun </t>
    </r>
    <r>
      <rPr>
        <sz val="10"/>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</si>
  <si>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r>
      <rPr>
        <i/>
        <sz val="10"/>
        <color rgb="FF000000"/>
        <rFont val="Arial"/>
        <family val="2"/>
      </rPr>
      <t xml:space="preserve">Allemagne mère blafarde </t>
    </r>
    <r>
      <rPr>
        <sz val="10"/>
        <color rgb="FF000000"/>
        <rFont val="Arial"/>
        <family val="2"/>
      </rPr>
      <t>de Helma Sanders-Brahms. 
Début du tournage d'</t>
    </r>
    <r>
      <rPr>
        <i/>
        <sz val="10"/>
        <color rgb="FF000000"/>
        <rFont val="Arial"/>
        <family val="2"/>
      </rPr>
      <t>Heima</t>
    </r>
    <r>
      <rPr>
        <sz val="10"/>
        <color rgb="FF000000"/>
        <rFont val="Arial"/>
        <family val="2"/>
      </rPr>
      <t>t</t>
    </r>
    <r>
      <rPr>
        <i/>
        <sz val="10"/>
        <color rgb="FF000000"/>
        <rFont val="Arial"/>
        <family val="2"/>
      </rPr>
      <t xml:space="preserve"> de Karl Reitz qui sera diffusé en 1984</t>
    </r>
  </si>
  <si>
    <r>
      <rPr>
        <sz val="10"/>
        <color rgb="FF000000"/>
        <rFont val="Arial"/>
        <family val="2"/>
      </rPr>
      <t xml:space="preserve">Monumental </t>
    </r>
    <r>
      <rPr>
        <i/>
        <sz val="10"/>
        <color rgb="FF000000"/>
        <rFont val="Arial"/>
        <family val="2"/>
      </rPr>
      <t>Berlin Alexanderplatz</t>
    </r>
    <r>
      <rPr>
        <sz val="10"/>
        <color rgb="FF000000"/>
        <rFont val="Arial"/>
        <family val="2"/>
      </rPr>
      <t xml:space="preserve">  - série en 14 épisodes et un épiloque </t>
    </r>
  </si>
  <si>
    <r>
      <rPr>
        <sz val="10"/>
        <color theme="1"/>
        <rFont val="Arial"/>
        <family val="2"/>
      </rPr>
      <t xml:space="preserve">Hanna Schygulla doit interpréter </t>
    </r>
    <r>
      <rPr>
        <i/>
        <sz val="10"/>
        <color theme="1"/>
        <rFont val="Arial"/>
        <family val="2"/>
      </rPr>
      <t>Lola une femme allemande</t>
    </r>
    <r>
      <rPr>
        <sz val="10"/>
        <color theme="1"/>
        <rFont val="Arial"/>
        <family val="2"/>
      </rPr>
      <t>, mais Fassbinder lui retire le rôle furieux que l'actrice ait déclaré qu'elle s'était elle-même distribuée dans le film.</t>
    </r>
  </si>
  <si>
    <r>
      <rPr>
        <i/>
        <sz val="10"/>
        <color rgb="FF000000"/>
        <rFont val="Arial"/>
        <family val="2"/>
      </rPr>
      <t>Lili Marleen</t>
    </r>
    <r>
      <rPr>
        <sz val="10"/>
        <color rgb="FF000000"/>
        <rFont val="Arial"/>
        <family val="2"/>
      </rPr>
      <t xml:space="preserve">
Suite de la Trilogie de la RFA :   </t>
    </r>
    <r>
      <rPr>
        <i/>
        <sz val="10"/>
        <color rgb="FF000000"/>
        <rFont val="Arial"/>
        <family val="2"/>
      </rPr>
      <t>Lola, une femme allemande</t>
    </r>
    <r>
      <rPr>
        <sz val="10"/>
        <color rgb="FF000000"/>
        <rFont val="Arial"/>
        <family val="2"/>
      </rPr>
      <t xml:space="preserve"> 
</t>
    </r>
    <r>
      <rPr>
        <i/>
        <sz val="10"/>
        <color rgb="FF000000"/>
        <rFont val="Arial"/>
        <family val="2"/>
      </rPr>
      <t>Théâtre en transe</t>
    </r>
    <r>
      <rPr>
        <sz val="10"/>
        <color rgb="FF000000"/>
        <rFont val="Arial"/>
        <family val="2"/>
      </rPr>
      <t>, documentaire</t>
    </r>
  </si>
  <si>
    <r>
      <rPr>
        <i/>
        <sz val="10"/>
        <color rgb="FF000000"/>
        <rFont val="Arial"/>
        <family val="2"/>
      </rPr>
      <t>Lola, une femme allemande</t>
    </r>
    <r>
      <rPr>
        <sz val="10"/>
        <color rgb="FF000000"/>
        <rFont val="Arial"/>
        <family val="2"/>
      </rPr>
      <t xml:space="preserve"> est d'abord conçu comme un remake de L</t>
    </r>
    <r>
      <rPr>
        <i/>
        <sz val="10"/>
        <color rgb="FF000000"/>
        <rFont val="Arial"/>
        <family val="2"/>
      </rPr>
      <t xml:space="preserve">'ange bleu </t>
    </r>
    <r>
      <rPr>
        <sz val="10"/>
        <color rgb="FF000000"/>
        <rFont val="Arial"/>
        <family val="2"/>
      </rPr>
      <t>de Josphe von Sternberg (1930).</t>
    </r>
  </si>
  <si>
    <r>
      <rPr>
        <i/>
        <sz val="10"/>
        <color rgb="FF000000"/>
        <rFont val="Arial"/>
        <family val="2"/>
      </rPr>
      <t xml:space="preserve">Le secret de Veronika Voss, </t>
    </r>
    <r>
      <rPr>
        <sz val="10"/>
        <color rgb="FF000000"/>
        <rFont val="Arial"/>
        <family val="2"/>
      </rPr>
      <t>ours d'or à Berlin</t>
    </r>
    <r>
      <rPr>
        <i/>
        <sz val="10"/>
        <color rgb="FF000000"/>
        <rFont val="Arial"/>
        <family val="2"/>
      </rPr>
      <t xml:space="preserve">
Querelle
RWF laisse un héritage de plus de 40 films.</t>
    </r>
  </si>
  <si>
    <r>
      <t xml:space="preserve">Affiche du </t>
    </r>
    <r>
      <rPr>
        <i/>
        <sz val="10"/>
        <color rgb="FF000000"/>
        <rFont val="Arial"/>
        <family val="2"/>
      </rPr>
      <t>Mariage de Maria Braun</t>
    </r>
  </si>
  <si>
    <r>
      <rPr>
        <i/>
        <sz val="10"/>
        <color rgb="FF000000"/>
        <rFont val="Arial"/>
        <family val="2"/>
      </rPr>
      <t xml:space="preserve">Aguirre, la colère de Dieu </t>
    </r>
    <r>
      <rPr>
        <sz val="10"/>
        <color rgb="FF000000"/>
        <rFont val="Arial"/>
        <family val="2"/>
      </rPr>
      <t xml:space="preserve">de Werner Herzog (1972)
</t>
    </r>
    <r>
      <rPr>
        <i/>
        <sz val="10"/>
        <color rgb="FF000000"/>
        <rFont val="Arial"/>
        <family val="2"/>
      </rPr>
      <t>Cabaret</t>
    </r>
    <r>
      <rPr>
        <sz val="10"/>
        <color rgb="FF000000"/>
        <rFont val="Arial"/>
        <family val="2"/>
      </rPr>
      <t xml:space="preserve"> de Bob Fosse met en scène la période de Weimar et l'ascension d'Htiler sous forme de comédie musicale. Sa mise en scène de l'homosexualité comme espace de réistance à l'oppression nazi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transgressions culturelles qui bouleversent l'histoire des représentations.</t>
    </r>
  </si>
  <si>
    <r>
      <t xml:space="preserve">Allemagne année zéro </t>
    </r>
    <r>
      <rPr>
        <sz val="10"/>
        <color rgb="FF000000"/>
        <rFont val="Arial"/>
        <family val="2"/>
      </rPr>
      <t>de Rossellini (1948) ) Le protagoniste Edmund tente de vendre un enregistrement d'un discours d'Hitler sur disque à des soldats alliés. La voix du Fürher se met à résonner dans les ruines du Reichstag, siège du parlement incendié en 1933</t>
    </r>
  </si>
  <si>
    <r>
      <t xml:space="preserve">Décès de Bertold Brecht
</t>
    </r>
    <r>
      <rPr>
        <i/>
        <sz val="10"/>
        <color rgb="FF000000"/>
        <rFont val="Arial"/>
        <family val="2"/>
      </rPr>
      <t xml:space="preserve">Nuit et brouillard </t>
    </r>
    <r>
      <rPr>
        <sz val="10"/>
        <color rgb="FF000000"/>
        <rFont val="Arial"/>
        <family val="2"/>
      </rPr>
      <t xml:space="preserve">d'Alain Resnais. </t>
    </r>
  </si>
  <si>
    <r>
      <rPr>
        <sz val="10"/>
        <color theme="1"/>
        <rFont val="Arial"/>
        <family val="2"/>
      </rPr>
      <t xml:space="preserve">"Représenter l'Allemagne, ce n'est pas seulement adopter une position critique, c'est inventer une nouvelle manière". </t>
    </r>
    <r>
      <rPr>
        <i/>
        <sz val="10"/>
        <color theme="1"/>
        <rFont val="Arial"/>
        <family val="2"/>
      </rPr>
      <t>R. W. Fassbinder, cinéaste d’Allemagne</t>
    </r>
    <r>
      <rPr>
        <sz val="10"/>
        <color theme="1"/>
        <rFont val="Arial"/>
        <family val="2"/>
      </rPr>
      <t>, de Thomas Elsaesser, Centre Pompidou, 2005, p.26</t>
    </r>
  </si>
  <si>
    <r>
      <t xml:space="preserve">La parution du </t>
    </r>
    <r>
      <rPr>
        <i/>
        <sz val="10"/>
        <color rgb="FF000000"/>
        <rFont val="Arial"/>
        <family val="2"/>
      </rPr>
      <t>Deuil impossible</t>
    </r>
    <r>
      <rPr>
        <sz val="10"/>
        <color rgb="FF000000"/>
        <rFont val="Arial"/>
        <family val="2"/>
      </rPr>
      <t xml:space="preserve"> de Alexander et Margarete Mitscherlich fait scandale. A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 en RFA et le refoulementdu passé. L'ouvrage exercce une influence sur les artistes allemands de l'époque. 
</t>
    </r>
  </si>
  <si>
    <r>
      <t xml:space="preserve">"Mein Herr", numéro de </t>
    </r>
    <r>
      <rPr>
        <i/>
        <sz val="10"/>
        <color theme="1"/>
        <rFont val="Arial"/>
        <family val="2"/>
      </rPr>
      <t>Cabaret |</t>
    </r>
    <r>
      <rPr>
        <sz val="10"/>
        <color theme="1"/>
        <rFont val="Arial"/>
        <family val="2"/>
      </rPr>
      <t>https://www.youtube.com/watch?v=qBjiQ5oDHBc</t>
    </r>
  </si>
  <si>
    <r>
      <rPr>
        <sz val="10"/>
        <color theme="1"/>
        <rFont val="Arial"/>
        <family val="2"/>
      </rP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de s'y produit ; rien que des gens gentils, sympas et rien que des gens qui veulent plaire. A long terme ce n'est pas possible". RWF, "les philosémites sont des antisémites", avril 1976, repris dans </t>
    </r>
    <r>
      <rPr>
        <i/>
        <sz val="10"/>
        <color theme="1"/>
        <rFont val="Arial"/>
        <family val="2"/>
      </rPr>
      <t>L'anarchie de l'imagination P; 76</t>
    </r>
  </si>
  <si>
    <r>
      <rPr>
        <sz val="10"/>
        <color theme="1"/>
        <rFont val="Arial"/>
        <family val="2"/>
      </rP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color theme="1"/>
        <rFont val="Arial"/>
        <family val="2"/>
      </rPr>
      <t xml:space="preserve">Die Zeit, </t>
    </r>
    <r>
      <rPr>
        <sz val="10"/>
        <color theme="1"/>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 ge </t>
    </r>
    <r>
      <rPr>
        <i/>
        <sz val="10"/>
        <color theme="1"/>
        <rFont val="Arial"/>
        <family val="2"/>
      </rPr>
      <t>Fassbinder par lui-même</t>
    </r>
    <r>
      <rPr>
        <sz val="10"/>
        <color theme="1"/>
        <rFont val="Arial"/>
        <family val="2"/>
      </rPr>
      <t>, p.342-343, G3J éditeur, 2010</t>
    </r>
  </si>
  <si>
    <r>
      <rPr>
        <sz val="10"/>
        <color theme="1"/>
        <rFont val="Arial"/>
        <family val="2"/>
      </rPr>
      <t xml:space="preserve">La première génération était celle de 1968. Des idéalistes qui voulaient changer le monde et qui s'imginaient pouvoir le faire avec des mots et des manifestes. La deuxième, celle du groupe Gaader-Meinhof, passa de la légalité à la lutte armée et à l'illégalité totale. la troisième génération est celle d'aujourd'hui, qui se contente d'agir sans réfélchir, qui n'a ni idéologie ni politique, et qui se fait manipuler à son insu comme une troupe de marionnettes" </t>
    </r>
    <r>
      <rPr>
        <i/>
        <sz val="10"/>
        <color theme="1"/>
        <rFont val="Arial"/>
        <family val="2"/>
      </rPr>
      <t>Fassbinder</t>
    </r>
    <r>
      <rPr>
        <sz val="10"/>
        <color theme="1"/>
        <rFont val="Arial"/>
        <family val="2"/>
      </rPr>
      <t>, Jansen/Schütte, Collection Rivages-cinéma, 1986, p.106</t>
    </r>
  </si>
  <si>
    <r>
      <rPr>
        <sz val="10"/>
        <color theme="1"/>
        <rFont val="Arial"/>
        <family val="2"/>
      </rPr>
      <t xml:space="preserve">"je ferai des films jusqu'à ce que j'ai conduit mon histoire de la RFA jusqu'à ici et aujourd'hui. Les histoires de </t>
    </r>
    <r>
      <rPr>
        <i/>
        <sz val="10"/>
        <color theme="1"/>
        <rFont val="Arial"/>
        <family val="2"/>
      </rPr>
      <t xml:space="preserve">Lola </t>
    </r>
    <r>
      <rPr>
        <sz val="10"/>
        <color theme="1"/>
        <rFont val="Arial"/>
        <family val="2"/>
      </rPr>
      <t xml:space="preserve">et </t>
    </r>
    <r>
      <rPr>
        <i/>
        <sz val="10"/>
        <color theme="1"/>
        <rFont val="Arial"/>
        <family val="2"/>
      </rPr>
      <t>Maria Braun</t>
    </r>
    <r>
      <rPr>
        <sz val="10"/>
        <color theme="1"/>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color theme="1"/>
        <rFont val="Arial"/>
        <family val="2"/>
      </rPr>
      <t xml:space="preserve">Rainer Werner Fassbinder, Dichter, Schapuspieler, Filmemacher, </t>
    </r>
    <r>
      <rPr>
        <sz val="10"/>
        <color theme="1"/>
        <rFont val="Arial"/>
        <family val="2"/>
      </rPr>
      <t>Argon, 1992, p.77</t>
    </r>
  </si>
  <si>
    <r>
      <rPr>
        <i/>
        <sz val="10"/>
        <color theme="1"/>
        <rFont val="Arial"/>
        <family val="2"/>
      </rPr>
      <t>Lola</t>
    </r>
    <r>
      <rPr>
        <sz val="10"/>
        <color theme="1"/>
        <rFont val="Arial"/>
        <family val="2"/>
      </rPr>
      <t xml:space="preserve"> est "un des films les plus intelligents, les plus pénétrants, mais aussi les plus grinçants sur la période d'après-guerre", Thomas Elsaesser, </t>
    </r>
    <r>
      <rPr>
        <i/>
        <sz val="10"/>
        <color theme="1"/>
        <rFont val="Arial"/>
        <family val="2"/>
      </rPr>
      <t>RWF un cinéaste d'Allemagne</t>
    </r>
    <r>
      <rPr>
        <sz val="10"/>
        <color theme="1"/>
        <rFont val="Arial"/>
        <family val="2"/>
      </rPr>
      <t xml:space="preserve">, p. 1965
</t>
    </r>
    <r>
      <rPr>
        <i/>
        <sz val="10"/>
        <color theme="1"/>
        <rFont val="Arial"/>
        <family val="2"/>
      </rPr>
      <t>Lili Marleen (…) est ma première tentative de faire un film sur le IIIe Reich. Et je fera certainement encore plusieurs films sur le IIIe Reich. (...) Il en résultera peut-être pour finir un tableau d'ensemble de la bourgeoisie depuis 1848" Rainer Werner Fassbinder. Dichter, Schauspieler, Filmemacher</t>
    </r>
    <r>
      <rPr>
        <sz val="10"/>
        <color theme="1"/>
        <rFont val="Arial"/>
        <family val="2"/>
      </rPr>
      <t>, 1992, p.178</t>
    </r>
  </si>
  <si>
    <r>
      <rPr>
        <sz val="10"/>
        <color theme="1"/>
        <rFont val="Arial"/>
        <family val="2"/>
      </rPr>
      <t xml:space="preserve">"Je ne pense pas qu'il fait fait un seul que l'on pourrait qualifier de chef-d'œuvre. Le chef-d'œuvre, c'est les 41 films et la vie et tout le reste. Les films ne sont que le résidu de cette vie."Peter Chatel </t>
    </r>
    <r>
      <rPr>
        <i/>
        <sz val="10"/>
        <color theme="1"/>
        <rFont val="Arial"/>
        <family val="2"/>
      </rPr>
      <t xml:space="preserve">in  Die Sehnsucht des Rainer Werner Fassbinder » (La Nostalgie de Rainer Werner Fassbinder), De Kurt Raab et Karsten Peters, 1982, éditions Bertelsmann </t>
    </r>
  </si>
  <si>
    <t>Willy Brandt démissionne : aGuillaume, un de ses conseillers est démasqué comme espion de la RDA. cependant l'Ostpolitik qu'il a initiée se poursuit.
Environ quatre millions d’étrangers vivent désormais en RFA.
Ulrike Meinhof est condamnée à huit ans de prison pour son implication dans l'évasion de Baader. Les détenus de la RAF dénoncent l’isolement carcéral et multiplient les grèves de la faim ; Holger Meins en meurt. Jean-Paul Sartre rencontre Andreas Baader à la prison de Stuttgart-Stammheim et critique publiquement ses conditions de détention.</t>
  </si>
  <si>
    <t>Tensions sociales et crises du logement (Westend). Débats sur la visibilité des minorités. Lois limitant les libertés civiles.
Confronté à l’enlèvement du candidat CDU Peter Lorenz par le Mouvement du 2-Juin ; le gouvernement ouest-allemand autorise  la libération de cinq militants de la RAD. La prise d’otages de l’ambassade de RFA à Stockholm par un commando de la RAF s’achève dans le sang.
Le procès des principaux dirigeants de la RAF s’ouvre à Stuttgart-Stammheim, tandis que se structurent en Allemagne et à l’étranger des comités de soutien.</t>
  </si>
  <si>
    <t xml:space="preserve">Développement du "film amphibie" (cinéma/TV). Le cinéma devient un outil de critique sociale directe.
</t>
  </si>
  <si>
    <t>Le cinéma et la télévision s’emparent des violences politiques, des minorités et des rapports de domination. Le « film amphibie », conçu pour circuler entre petit et grand écran, élargit le public de cette critique sociale.</t>
  </si>
  <si>
    <r>
      <rPr>
        <sz val="10"/>
        <color rgb="FF000000"/>
        <rFont val="Arial"/>
        <family val="2"/>
      </rPr>
      <t xml:space="preserve">RWF écrit la pièce </t>
    </r>
    <r>
      <rPr>
        <i/>
        <sz val="10"/>
        <color rgb="FF000000"/>
        <rFont val="Arial"/>
        <family val="2"/>
      </rPr>
      <t>Les ordures, la ville et la mort</t>
    </r>
    <r>
      <rPr>
        <sz val="10"/>
        <color rgb="FF000000"/>
        <rFont val="Arial"/>
        <family val="2"/>
      </rPr>
      <t>, qu'il doit mettre en scène au Theater und Sturm de Francfort. La pièce, qui traite de corruption et de spéculation immobilière, a pour protagoniste un homme juif, désigné comme "le juif riche". Son ton satirique vise surtout l'administration municipale de la ville. Avant même sa publication et l'ouverture du spectacle, la pièce fait scandale. Suite à la circulation de quelques copies du texte et de la publication d'un communiqué de presse,</t>
    </r>
    <r>
      <rPr>
        <i/>
        <sz val="10"/>
        <color rgb="FF000000"/>
        <rFont val="Arial"/>
        <family val="2"/>
      </rPr>
      <t xml:space="preserve"> </t>
    </r>
    <r>
      <rPr>
        <sz val="10"/>
        <color rgb="FF000000"/>
        <rFont val="Arial"/>
        <family val="2"/>
      </rPr>
      <t xml:space="preserve">RWF est accusé d'antisémitisme, notammant par Joachim C. Fest dont le livre </t>
    </r>
    <r>
      <rPr>
        <i/>
        <sz val="10"/>
        <color rgb="FF000000"/>
        <rFont val="Arial"/>
        <family val="2"/>
      </rPr>
      <t xml:space="preserve">Hitler une carrière </t>
    </r>
    <r>
      <rPr>
        <sz val="10"/>
        <color rgb="FF000000"/>
        <rFont val="Arial"/>
        <family val="2"/>
      </rPr>
      <t xml:space="preserve">avait contribué à mettre à jour l'existence d'une "vague Hitler" nostalgique au sein de la population, qu'il associait notamment à une gauche "rouge" affiliée au fascisme de Moscou. La pièce est abandonnée et RWF interdit qu'on la représente de son vivant en Allemagne. Le projet de téléfilm </t>
    </r>
    <r>
      <rPr>
        <i/>
        <sz val="10"/>
        <color rgb="FF000000"/>
        <rFont val="Arial"/>
        <family val="2"/>
      </rPr>
      <t xml:space="preserve">La terre est inhabitable comme la lune, </t>
    </r>
    <r>
      <rPr>
        <sz val="10"/>
        <color rgb="FF000000"/>
        <rFont val="Arial"/>
        <family val="2"/>
      </rPr>
      <t>qui s'inspirait en partie des personnages de la pièce, perd ses financements. 
Liaison avec Armin Meier.</t>
    </r>
  </si>
  <si>
    <r>
      <rPr>
        <i/>
        <sz val="10"/>
        <color rgb="FF000000"/>
        <rFont val="Arial"/>
        <family val="2"/>
      </rPr>
      <t>Maman Küsters s'en va au ciel</t>
    </r>
    <r>
      <rPr>
        <sz val="10"/>
        <color rgb="FF000000"/>
        <rFont val="Arial"/>
        <family val="2"/>
      </rPr>
      <t xml:space="preserve"> 
</t>
    </r>
    <r>
      <rPr>
        <i/>
        <sz val="10"/>
        <color rgb="FF000000"/>
        <rFont val="Arial"/>
        <family val="2"/>
      </rPr>
      <t>Le Droit du plus fort</t>
    </r>
    <r>
      <rPr>
        <sz val="10"/>
        <color rgb="FF000000"/>
        <rFont val="Arial"/>
        <family val="2"/>
      </rPr>
      <t xml:space="preserve"> 
</t>
    </r>
    <r>
      <rPr>
        <i/>
        <sz val="10"/>
        <color rgb="FF000000"/>
        <rFont val="Arial"/>
        <family val="2"/>
      </rPr>
      <t>Comme un oiseau sur le fil</t>
    </r>
    <r>
      <rPr>
        <sz val="10"/>
        <color rgb="FF000000"/>
        <rFont val="Arial"/>
        <family val="2"/>
      </rPr>
      <t xml:space="preserve"> - Téléfilm
</t>
    </r>
    <r>
      <rPr>
        <i/>
        <sz val="10"/>
        <color rgb="FF000000"/>
        <rFont val="Arial"/>
        <family val="2"/>
      </rPr>
      <t>Peur de la peur</t>
    </r>
    <r>
      <rPr>
        <sz val="10"/>
        <color rgb="FF000000"/>
        <rFont val="Arial"/>
        <family val="2"/>
      </rPr>
      <t xml:space="preserve"> -Téléfilm
</t>
    </r>
  </si>
  <si>
    <r>
      <rPr>
        <sz val="10"/>
        <color rgb="FF000000"/>
        <rFont val="Arial"/>
        <family val="2"/>
      </rP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rgb="FF000000"/>
        <rFont val="Arial"/>
        <family val="2"/>
      </rPr>
      <t>Droit du plus fort</t>
    </r>
    <r>
      <rPr>
        <sz val="10"/>
        <color rgb="FF000000"/>
        <rFont val="Arial"/>
        <family val="2"/>
      </rPr>
      <t xml:space="preserve">, assumant une visibilité politique de son homosexualité.
Une rétrospective de l'œuvre de RWF à New York suscite l'enthousiasme de la presse américaine. 
Suite au scandale déclenché par </t>
    </r>
    <r>
      <rPr>
        <i/>
        <sz val="10"/>
        <color rgb="FF000000"/>
        <rFont val="Arial"/>
        <family val="2"/>
      </rPr>
      <t xml:space="preserve">Les ordures, la ville et la mort, </t>
    </r>
    <r>
      <rPr>
        <sz val="10"/>
        <color rgb="FF000000"/>
        <rFont val="Arial"/>
        <family val="2"/>
      </rPr>
      <t xml:space="preserve">RWF subira le soupçon d'antisémtisme dans tous ses autres projets associés à cette question. Pour apprécier la position de RWF, lire "les philosémites sont des antisémites" dans </t>
    </r>
    <r>
      <rPr>
        <i/>
        <sz val="10"/>
        <color rgb="FF000000"/>
        <rFont val="Arial"/>
        <family val="2"/>
      </rPr>
      <t xml:space="preserve">L'anarchie de l'imagination, </t>
    </r>
    <r>
      <rPr>
        <sz val="10"/>
        <color rgb="FF000000"/>
        <rFont val="Arial"/>
        <family val="2"/>
      </rPr>
      <t xml:space="preserve">et "prise de postion à propos de L'ordure, la ville et la mort dans </t>
    </r>
    <r>
      <rPr>
        <i/>
        <sz val="10"/>
        <color rgb="FF000000"/>
        <rFont val="Arial"/>
        <family val="2"/>
      </rPr>
      <t>Les films libèrent la tête. La pièce</t>
    </r>
    <r>
      <rPr>
        <sz val="10"/>
        <color rgb="FF000000"/>
        <rFont val="Arial"/>
        <family val="2"/>
      </rPr>
      <t xml:space="preserve"> Les ordures, la ville et la mort est toujours un texte polémique, rarement monté. En 1985, le projet de le mettre sur scène à Francfort déclencha de vifs débats, le projet, d'abord retiré, fut monté à huis-clos devant un public restreint de journalistes dans unautre théâtre de Francfort dans un contexte politique d'affirmation de l'unité refondée du peuple allemand mais de sensibilités mémorielles toujours vives. </t>
    </r>
  </si>
  <si>
    <r>
      <t xml:space="preserve">Le mouvement du Nouveau cinéma allemand atteint son apogée thématique et politique.
</t>
    </r>
    <r>
      <rPr>
        <i/>
        <sz val="10"/>
        <color theme="1"/>
        <rFont val="Arial"/>
        <family val="2"/>
      </rPr>
      <t>Hitler, un film d'Allemagne</t>
    </r>
    <r>
      <rPr>
        <sz val="10"/>
        <color theme="1"/>
        <rFont val="Arial"/>
        <family val="2"/>
      </rPr>
      <t xml:space="preserve"> de Syberberg interroge le nazisme à travers son usage des médias (radio et cinéma) et sa mise en spectacle du politique.  Le film révèle commentl le show business moderne présente une dimension fasciste.
L’expression « Automne allemand » désigne bientôt autant la séquence terroriste que le climat de peur, de contrôle et de crise démocratique qu’elle produit. Cinéastes, écrivains et artistes s’interrogent sur la violence politique, la mémoire du nazisme et les réponses de l’État.</t>
    </r>
  </si>
  <si>
    <t>Victoire d'Helmut Kohl (CDU) en octobre. Fin d'une époque artistique et politique radicale.Kohl se donne comme mission de réconcilier le peuple ouest-allemand avec son passé
L’accession d’Helmut Kohl à la chancellerie clôt la période sociale-libérale sans rompre avec l’Ostpolitik. Le nouveau gouvernement réaffirme la réunification comme horizon et fait de la coopération franco-allemande un axe majeur.</t>
  </si>
  <si>
    <t xml:space="preserve">Automne Allemand (1977) : enlèvement de Schleyer, détournement du Landshut, morts à Stammheim.
La réforme du droit de la famille supprime l’obligation faite à l’épouse de se consacrer prioritairement au foyer et lui permet de travailler sans l’autorisation de son mari.
Avril : Le procureur fédéral Sigfried Bubak est assassiné avec son chauffeur et son garde du corps. L’offensive 77, qui se développe dans le contexte du procès des leaders de la RAF, est lancée. Après 192 jours de procès à Stammheim, les accusés du groupe Baader sont condamnés pour assassinat à une peine d'emprisonnement à perpétuité. Juillet 1977 :  Jürgen Ponto, président de la Dresdner Bank est assassiné par un commando dont fait partie sa filleule. L’automne allemand de 1977 désigne un climat de terreur et d’oppression qui règne en RAD, apogée de qui est nommé « les années de plomb ». Septembre 1977 : pour obtenir la libération de ses membres détenus à la prison de Stuttgart-Stammheim, la RAF enlève le président du patronat allemand Hanns Martin Schleyer. Il est dénoncé comme ancien membre du parti nazi et des SS. Onze prisonniers sont réclamés en échange de sa vie. La famille Schleyer n'a pas le droit de payer la rançon. Octobre 1977 : un avion de la Lufthansa est détourné sur Mogadiscio en Somalie par le commando palestinien « Martyr Halimeh », prenant en otages 86 passagers et cinq membres d'équipage. Le commando assassine le commandant de bord. La prise d'otages prend fin avec l'intervention des forces spéciales allemandes durant laquelle trois des quatre membres du commando palestinien sont tués. Le même jour, les autorités allemandes annoncent la mort d'Andreas Baader, Gudrun Ensslin, la compagne de Baader, et Jan-Carl Raspe, par suicide lors de ce qu'il est convenu d'appeler « la nuit de la mort de Stammheim ». En représailles, la RAF annonce la mort de Hanns Martin Schleyer. Son corps est retrouvé dans le coffre d'une automobile à Mulhouse, en France. Brigitte Mohnhaupt, leader de la seconde génération, impliquée dans ce meurtre, est alors considérée comme la femme la plus dangereuse d'Allemagne. Novembre 1977 : Ingrid Shubert est retrouvée pendue dans sa cellule de la prison de Munich.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</si>
</sst>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0"/>
      <name val="Arial"/>
    </font>
    <font>
      <sz val="12"/>
      <color theme="10"/>
      <name val="Aptos Narrow"/>
    </font>
    <font>
      <sz val="12"/>
      <color theme="1"/>
      <name val="Aptos Narrow"/>
    </font>
    <font>
      <sz val="10"/>
      <color theme="1"/>
      <name val="Arial"/>
      <family val="2"/>
    </font>
    <font>
      <sz val="12"/>
      <color rgb="FF1F4E78"/>
      <name val="Aptos Narrow"/>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b/>
      <sz val="10"/>
      <color rgb="FF000000"/>
      <name val="Arial"/>
      <family val="2"/>
    </font>
    <font>
      <sz val="10"/>
      <color rgb="FF000000"/>
      <name val="Arial"/>
      <family val="2"/>
    </font>
    <font>
      <i/>
      <sz val="12"/>
      <name val="Aptos"/>
    </font>
    <font>
      <sz val="10"/>
      <color theme="10"/>
      <name val="Arial"/>
      <family val="2"/>
    </font>
    <font>
      <i/>
      <sz val="10"/>
      <color rgb="FF000000"/>
      <name val="Arial"/>
      <family val="2"/>
    </font>
    <font>
      <i/>
      <sz val="409.55"/>
      <color rgb="FF000000"/>
      <name val="Arial"/>
      <family val="2"/>
    </font>
    <font>
      <sz val="409.55"/>
      <color rgb="FF000000"/>
      <name val="Aptos"/>
    </font>
    <font>
      <i/>
      <sz val="409.55"/>
      <color rgb="FF000000"/>
      <name val="Aptos"/>
    </font>
    <font>
      <sz val="10"/>
      <color theme="1"/>
      <name val="Arial"/>
      <family val="2"/>
    </font>
    <font>
      <sz val="10"/>
      <color rgb="FF1F4E78"/>
      <name val="Arial"/>
      <family val="2"/>
    </font>
    <font>
      <sz val="10"/>
      <color theme="0"/>
      <name val="Arial"/>
      <family val="2"/>
    </font>
    <font>
      <sz val="10"/>
      <name val="Arial"/>
      <family val="2"/>
    </font>
    <font>
      <sz val="10"/>
      <color rgb="FF1F4E78"/>
      <name val="Aptos Narrow"/>
    </font>
    <font>
      <sz val="10"/>
      <color theme="10"/>
      <name val="Aptos Narrow"/>
    </font>
    <font>
      <sz val="10"/>
      <color theme="1"/>
      <name val="Aptos Narrow"/>
    </font>
    <font>
      <i/>
      <sz val="10"/>
      <color theme="1"/>
      <name val="Aptos Narrow"/>
    </font>
  </fonts>
  <fills count="8">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rgb="FFD9D9D9"/>
      </patternFill>
    </fill>
    <fill>
      <patternFill patternType="solid">
        <fgColor theme="1"/>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7">
    <xf numFmtId="0" fontId="0" fillId="0" borderId="0" xfId="0"/>
    <xf numFmtId="0" fontId="3" fillId="0" borderId="0" xfId="2" applyFont="1" applyAlignment="1">
      <alignment vertical="top" wrapText="1"/>
    </xf>
    <xf numFmtId="0" fontId="4" fillId="2" borderId="0" xfId="2" applyFont="1" applyFill="1" applyAlignment="1">
      <alignment wrapText="1"/>
    </xf>
    <xf numFmtId="0" fontId="2" fillId="0" borderId="0" xfId="2" applyAlignment="1">
      <alignment wrapText="1"/>
    </xf>
    <xf numFmtId="0" fontId="5" fillId="0" borderId="0" xfId="2" applyFont="1" applyAlignment="1">
      <alignment vertical="top" wrapText="1"/>
    </xf>
    <xf numFmtId="0" fontId="2" fillId="3" borderId="0" xfId="2" applyFill="1" applyAlignment="1">
      <alignment wrapText="1"/>
    </xf>
    <xf numFmtId="0" fontId="6" fillId="4" borderId="0" xfId="2" applyFont="1" applyFill="1" applyAlignment="1">
      <alignment wrapText="1"/>
    </xf>
    <xf numFmtId="0" fontId="7" fillId="5" borderId="0" xfId="2" applyFont="1" applyFill="1" applyAlignment="1">
      <alignment wrapText="1"/>
    </xf>
    <xf numFmtId="0" fontId="5" fillId="0" borderId="0" xfId="0" applyFont="1"/>
    <xf numFmtId="0" fontId="0" fillId="0" borderId="0" xfId="0" applyAlignment="1">
      <alignment vertical="top"/>
    </xf>
    <xf numFmtId="0" fontId="10" fillId="0" borderId="0" xfId="0" applyFont="1"/>
    <xf numFmtId="0" fontId="11" fillId="0" borderId="0" xfId="0" applyFont="1" applyAlignment="1">
      <alignment vertical="top" wrapText="1"/>
    </xf>
    <xf numFmtId="0" fontId="12" fillId="0" borderId="0" xfId="0" applyFont="1" applyAlignment="1">
      <alignment vertical="top" wrapText="1"/>
    </xf>
    <xf numFmtId="0" fontId="8" fillId="0" borderId="0" xfId="0" applyFont="1" applyAlignment="1">
      <alignment vertical="top" wrapText="1"/>
    </xf>
    <xf numFmtId="0" fontId="13" fillId="0" borderId="0" xfId="1" applyFont="1" applyAlignment="1">
      <alignment vertical="top" wrapText="1"/>
    </xf>
    <xf numFmtId="0" fontId="11" fillId="0" borderId="0" xfId="2" applyFont="1" applyAlignment="1">
      <alignment vertical="top" wrapText="1"/>
    </xf>
    <xf numFmtId="0" fontId="14" fillId="0" borderId="0" xfId="2" applyFont="1" applyAlignment="1">
      <alignment vertical="top" wrapText="1"/>
    </xf>
    <xf numFmtId="0" fontId="3" fillId="0" borderId="0" xfId="2" applyFont="1" applyAlignment="1">
      <alignment horizontal="left" vertical="top" wrapText="1"/>
    </xf>
    <xf numFmtId="0" fontId="9" fillId="0" borderId="0" xfId="2" applyFont="1" applyAlignment="1">
      <alignment vertical="top" wrapText="1"/>
    </xf>
    <xf numFmtId="0" fontId="11" fillId="6" borderId="1" xfId="0" applyFont="1" applyFill="1" applyBorder="1" applyAlignment="1">
      <alignment vertical="top" wrapText="1"/>
    </xf>
    <xf numFmtId="0" fontId="5" fillId="7" borderId="0" xfId="0" applyFont="1" applyFill="1" applyAlignment="1">
      <alignment vertical="top"/>
    </xf>
    <xf numFmtId="0" fontId="20" fillId="0" borderId="0" xfId="2" applyFont="1" applyAlignment="1">
      <alignment vertical="top" wrapText="1"/>
    </xf>
    <xf numFmtId="0" fontId="18" fillId="0" borderId="0" xfId="2" applyFont="1" applyAlignment="1">
      <alignment vertical="top" wrapText="1"/>
    </xf>
    <xf numFmtId="0" fontId="21" fillId="0" borderId="0" xfId="0" applyFont="1"/>
    <xf numFmtId="0" fontId="22" fillId="2" borderId="0" xfId="2" applyFont="1" applyFill="1" applyAlignment="1">
      <alignment wrapText="1"/>
    </xf>
    <xf numFmtId="0" fontId="23" fillId="0" borderId="0" xfId="1" applyFont="1" applyAlignment="1">
      <alignment wrapText="1"/>
    </xf>
    <xf numFmtId="0" fontId="21" fillId="0" borderId="0" xfId="0" applyFont="1" applyAlignment="1">
      <alignment vertical="top" wrapText="1"/>
    </xf>
    <xf numFmtId="0" fontId="21" fillId="0" borderId="0" xfId="0" applyFont="1" applyAlignment="1">
      <alignment vertical="top"/>
    </xf>
    <xf numFmtId="0" fontId="19" fillId="2" borderId="0" xfId="2" applyFont="1" applyFill="1" applyAlignment="1">
      <alignment vertical="top" wrapText="1"/>
    </xf>
    <xf numFmtId="0" fontId="23" fillId="0" borderId="0" xfId="1" applyFont="1" applyAlignment="1">
      <alignment vertical="top" wrapText="1"/>
    </xf>
    <xf numFmtId="0" fontId="24" fillId="0" borderId="0" xfId="2" applyFont="1" applyAlignment="1">
      <alignment vertical="top" wrapText="1"/>
    </xf>
    <xf numFmtId="0" fontId="24" fillId="0" borderId="0" xfId="2" applyFont="1" applyAlignment="1">
      <alignment horizontal="left" vertical="top" wrapText="1"/>
    </xf>
    <xf numFmtId="0" fontId="21" fillId="0" borderId="0" xfId="0" applyFont="1" applyAlignment="1">
      <alignment wrapText="1"/>
    </xf>
    <xf numFmtId="0" fontId="18" fillId="0" borderId="0" xfId="2" applyFont="1" applyAlignment="1">
      <alignment horizontal="left" vertical="top" wrapText="1"/>
    </xf>
    <xf numFmtId="0" fontId="11" fillId="0" borderId="0" xfId="0" applyFont="1"/>
    <xf numFmtId="0" fontId="3" fillId="0" borderId="0" xfId="0" applyFont="1" applyAlignment="1">
      <alignment vertical="top" wrapText="1"/>
    </xf>
    <xf numFmtId="0" fontId="8" fillId="0" borderId="0" xfId="0" applyFont="1"/>
  </cellXfs>
  <cellStyles count="3">
    <cellStyle name="Lien hypertexte" xfId="1" xr:uid="{00000000-0005-0000-0000-000000000000}"/>
    <cellStyle name="Normal" xfId="0" builtinId="0"/>
    <cellStyle name="Normal 2" xfId="2" xr:uid="{00000000-0005-0000-0000-000002000000}"/>
  </cellStyles>
  <dxfs count="37">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10" totalsRowShown="0" headerRowDxfId="36" dataDxfId="35">
  <autoFilter ref="A1:N10" xr:uid="{00000000-0009-0000-0100-000003000000}"/>
  <tableColumns count="14">
    <tableColumn id="1" xr3:uid="{00000000-0010-0000-0000-000001000000}" name="ID période" dataDxfId="34"/>
    <tableColumn id="2" xr3:uid="{00000000-0010-0000-0000-000002000000}" name="Titre période" dataDxfId="33"/>
    <tableColumn id="3" xr3:uid="{00000000-0010-0000-0000-000003000000}" name="question directrice" dataDxfId="32"/>
    <tableColumn id="4" xr3:uid="{00000000-0010-0000-0000-000004000000}" name="Événement histoire et politique" dataDxfId="31"/>
    <tableColumn id="5" xr3:uid="{00000000-0010-0000-0000-000005000000}" name="Contexte culturel" dataDxfId="30"/>
    <tableColumn id="6" xr3:uid="{00000000-0010-0000-0000-000006000000}" name="Biographie de Fassbinder" dataDxfId="29"/>
    <tableColumn id="7" xr3:uid="{00000000-0010-0000-0000-000007000000}" name="Œuvres" dataDxfId="28"/>
    <tableColumn id="8" xr3:uid="{00000000-0010-0000-0000-000008000000}" name="ID films - Œuvres" dataDxfId="27"/>
    <tableColumn id="9" xr3:uid="{00000000-0010-0000-0000-000009000000}" name="Analyse et réception critique" dataDxfId="26"/>
    <tableColumn id="10" xr3:uid="{00000000-0010-0000-0000-00000A000000}" name="Liens" dataDxfId="25"/>
    <tableColumn id="11" xr3:uid="{00000000-0010-0000-0000-00000B000000}" name="Citation" dataDxfId="24"/>
    <tableColumn id="12" xr3:uid="{00000000-0010-0000-0000-00000C000000}" name="Image" dataDxfId="23"/>
    <tableColumn id="13" xr3:uid="{00000000-0010-0000-0000-00000D000000}" name="Legende" dataDxfId="22"/>
    <tableColumn id="14" xr3:uid="{00000000-0010-0000-0000-00000E000000}" name="Notion" dataDxfId="21"/>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7" totalsRowShown="0" dataDxfId="0">
  <autoFilter ref="A1:T37" xr:uid="{00000000-0009-0000-0100-000002000000}"/>
  <tableColumns count="20">
    <tableColumn id="1" xr3:uid="{00000000-0010-0000-0100-000001000000}" name="Année" dataDxfId="20"/>
    <tableColumn id="2" xr3:uid="{00000000-0010-0000-0100-000002000000}" name="ID période" dataDxfId="19"/>
    <tableColumn id="3" xr3:uid="{00000000-0010-0000-0100-000003000000}" name="Événement histoire et politique" dataDxfId="18"/>
    <tableColumn id="4" xr3:uid="{00000000-0010-0000-0100-000004000000}" name="Contexte culturel" dataDxfId="17"/>
    <tableColumn id="5" xr3:uid="{00000000-0010-0000-0100-000005000000}" name="Biographie de Fassbinder" dataDxfId="16"/>
    <tableColumn id="6" xr3:uid="{00000000-0010-0000-0100-000006000000}" name="Œuvres" dataDxfId="15"/>
    <tableColumn id="7" xr3:uid="{00000000-0010-0000-0100-000007000000}" name="Analyse et Réception critique" dataDxfId="14"/>
    <tableColumn id="8" xr3:uid="{00000000-0010-0000-0100-000008000000}" name="Liens" dataDxfId="13"/>
    <tableColumn id="9" xr3:uid="{00000000-0010-0000-0100-000009000000}" name="Extraits" dataDxfId="12"/>
    <tableColumn id="10" xr3:uid="{00000000-0010-0000-0100-00000A000000}" name="Description de l'extrait" dataDxfId="11"/>
    <tableColumn id="11" xr3:uid="{00000000-0010-0000-0100-00000B000000}" name="Consigne d'analyse" dataDxfId="10"/>
    <tableColumn id="12" xr3:uid="{00000000-0010-0000-0100-00000C000000}" name="Citation" dataDxfId="9"/>
    <tableColumn id="13" xr3:uid="{00000000-0010-0000-0100-00000D000000}" name="Image 1" dataDxfId="8"/>
    <tableColumn id="14" xr3:uid="{00000000-0010-0000-0100-00000E000000}" name="Légende 1" dataDxfId="7"/>
    <tableColumn id="15" xr3:uid="{00000000-0010-0000-0100-00000F000000}" name="Image 2" dataDxfId="6"/>
    <tableColumn id="16" xr3:uid="{00000000-0010-0000-0100-000010000000}" name="Légende 2" dataDxfId="5"/>
    <tableColumn id="17" xr3:uid="{00000000-0010-0000-0100-000011000000}" name="Image 3" dataDxfId="4"/>
    <tableColumn id="18" xr3:uid="{00000000-0010-0000-0100-000012000000}" name="Légende 3" dataDxfId="3"/>
    <tableColumn id="19" xr3:uid="{00000000-0010-0000-0100-000013000000}" name="Notion" dataDxfId="2"/>
    <tableColumn id="20" xr3:uid="{00000000-0010-0000-0100-000014000000}" name="Source" dataDxfId="1"/>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topLeftCell="A9" zoomScale="150" workbookViewId="0">
      <selection activeCell="D10" sqref="D10"/>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8" customFormat="1" ht="37.25" customHeight="1" x14ac:dyDescent="0.15">
      <c r="A1" s="21" t="s">
        <v>0</v>
      </c>
      <c r="B1" s="21" t="s">
        <v>1</v>
      </c>
      <c r="C1" s="21" t="s">
        <v>2</v>
      </c>
      <c r="D1" s="21" t="s">
        <v>3</v>
      </c>
      <c r="E1" s="21" t="s">
        <v>4</v>
      </c>
      <c r="F1" s="21" t="s">
        <v>5</v>
      </c>
      <c r="G1" s="21" t="s">
        <v>6</v>
      </c>
      <c r="H1" s="21" t="s">
        <v>7</v>
      </c>
      <c r="I1" s="21" t="s">
        <v>8</v>
      </c>
      <c r="J1" s="21" t="s">
        <v>9</v>
      </c>
      <c r="K1" s="21" t="s">
        <v>10</v>
      </c>
      <c r="L1" s="21" t="s">
        <v>11</v>
      </c>
      <c r="M1" s="21" t="s">
        <v>12</v>
      </c>
      <c r="N1" s="21" t="s">
        <v>13</v>
      </c>
    </row>
    <row r="2" spans="1:14" ht="409.5" customHeight="1" x14ac:dyDescent="0.2">
      <c r="A2" s="22" t="s">
        <v>14</v>
      </c>
      <c r="B2" s="22" t="s">
        <v>15</v>
      </c>
      <c r="C2" s="22" t="s">
        <v>16</v>
      </c>
      <c r="D2" s="22" t="s">
        <v>243</v>
      </c>
      <c r="E2" s="22" t="s">
        <v>244</v>
      </c>
      <c r="F2" s="22" t="s">
        <v>17</v>
      </c>
      <c r="G2" s="23"/>
      <c r="H2" s="24"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22" t="s">
        <v>286</v>
      </c>
      <c r="J2" s="25" t="s">
        <v>18</v>
      </c>
      <c r="K2" s="26" t="s">
        <v>19</v>
      </c>
      <c r="L2" s="27" t="s">
        <v>20</v>
      </c>
      <c r="M2" s="26" t="s">
        <v>21</v>
      </c>
      <c r="N2" s="23"/>
    </row>
    <row r="3" spans="1:14" s="9" customFormat="1" ht="409.5" customHeight="1" x14ac:dyDescent="0.15">
      <c r="A3" s="22" t="s">
        <v>22</v>
      </c>
      <c r="B3" s="22" t="s">
        <v>23</v>
      </c>
      <c r="C3" s="22" t="s">
        <v>24</v>
      </c>
      <c r="D3" s="22" t="s">
        <v>245</v>
      </c>
      <c r="E3" s="22" t="s">
        <v>246</v>
      </c>
      <c r="F3" s="22" t="s">
        <v>25</v>
      </c>
      <c r="G3" s="22"/>
      <c r="H3" s="28"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22" t="s">
        <v>287</v>
      </c>
      <c r="J3" s="29" t="s">
        <v>26</v>
      </c>
      <c r="K3" s="27"/>
      <c r="L3" s="26" t="s">
        <v>27</v>
      </c>
      <c r="M3" s="27"/>
      <c r="N3" s="27"/>
    </row>
    <row r="4" spans="1:14" ht="409.5" customHeight="1" x14ac:dyDescent="0.15">
      <c r="A4" s="22" t="s">
        <v>28</v>
      </c>
      <c r="B4" s="22" t="s">
        <v>29</v>
      </c>
      <c r="C4" s="22" t="s">
        <v>30</v>
      </c>
      <c r="D4" s="1" t="s">
        <v>309</v>
      </c>
      <c r="E4" s="22" t="s">
        <v>247</v>
      </c>
      <c r="F4" s="22" t="s">
        <v>31</v>
      </c>
      <c r="G4" s="22" t="s">
        <v>32</v>
      </c>
      <c r="H4" s="28"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3"/>
      <c r="J4" s="29" t="s">
        <v>33</v>
      </c>
      <c r="K4" s="30" t="s">
        <v>34</v>
      </c>
      <c r="L4" s="23"/>
      <c r="M4" s="23"/>
      <c r="N4" s="23"/>
    </row>
    <row r="5" spans="1:14" ht="409.5" customHeight="1" x14ac:dyDescent="0.15">
      <c r="A5" s="22" t="s">
        <v>35</v>
      </c>
      <c r="B5" s="22" t="s">
        <v>36</v>
      </c>
      <c r="C5" s="22" t="s">
        <v>37</v>
      </c>
      <c r="D5" s="22" t="s">
        <v>248</v>
      </c>
      <c r="E5" s="22" t="s">
        <v>249</v>
      </c>
      <c r="F5" s="22" t="s">
        <v>38</v>
      </c>
      <c r="G5" s="22" t="s">
        <v>39</v>
      </c>
      <c r="H5" s="28"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v>
      </c>
      <c r="I5" s="31" t="s">
        <v>288</v>
      </c>
      <c r="J5" s="23"/>
      <c r="K5" s="32"/>
      <c r="L5" s="23"/>
      <c r="M5" s="23"/>
      <c r="N5" s="23"/>
    </row>
    <row r="6" spans="1:14" ht="409.5" customHeight="1" x14ac:dyDescent="0.15">
      <c r="A6" s="22" t="s">
        <v>40</v>
      </c>
      <c r="B6" s="22" t="s">
        <v>41</v>
      </c>
      <c r="C6" s="22" t="s">
        <v>42</v>
      </c>
      <c r="D6" s="22" t="s">
        <v>250</v>
      </c>
      <c r="E6" s="22" t="s">
        <v>251</v>
      </c>
      <c r="F6" s="22" t="s">
        <v>43</v>
      </c>
      <c r="G6" s="22" t="s">
        <v>44</v>
      </c>
      <c r="H6" s="28"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film-1972-le-marchand-des-quatre-saisons; film-1974-tous-les-autres-s-appellent-ali; film-1974-martha</v>
      </c>
      <c r="I6" s="22" t="s">
        <v>45</v>
      </c>
      <c r="J6" s="23"/>
      <c r="K6" s="23"/>
      <c r="L6" s="23"/>
      <c r="M6" s="23"/>
      <c r="N6" s="23"/>
    </row>
    <row r="7" spans="1:14" ht="409.5" customHeight="1" x14ac:dyDescent="0.15">
      <c r="A7" s="22" t="s">
        <v>46</v>
      </c>
      <c r="B7" s="22"/>
      <c r="C7" s="22" t="s">
        <v>47</v>
      </c>
      <c r="D7" s="22" t="s">
        <v>252</v>
      </c>
      <c r="E7" s="1" t="s">
        <v>348</v>
      </c>
      <c r="F7" s="22" t="s">
        <v>48</v>
      </c>
      <c r="G7" s="22" t="s">
        <v>49</v>
      </c>
      <c r="H7" s="28"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film-1975-le-droit-du-plus-fort; film-1975-maman-kusters-s-en-va-au-ciel</v>
      </c>
      <c r="I7" s="30" t="s">
        <v>50</v>
      </c>
      <c r="J7" s="23"/>
      <c r="K7" s="23"/>
      <c r="L7" s="23"/>
      <c r="M7" s="23"/>
      <c r="N7" s="23"/>
    </row>
    <row r="8" spans="1:14" ht="409.5" customHeight="1" x14ac:dyDescent="0.15">
      <c r="A8" s="22" t="s">
        <v>51</v>
      </c>
      <c r="B8" s="22" t="s">
        <v>52</v>
      </c>
      <c r="C8" s="22" t="s">
        <v>53</v>
      </c>
      <c r="D8" s="22" t="s">
        <v>253</v>
      </c>
      <c r="E8" s="22" t="s">
        <v>254</v>
      </c>
      <c r="F8" s="22" t="s">
        <v>54</v>
      </c>
      <c r="G8" s="22" t="s">
        <v>55</v>
      </c>
      <c r="H8" s="28" t="str">
        <f>IF(G8="","",_xlfn.TEXTJOIN("; ",TRUE(),IF(ISNUMBER(SEARCH(SUBSTITUTE('Référentiel films'!$A$2,"’","'"),SUBSTITUTE(G8,"’","'"))),'Référentiel films'!$B$2,""),IF(ISNUMBER(SEARCH(SUBSTITUTE('Référentiel films'!$A$3,"’","'"),SUBSTITUTE(G8,"’","'"))),'Référentiel films'!$B$3,""),IF(ISNUMBER(SEARCH(SUBSTITUTE('Référentiel films'!$A$4,"’","'"),SUBSTITUTE(G8,"’","'"))),'Référentiel films'!$B$4,""),IF(ISNUMBER(SEARCH(SUBSTITUTE('Référentiel films'!$A$5,"’","'"),SUBSTITUTE(G8,"’","'"))),'Référentiel films'!$B$5,""),IF(ISNUMBER(SEARCH(SUBSTITUTE('Référentiel films'!$A$6,"’","'"),SUBSTITUTE(G8,"’","'"))),'Référentiel films'!$B$6,""),IF(ISNUMBER(SEARCH(SUBSTITUTE('Référentiel films'!$A$7,"’","'"),SUBSTITUTE(G8,"’","'"))),'Référentiel films'!$B$7,""),IF(ISNUMBER(SEARCH(SUBSTITUTE('Référentiel films'!$A$8,"’","'"),SUBSTITUTE(G8,"’","'"))),'Référentiel films'!$B$8,""),IF(ISNUMBER(SEARCH(SUBSTITUTE('Référentiel films'!$A$9,"’","'"),SUBSTITUTE(G8,"’","'"))),'Référentiel films'!$B$9,""),IF(ISNUMBER(SEARCH(SUBSTITUTE('Référentiel films'!$A$10,"’","'"),SUBSTITUTE(G8,"’","'"))),'Référentiel films'!$B$10,""),IF(ISNUMBER(SEARCH(SUBSTITUTE('Référentiel films'!$A$11,"’","'"),SUBSTITUTE(G8,"’","'"))),'Référentiel films'!$B$11,""),IF(ISNUMBER(SEARCH(SUBSTITUTE('Référentiel films'!$A$12,"’","'"),SUBSTITUTE(G8,"’","'"))),'Référentiel films'!$B$12,""),IF(ISNUMBER(SEARCH(SUBSTITUTE('Référentiel films'!$A$13,"’","'"),SUBSTITUTE(G8,"’","'"))),'Référentiel films'!$B$13,""),IF(ISNUMBER(SEARCH(SUBSTITUTE('Référentiel films'!$A$14,"’","'"),SUBSTITUTE(G8,"’","'"))),'Référentiel films'!$B$14,""),IF(ISNUMBER(SEARCH(SUBSTITUTE('Référentiel films'!$A$15,"’","'"),SUBSTITUTE(G8,"’","'"))),'Référentiel films'!$B$15,""),IF(ISNUMBER(SEARCH(SUBSTITUTE('Référentiel films'!$A$16,"’","'"),SUBSTITUTE(G8,"’","'"))),'Référentiel films'!$B$16,""),IF(ISNUMBER(SEARCH(SUBSTITUTE('Référentiel films'!$A$17,"’","'"),SUBSTITUTE(G8,"’","'"))),'Référentiel films'!$B$17,""),IF(ISNUMBER(SEARCH(SUBSTITUTE('Référentiel films'!$A$18,"’","'"),SUBSTITUTE(G8,"’","'"))),'Référentiel films'!$B$18,""),IF(ISNUMBER(SEARCH(SUBSTITUTE('Référentiel films'!$A$19,"’","'"),SUBSTITUTE(G8,"’","'"))),'Référentiel films'!$B$19,""),IF(ISNUMBER(SEARCH(SUBSTITUTE('Référentiel films'!$A$20,"’","'"),SUBSTITUTE(G8,"’","'"))),'Référentiel films'!$B$20,""),IF(ISNUMBER(SEARCH(SUBSTITUTE('Référentiel films'!$A$21,"’","'"),SUBSTITUTE(G8,"’","'"))),'Référentiel films'!$B$21,""),IF(ISNUMBER(SEARCH(SUBSTITUTE('Référentiel films'!$A$22,"’","'"),SUBSTITUTE(G8,"’","'"))),'Référentiel films'!$B$22,""),IF(ISNUMBER(SEARCH(SUBSTITUTE('Référentiel films'!$A$23,"’","'"),SUBSTITUTE(G8,"’","'"))),'Référentiel films'!$B$23,""),IF(ISNUMBER(SEARCH(SUBSTITUTE('Référentiel films'!$A$24,"’","'"),SUBSTITUTE(G8,"’","'"))),'Référentiel films'!$B$24,""),IF(ISNUMBER(SEARCH(SUBSTITUTE('Référentiel films'!$A$25,"’","'"),SUBSTITUTE(G8,"’","'"))),'Référentiel films'!$B$25,""),IF(ISNUMBER(SEARCH(SUBSTITUTE('Référentiel films'!$A$26,"’","'"),SUBSTITUTE(G8,"’","'"))),'Référentiel films'!$B$26,""),IF(ISNUMBER(SEARCH(SUBSTITUTE('Référentiel films'!$A$27,"’","'"),SUBSTITUTE(G8,"’","'"))),'Référentiel films'!$B$27,""),IF(ISNUMBER(SEARCH(SUBSTITUTE('Référentiel films'!$A$28,"’","'"),SUBSTITUTE(G8,"’","'"))),'Référentiel films'!$B$28,""),IF(ISNUMBER(SEARCH(SUBSTITUTE('Référentiel films'!$A$29,"’","'"),SUBSTITUTE(G8,"’","'"))),'Référentiel films'!$B$29,""),IF(ISNUMBER(SEARCH(SUBSTITUTE('Référentiel films'!$A$30,"’","'"),SUBSTITUTE(G8,"’","'"))),'Référentiel films'!$B$30,""),IF(ISNUMBER(SEARCH(SUBSTITUTE('Référentiel films'!$A$31,"’","'"),SUBSTITUTE(G8,"’","'"))),'Référentiel films'!$B$31,""),IF(ISNUMBER(SEARCH(SUBSTITUTE('Référentiel films'!$A$32,"’","'"),SUBSTITUTE(G8,"’","'"))),'Référentiel films'!$B$32,""),IF(ISNUMBER(SEARCH(SUBSTITUTE('Référentiel films'!$A$33,"’","'"),SUBSTITUTE(G8,"’","'"))),'Référentiel films'!$B$33,""),IF(ISNUMBER(SEARCH(SUBSTITUTE('Référentiel films'!$A$34,"’","'"),SUBSTITUTE(G8,"’","'"))),'Référentiel films'!$B$34,""),IF(ISNUMBER(SEARCH(SUBSTITUTE('Référentiel films'!$A$35,"’","'"),SUBSTITUTE(G8,"’","'"))),'Référentiel films'!$B$35,""),IF(ISNUMBER(SEARCH(SUBSTITUTE('Référentiel films'!$A$36,"’","'"),SUBSTITUTE(G8,"’","'"))),'Référentiel films'!$B$36,""),IF(ISNUMBER(SEARCH(SUBSTITUTE('Référentiel films'!$A$37,"’","'"),SUBSTITUTE(G8,"’","'"))),'Référentiel films'!$B$37,""),IF(ISNUMBER(SEARCH(SUBSTITUTE('Référentiel films'!$A$38,"’","'"),SUBSTITUTE(G8,"’","'"))),'Référentiel films'!$B$38,""),IF(ISNUMBER(SEARCH(SUBSTITUTE('Référentiel films'!$A$39,"’","'"),SUBSTITUTE(G8,"’","'"))),'Référentiel films'!$B$39,""),IF(ISNUMBER(SEARCH(SUBSTITUTE('Référentiel films'!$A$40,"’","'"),SUBSTITUTE(G8,"’","'"))),'Référentiel films'!$B$40,""),IF(ISNUMBER(SEARCH(SUBSTITUTE('Référentiel films'!$A$41,"’","'"),SUBSTITUTE(G8,"’","'"))),'Référentiel films'!$B$41,"")))</f>
        <v>film-1978-l-annee-des-treize-lunes; film-1978-le-mariage-de-maria-braun</v>
      </c>
      <c r="I8" s="26"/>
      <c r="J8" s="23"/>
      <c r="K8" s="26" t="s">
        <v>56</v>
      </c>
      <c r="L8" s="23"/>
      <c r="M8" s="23"/>
      <c r="N8" s="27" t="s">
        <v>57</v>
      </c>
    </row>
    <row r="9" spans="1:14" ht="409.5" customHeight="1" x14ac:dyDescent="0.15">
      <c r="A9" s="22" t="s">
        <v>58</v>
      </c>
      <c r="B9" s="22" t="s">
        <v>59</v>
      </c>
      <c r="C9" s="26" t="s">
        <v>60</v>
      </c>
      <c r="D9" s="22" t="s">
        <v>255</v>
      </c>
      <c r="E9" s="23" t="s">
        <v>256</v>
      </c>
      <c r="F9" s="22" t="s">
        <v>61</v>
      </c>
      <c r="G9" s="22" t="s">
        <v>62</v>
      </c>
      <c r="H9" s="28" t="str">
        <f>IF(G9="","",_xlfn.TEXTJOIN("; ",TRUE(),IF(ISNUMBER(SEARCH(SUBSTITUTE('Référentiel films'!$A$2,"’","'"),SUBSTITUTE(G9,"’","'"))),'Référentiel films'!$B$2,""),IF(ISNUMBER(SEARCH(SUBSTITUTE('Référentiel films'!$A$3,"’","'"),SUBSTITUTE(G9,"’","'"))),'Référentiel films'!$B$3,""),IF(ISNUMBER(SEARCH(SUBSTITUTE('Référentiel films'!$A$4,"’","'"),SUBSTITUTE(G9,"’","'"))),'Référentiel films'!$B$4,""),IF(ISNUMBER(SEARCH(SUBSTITUTE('Référentiel films'!$A$5,"’","'"),SUBSTITUTE(G9,"’","'"))),'Référentiel films'!$B$5,""),IF(ISNUMBER(SEARCH(SUBSTITUTE('Référentiel films'!$A$6,"’","'"),SUBSTITUTE(G9,"’","'"))),'Référentiel films'!$B$6,""),IF(ISNUMBER(SEARCH(SUBSTITUTE('Référentiel films'!$A$7,"’","'"),SUBSTITUTE(G9,"’","'"))),'Référentiel films'!$B$7,""),IF(ISNUMBER(SEARCH(SUBSTITUTE('Référentiel films'!$A$8,"’","'"),SUBSTITUTE(G9,"’","'"))),'Référentiel films'!$B$8,""),IF(ISNUMBER(SEARCH(SUBSTITUTE('Référentiel films'!$A$9,"’","'"),SUBSTITUTE(G9,"’","'"))),'Référentiel films'!$B$9,""),IF(ISNUMBER(SEARCH(SUBSTITUTE('Référentiel films'!$A$10,"’","'"),SUBSTITUTE(G9,"’","'"))),'Référentiel films'!$B$10,""),IF(ISNUMBER(SEARCH(SUBSTITUTE('Référentiel films'!$A$11,"’","'"),SUBSTITUTE(G9,"’","'"))),'Référentiel films'!$B$11,""),IF(ISNUMBER(SEARCH(SUBSTITUTE('Référentiel films'!$A$12,"’","'"),SUBSTITUTE(G9,"’","'"))),'Référentiel films'!$B$12,""),IF(ISNUMBER(SEARCH(SUBSTITUTE('Référentiel films'!$A$13,"’","'"),SUBSTITUTE(G9,"’","'"))),'Référentiel films'!$B$13,""),IF(ISNUMBER(SEARCH(SUBSTITUTE('Référentiel films'!$A$14,"’","'"),SUBSTITUTE(G9,"’","'"))),'Référentiel films'!$B$14,""),IF(ISNUMBER(SEARCH(SUBSTITUTE('Référentiel films'!$A$15,"’","'"),SUBSTITUTE(G9,"’","'"))),'Référentiel films'!$B$15,""),IF(ISNUMBER(SEARCH(SUBSTITUTE('Référentiel films'!$A$16,"’","'"),SUBSTITUTE(G9,"’","'"))),'Référentiel films'!$B$16,""),IF(ISNUMBER(SEARCH(SUBSTITUTE('Référentiel films'!$A$17,"’","'"),SUBSTITUTE(G9,"’","'"))),'Référentiel films'!$B$17,""),IF(ISNUMBER(SEARCH(SUBSTITUTE('Référentiel films'!$A$18,"’","'"),SUBSTITUTE(G9,"’","'"))),'Référentiel films'!$B$18,""),IF(ISNUMBER(SEARCH(SUBSTITUTE('Référentiel films'!$A$19,"’","'"),SUBSTITUTE(G9,"’","'"))),'Référentiel films'!$B$19,""),IF(ISNUMBER(SEARCH(SUBSTITUTE('Référentiel films'!$A$20,"’","'"),SUBSTITUTE(G9,"’","'"))),'Référentiel films'!$B$20,""),IF(ISNUMBER(SEARCH(SUBSTITUTE('Référentiel films'!$A$21,"’","'"),SUBSTITUTE(G9,"’","'"))),'Référentiel films'!$B$21,""),IF(ISNUMBER(SEARCH(SUBSTITUTE('Référentiel films'!$A$22,"’","'"),SUBSTITUTE(G9,"’","'"))),'Référentiel films'!$B$22,""),IF(ISNUMBER(SEARCH(SUBSTITUTE('Référentiel films'!$A$23,"’","'"),SUBSTITUTE(G9,"’","'"))),'Référentiel films'!$B$23,""),IF(ISNUMBER(SEARCH(SUBSTITUTE('Référentiel films'!$A$24,"’","'"),SUBSTITUTE(G9,"’","'"))),'Référentiel films'!$B$24,""),IF(ISNUMBER(SEARCH(SUBSTITUTE('Référentiel films'!$A$25,"’","'"),SUBSTITUTE(G9,"’","'"))),'Référentiel films'!$B$25,""),IF(ISNUMBER(SEARCH(SUBSTITUTE('Référentiel films'!$A$26,"’","'"),SUBSTITUTE(G9,"’","'"))),'Référentiel films'!$B$26,""),IF(ISNUMBER(SEARCH(SUBSTITUTE('Référentiel films'!$A$27,"’","'"),SUBSTITUTE(G9,"’","'"))),'Référentiel films'!$B$27,""),IF(ISNUMBER(SEARCH(SUBSTITUTE('Référentiel films'!$A$28,"’","'"),SUBSTITUTE(G9,"’","'"))),'Référentiel films'!$B$28,""),IF(ISNUMBER(SEARCH(SUBSTITUTE('Référentiel films'!$A$29,"’","'"),SUBSTITUTE(G9,"’","'"))),'Référentiel films'!$B$29,""),IF(ISNUMBER(SEARCH(SUBSTITUTE('Référentiel films'!$A$30,"’","'"),SUBSTITUTE(G9,"’","'"))),'Référentiel films'!$B$30,""),IF(ISNUMBER(SEARCH(SUBSTITUTE('Référentiel films'!$A$31,"’","'"),SUBSTITUTE(G9,"’","'"))),'Référentiel films'!$B$31,""),IF(ISNUMBER(SEARCH(SUBSTITUTE('Référentiel films'!$A$32,"’","'"),SUBSTITUTE(G9,"’","'"))),'Référentiel films'!$B$32,""),IF(ISNUMBER(SEARCH(SUBSTITUTE('Référentiel films'!$A$33,"’","'"),SUBSTITUTE(G9,"’","'"))),'Référentiel films'!$B$33,""),IF(ISNUMBER(SEARCH(SUBSTITUTE('Référentiel films'!$A$34,"’","'"),SUBSTITUTE(G9,"’","'"))),'Référentiel films'!$B$34,""),IF(ISNUMBER(SEARCH(SUBSTITUTE('Référentiel films'!$A$35,"’","'"),SUBSTITUTE(G9,"’","'"))),'Référentiel films'!$B$35,""),IF(ISNUMBER(SEARCH(SUBSTITUTE('Référentiel films'!$A$36,"’","'"),SUBSTITUTE(G9,"’","'"))),'Référentiel films'!$B$36,""),IF(ISNUMBER(SEARCH(SUBSTITUTE('Référentiel films'!$A$37,"’","'"),SUBSTITUTE(G9,"’","'"))),'Référentiel films'!$B$37,""),IF(ISNUMBER(SEARCH(SUBSTITUTE('Référentiel films'!$A$38,"’","'"),SUBSTITUTE(G9,"’","'"))),'Référentiel films'!$B$38,""),IF(ISNUMBER(SEARCH(SUBSTITUTE('Référentiel films'!$A$39,"’","'"),SUBSTITUTE(G9,"’","'"))),'Référentiel films'!$B$39,""),IF(ISNUMBER(SEARCH(SUBSTITUTE('Référentiel films'!$A$40,"’","'"),SUBSTITUTE(G9,"’","'"))),'Référentiel films'!$B$40,""),IF(ISNUMBER(SEARCH(SUBSTITUTE('Référentiel films'!$A$41,"’","'"),SUBSTITUTE(G9,"’","'"))),'Référentiel films'!$B$41,"")))</f>
        <v>film-1980-berlin-alexanderplatz; film-1981-lili-marleen; film-1981-lola-une-femme-allemande</v>
      </c>
      <c r="I9" s="23"/>
      <c r="J9" s="23"/>
      <c r="K9" s="23"/>
      <c r="L9" s="23"/>
      <c r="M9" s="23"/>
      <c r="N9" s="23"/>
    </row>
    <row r="10" spans="1:14" ht="409.5" customHeight="1" x14ac:dyDescent="0.15">
      <c r="A10" s="33">
        <v>1982</v>
      </c>
      <c r="B10" s="22" t="s">
        <v>63</v>
      </c>
      <c r="C10" s="22" t="s">
        <v>64</v>
      </c>
      <c r="D10" s="1" t="s">
        <v>354</v>
      </c>
      <c r="E10" s="22" t="s">
        <v>257</v>
      </c>
      <c r="F10" s="22" t="s">
        <v>65</v>
      </c>
      <c r="G10" s="22" t="s">
        <v>66</v>
      </c>
      <c r="H10" s="28" t="str">
        <f>IF(G10="","",_xlfn.TEXTJOIN("; ",TRUE(),IF(ISNUMBER(SEARCH(SUBSTITUTE('Référentiel films'!$A$2,"’","'"),SUBSTITUTE(G10,"’","'"))),'Référentiel films'!$B$2,""),IF(ISNUMBER(SEARCH(SUBSTITUTE('Référentiel films'!$A$3,"’","'"),SUBSTITUTE(G10,"’","'"))),'Référentiel films'!$B$3,""),IF(ISNUMBER(SEARCH(SUBSTITUTE('Référentiel films'!$A$4,"’","'"),SUBSTITUTE(G10,"’","'"))),'Référentiel films'!$B$4,""),IF(ISNUMBER(SEARCH(SUBSTITUTE('Référentiel films'!$A$5,"’","'"),SUBSTITUTE(G10,"’","'"))),'Référentiel films'!$B$5,""),IF(ISNUMBER(SEARCH(SUBSTITUTE('Référentiel films'!$A$6,"’","'"),SUBSTITUTE(G10,"’","'"))),'Référentiel films'!$B$6,""),IF(ISNUMBER(SEARCH(SUBSTITUTE('Référentiel films'!$A$7,"’","'"),SUBSTITUTE(G10,"’","'"))),'Référentiel films'!$B$7,""),IF(ISNUMBER(SEARCH(SUBSTITUTE('Référentiel films'!$A$8,"’","'"),SUBSTITUTE(G10,"’","'"))),'Référentiel films'!$B$8,""),IF(ISNUMBER(SEARCH(SUBSTITUTE('Référentiel films'!$A$9,"’","'"),SUBSTITUTE(G10,"’","'"))),'Référentiel films'!$B$9,""),IF(ISNUMBER(SEARCH(SUBSTITUTE('Référentiel films'!$A$10,"’","'"),SUBSTITUTE(G10,"’","'"))),'Référentiel films'!$B$10,""),IF(ISNUMBER(SEARCH(SUBSTITUTE('Référentiel films'!$A$11,"’","'"),SUBSTITUTE(G10,"’","'"))),'Référentiel films'!$B$11,""),IF(ISNUMBER(SEARCH(SUBSTITUTE('Référentiel films'!$A$12,"’","'"),SUBSTITUTE(G10,"’","'"))),'Référentiel films'!$B$12,""),IF(ISNUMBER(SEARCH(SUBSTITUTE('Référentiel films'!$A$13,"’","'"),SUBSTITUTE(G10,"’","'"))),'Référentiel films'!$B$13,""),IF(ISNUMBER(SEARCH(SUBSTITUTE('Référentiel films'!$A$14,"’","'"),SUBSTITUTE(G10,"’","'"))),'Référentiel films'!$B$14,""),IF(ISNUMBER(SEARCH(SUBSTITUTE('Référentiel films'!$A$15,"’","'"),SUBSTITUTE(G10,"’","'"))),'Référentiel films'!$B$15,""),IF(ISNUMBER(SEARCH(SUBSTITUTE('Référentiel films'!$A$16,"’","'"),SUBSTITUTE(G10,"’","'"))),'Référentiel films'!$B$16,""),IF(ISNUMBER(SEARCH(SUBSTITUTE('Référentiel films'!$A$17,"’","'"),SUBSTITUTE(G10,"’","'"))),'Référentiel films'!$B$17,""),IF(ISNUMBER(SEARCH(SUBSTITUTE('Référentiel films'!$A$18,"’","'"),SUBSTITUTE(G10,"’","'"))),'Référentiel films'!$B$18,""),IF(ISNUMBER(SEARCH(SUBSTITUTE('Référentiel films'!$A$19,"’","'"),SUBSTITUTE(G10,"’","'"))),'Référentiel films'!$B$19,""),IF(ISNUMBER(SEARCH(SUBSTITUTE('Référentiel films'!$A$20,"’","'"),SUBSTITUTE(G10,"’","'"))),'Référentiel films'!$B$20,""),IF(ISNUMBER(SEARCH(SUBSTITUTE('Référentiel films'!$A$21,"’","'"),SUBSTITUTE(G10,"’","'"))),'Référentiel films'!$B$21,""),IF(ISNUMBER(SEARCH(SUBSTITUTE('Référentiel films'!$A$22,"’","'"),SUBSTITUTE(G10,"’","'"))),'Référentiel films'!$B$22,""),IF(ISNUMBER(SEARCH(SUBSTITUTE('Référentiel films'!$A$23,"’","'"),SUBSTITUTE(G10,"’","'"))),'Référentiel films'!$B$23,""),IF(ISNUMBER(SEARCH(SUBSTITUTE('Référentiel films'!$A$24,"’","'"),SUBSTITUTE(G10,"’","'"))),'Référentiel films'!$B$24,""),IF(ISNUMBER(SEARCH(SUBSTITUTE('Référentiel films'!$A$25,"’","'"),SUBSTITUTE(G10,"’","'"))),'Référentiel films'!$B$25,""),IF(ISNUMBER(SEARCH(SUBSTITUTE('Référentiel films'!$A$26,"’","'"),SUBSTITUTE(G10,"’","'"))),'Référentiel films'!$B$26,""),IF(ISNUMBER(SEARCH(SUBSTITUTE('Référentiel films'!$A$27,"’","'"),SUBSTITUTE(G10,"’","'"))),'Référentiel films'!$B$27,""),IF(ISNUMBER(SEARCH(SUBSTITUTE('Référentiel films'!$A$28,"’","'"),SUBSTITUTE(G10,"’","'"))),'Référentiel films'!$B$28,""),IF(ISNUMBER(SEARCH(SUBSTITUTE('Référentiel films'!$A$29,"’","'"),SUBSTITUTE(G10,"’","'"))),'Référentiel films'!$B$29,""),IF(ISNUMBER(SEARCH(SUBSTITUTE('Référentiel films'!$A$30,"’","'"),SUBSTITUTE(G10,"’","'"))),'Référentiel films'!$B$30,""),IF(ISNUMBER(SEARCH(SUBSTITUTE('Référentiel films'!$A$31,"’","'"),SUBSTITUTE(G10,"’","'"))),'Référentiel films'!$B$31,""),IF(ISNUMBER(SEARCH(SUBSTITUTE('Référentiel films'!$A$32,"’","'"),SUBSTITUTE(G10,"’","'"))),'Référentiel films'!$B$32,""),IF(ISNUMBER(SEARCH(SUBSTITUTE('Référentiel films'!$A$33,"’","'"),SUBSTITUTE(G10,"’","'"))),'Référentiel films'!$B$33,""),IF(ISNUMBER(SEARCH(SUBSTITUTE('Référentiel films'!$A$34,"’","'"),SUBSTITUTE(G10,"’","'"))),'Référentiel films'!$B$34,""),IF(ISNUMBER(SEARCH(SUBSTITUTE('Référentiel films'!$A$35,"’","'"),SUBSTITUTE(G10,"’","'"))),'Référentiel films'!$B$35,""),IF(ISNUMBER(SEARCH(SUBSTITUTE('Référentiel films'!$A$36,"’","'"),SUBSTITUTE(G10,"’","'"))),'Référentiel films'!$B$36,""),IF(ISNUMBER(SEARCH(SUBSTITUTE('Référentiel films'!$A$37,"’","'"),SUBSTITUTE(G10,"’","'"))),'Référentiel films'!$B$37,""),IF(ISNUMBER(SEARCH(SUBSTITUTE('Référentiel films'!$A$38,"’","'"),SUBSTITUTE(G10,"’","'"))),'Référentiel films'!$B$38,""),IF(ISNUMBER(SEARCH(SUBSTITUTE('Référentiel films'!$A$39,"’","'"),SUBSTITUTE(G10,"’","'"))),'Référentiel films'!$B$39,""),IF(ISNUMBER(SEARCH(SUBSTITUTE('Référentiel films'!$A$40,"’","'"),SUBSTITUTE(G10,"’","'"))),'Référentiel films'!$B$40,""),IF(ISNUMBER(SEARCH(SUBSTITUTE('Référentiel films'!$A$41,"’","'"),SUBSTITUTE(G10,"’","'"))),'Référentiel films'!$B$41,"")))</f>
        <v>film-1981-le-secret-de-veronika-voss; film-1982-querelle</v>
      </c>
      <c r="I10" s="23"/>
      <c r="J10" s="23"/>
      <c r="K10" s="23"/>
      <c r="L10" s="23"/>
      <c r="M10" s="23"/>
      <c r="N10" s="23"/>
    </row>
  </sheetData>
  <hyperlinks>
    <hyperlink ref="J2" r:id="rId1" xr:uid="{00000000-0004-0000-0000-000000000000}"/>
    <hyperlink ref="J4" r:id="rId2" xr:uid="{00000000-0004-0000-0000-000001000000}"/>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7"/>
  <sheetViews>
    <sheetView tabSelected="1" topLeftCell="B33" workbookViewId="0">
      <selection activeCell="C32" sqref="C32"/>
    </sheetView>
  </sheetViews>
  <sheetFormatPr baseColWidth="10" defaultColWidth="13" defaultRowHeight="13" x14ac:dyDescent="0.15"/>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8" customFormat="1" ht="37.25" customHeight="1" x14ac:dyDescent="0.15">
      <c r="A1" s="4" t="s">
        <v>67</v>
      </c>
      <c r="B1" s="4" t="s">
        <v>0</v>
      </c>
      <c r="C1" s="4" t="s">
        <v>3</v>
      </c>
      <c r="D1" s="4" t="s">
        <v>4</v>
      </c>
      <c r="E1" s="4" t="s">
        <v>5</v>
      </c>
      <c r="F1" s="4" t="s">
        <v>6</v>
      </c>
      <c r="G1" s="4" t="s">
        <v>68</v>
      </c>
      <c r="H1" s="4" t="s">
        <v>9</v>
      </c>
      <c r="I1" s="4" t="s">
        <v>69</v>
      </c>
      <c r="J1" s="4" t="s">
        <v>70</v>
      </c>
      <c r="K1" s="4" t="s">
        <v>71</v>
      </c>
      <c r="L1" s="4" t="s">
        <v>10</v>
      </c>
      <c r="M1" s="4" t="s">
        <v>72</v>
      </c>
      <c r="N1" s="4" t="s">
        <v>73</v>
      </c>
      <c r="O1" s="4" t="s">
        <v>74</v>
      </c>
      <c r="P1" s="4" t="s">
        <v>75</v>
      </c>
      <c r="Q1" s="4" t="s">
        <v>76</v>
      </c>
      <c r="R1" s="4" t="s">
        <v>77</v>
      </c>
      <c r="S1" s="4" t="s">
        <v>13</v>
      </c>
      <c r="T1" s="4" t="s">
        <v>78</v>
      </c>
      <c r="U1" s="20" t="s">
        <v>79</v>
      </c>
    </row>
    <row r="2" spans="1:21" ht="368" customHeight="1" x14ac:dyDescent="0.2">
      <c r="A2" s="1">
        <v>1945</v>
      </c>
      <c r="B2" s="1" t="s">
        <v>14</v>
      </c>
      <c r="C2" s="1" t="s">
        <v>258</v>
      </c>
      <c r="D2" s="1" t="s">
        <v>291</v>
      </c>
      <c r="E2" s="1" t="s">
        <v>80</v>
      </c>
      <c r="F2" s="1"/>
      <c r="G2" s="1"/>
      <c r="H2" s="14" t="s">
        <v>18</v>
      </c>
      <c r="I2" s="14"/>
      <c r="J2" s="14"/>
      <c r="K2" s="14"/>
      <c r="L2" s="1"/>
      <c r="M2" s="13"/>
      <c r="N2" s="13"/>
      <c r="O2" s="13"/>
      <c r="P2" s="13"/>
      <c r="Q2" s="13"/>
      <c r="R2" s="13"/>
      <c r="S2" s="13"/>
      <c r="T2" s="13"/>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5" customHeight="1" x14ac:dyDescent="0.2">
      <c r="A3" s="1">
        <v>1946</v>
      </c>
      <c r="B3" s="1" t="s">
        <v>14</v>
      </c>
      <c r="C3" s="1" t="s">
        <v>259</v>
      </c>
      <c r="D3" s="1" t="s">
        <v>260</v>
      </c>
      <c r="E3" s="1" t="s">
        <v>81</v>
      </c>
      <c r="F3" s="13"/>
      <c r="G3" s="1"/>
      <c r="H3" s="14" t="s">
        <v>82</v>
      </c>
      <c r="I3" s="14"/>
      <c r="J3" s="14"/>
      <c r="K3" s="14"/>
      <c r="L3" s="1"/>
      <c r="M3" s="13"/>
      <c r="N3" s="13"/>
      <c r="O3" s="13"/>
      <c r="P3" s="13"/>
      <c r="Q3" s="13"/>
      <c r="R3" s="13"/>
      <c r="S3" s="13"/>
      <c r="T3" s="13"/>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288" customHeight="1" x14ac:dyDescent="0.2">
      <c r="A4" s="1">
        <v>1947</v>
      </c>
      <c r="B4" s="1" t="s">
        <v>22</v>
      </c>
      <c r="C4" s="1" t="s">
        <v>261</v>
      </c>
      <c r="D4" s="1" t="s">
        <v>262</v>
      </c>
      <c r="E4" s="1"/>
      <c r="F4" s="13"/>
      <c r="G4" s="1"/>
      <c r="H4" s="14"/>
      <c r="I4" s="13"/>
      <c r="J4" s="13"/>
      <c r="K4" s="13"/>
      <c r="L4" s="1"/>
      <c r="M4" s="13"/>
      <c r="N4" s="13"/>
      <c r="O4" s="13"/>
      <c r="P4" s="13"/>
      <c r="Q4" s="13"/>
      <c r="R4" s="13"/>
      <c r="S4" s="13"/>
      <c r="T4" s="1" t="s">
        <v>83</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5" customHeight="1" x14ac:dyDescent="0.2">
      <c r="A5" s="1">
        <v>1948</v>
      </c>
      <c r="B5" s="1" t="s">
        <v>22</v>
      </c>
      <c r="C5" s="1" t="s">
        <v>289</v>
      </c>
      <c r="D5" s="15" t="s">
        <v>290</v>
      </c>
      <c r="E5" s="1"/>
      <c r="F5" s="13"/>
      <c r="G5" s="1"/>
      <c r="H5" s="14" t="s">
        <v>84</v>
      </c>
      <c r="I5" s="1" t="s">
        <v>85</v>
      </c>
      <c r="J5" s="16" t="s">
        <v>335</v>
      </c>
      <c r="K5" s="1" t="s">
        <v>86</v>
      </c>
      <c r="L5" s="1"/>
      <c r="M5" s="13"/>
      <c r="N5" s="13"/>
      <c r="O5" s="13"/>
      <c r="P5" s="13"/>
      <c r="Q5" s="13"/>
      <c r="R5" s="13"/>
      <c r="S5" s="13"/>
      <c r="T5" s="13"/>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320" customHeight="1" x14ac:dyDescent="0.2">
      <c r="A6" s="1">
        <v>1949</v>
      </c>
      <c r="B6" s="1" t="s">
        <v>22</v>
      </c>
      <c r="C6" s="1" t="s">
        <v>263</v>
      </c>
      <c r="D6" s="15" t="s">
        <v>292</v>
      </c>
      <c r="E6" s="1"/>
      <c r="F6" s="13"/>
      <c r="G6" s="1"/>
      <c r="H6" s="14" t="s">
        <v>87</v>
      </c>
      <c r="I6" s="14"/>
      <c r="J6" s="14"/>
      <c r="K6" s="14"/>
      <c r="L6" s="1"/>
      <c r="M6" s="13" t="s">
        <v>88</v>
      </c>
      <c r="N6" s="13" t="s">
        <v>89</v>
      </c>
      <c r="O6" s="13"/>
      <c r="P6" s="13"/>
      <c r="Q6" s="13"/>
      <c r="R6" s="13"/>
      <c r="S6" s="13"/>
      <c r="T6" s="13"/>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144" customHeight="1" x14ac:dyDescent="0.2">
      <c r="A7" s="1">
        <v>1950</v>
      </c>
      <c r="B7" s="1" t="s">
        <v>22</v>
      </c>
      <c r="C7" s="1" t="s">
        <v>264</v>
      </c>
      <c r="D7" s="1" t="s">
        <v>265</v>
      </c>
      <c r="E7" s="1" t="s">
        <v>90</v>
      </c>
      <c r="F7" s="13"/>
      <c r="G7" s="1"/>
      <c r="H7" s="13"/>
      <c r="I7" s="14"/>
      <c r="J7" s="14"/>
      <c r="K7" s="14"/>
      <c r="L7" s="1"/>
      <c r="M7" s="13" t="s">
        <v>88</v>
      </c>
      <c r="N7" s="13" t="s">
        <v>89</v>
      </c>
      <c r="O7" s="13"/>
      <c r="P7" s="13"/>
      <c r="Q7" s="13"/>
      <c r="R7" s="13" t="s">
        <v>91</v>
      </c>
      <c r="S7" s="13"/>
      <c r="T7" s="13"/>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208" customHeight="1" x14ac:dyDescent="0.2">
      <c r="A8" s="1">
        <v>1951</v>
      </c>
      <c r="B8" s="1" t="s">
        <v>22</v>
      </c>
      <c r="C8" s="1" t="s">
        <v>266</v>
      </c>
      <c r="D8" s="1" t="s">
        <v>293</v>
      </c>
      <c r="E8" s="1" t="s">
        <v>92</v>
      </c>
      <c r="F8" s="1"/>
      <c r="G8" s="13"/>
      <c r="H8" s="13"/>
      <c r="I8" s="13"/>
      <c r="J8" s="13"/>
      <c r="K8" s="13"/>
      <c r="L8" s="13"/>
      <c r="M8" s="13" t="s">
        <v>88</v>
      </c>
      <c r="N8" s="13" t="s">
        <v>89</v>
      </c>
      <c r="O8" s="13"/>
      <c r="P8" s="13"/>
      <c r="Q8" s="13"/>
      <c r="R8" s="13"/>
      <c r="S8" s="13"/>
      <c r="T8" s="13"/>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160" customHeight="1" x14ac:dyDescent="0.2">
      <c r="A9" s="1">
        <v>1952</v>
      </c>
      <c r="B9" s="1" t="s">
        <v>22</v>
      </c>
      <c r="C9" s="1" t="s">
        <v>267</v>
      </c>
      <c r="D9" s="1" t="s">
        <v>294</v>
      </c>
      <c r="E9" s="1" t="s">
        <v>93</v>
      </c>
      <c r="F9" s="1"/>
      <c r="G9" s="13"/>
      <c r="H9" s="13"/>
      <c r="I9" s="13"/>
      <c r="J9" s="13"/>
      <c r="K9" s="13"/>
      <c r="L9" s="13"/>
      <c r="M9" s="1" t="s">
        <v>94</v>
      </c>
      <c r="N9" s="1" t="s">
        <v>95</v>
      </c>
      <c r="O9" s="13" t="s">
        <v>88</v>
      </c>
      <c r="P9" s="13" t="s">
        <v>89</v>
      </c>
      <c r="Q9" s="1"/>
      <c r="R9" s="1"/>
      <c r="S9" s="1"/>
      <c r="T9" s="13"/>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272" customHeight="1" x14ac:dyDescent="0.2">
      <c r="A10" s="1">
        <v>1953</v>
      </c>
      <c r="B10" s="1" t="s">
        <v>22</v>
      </c>
      <c r="C10" s="1" t="s">
        <v>268</v>
      </c>
      <c r="D10" s="1" t="s">
        <v>269</v>
      </c>
      <c r="E10" s="1"/>
      <c r="F10" s="1"/>
      <c r="G10" s="13"/>
      <c r="H10" s="14" t="s">
        <v>96</v>
      </c>
      <c r="I10" s="13"/>
      <c r="J10" s="13"/>
      <c r="K10" s="13"/>
      <c r="L10" s="13"/>
      <c r="M10" s="13" t="s">
        <v>88</v>
      </c>
      <c r="N10" s="13" t="s">
        <v>89</v>
      </c>
      <c r="O10" s="13"/>
      <c r="P10" s="13"/>
      <c r="Q10" s="13"/>
      <c r="R10" s="13"/>
      <c r="S10" s="13"/>
      <c r="T10" s="13"/>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272" customHeight="1" x14ac:dyDescent="0.2">
      <c r="A11" s="1">
        <v>1954</v>
      </c>
      <c r="B11" s="1" t="s">
        <v>22</v>
      </c>
      <c r="C11" s="1" t="s">
        <v>270</v>
      </c>
      <c r="D11" s="16" t="s">
        <v>295</v>
      </c>
      <c r="E11" s="1"/>
      <c r="F11" s="1"/>
      <c r="G11" s="13"/>
      <c r="H11" s="14" t="s">
        <v>97</v>
      </c>
      <c r="I11" s="14"/>
      <c r="J11" s="14"/>
      <c r="K11" s="14"/>
      <c r="L11" s="13"/>
      <c r="M11" s="13" t="s">
        <v>98</v>
      </c>
      <c r="N11" s="13" t="s">
        <v>99</v>
      </c>
      <c r="O11" s="13" t="s">
        <v>88</v>
      </c>
      <c r="P11" s="13" t="s">
        <v>89</v>
      </c>
      <c r="Q11" s="13"/>
      <c r="R11" s="13"/>
      <c r="S11" s="13"/>
      <c r="T11" s="13"/>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80" customHeight="1" x14ac:dyDescent="0.2">
      <c r="A12" s="1">
        <v>1955</v>
      </c>
      <c r="B12" s="1" t="s">
        <v>22</v>
      </c>
      <c r="C12" s="1" t="s">
        <v>271</v>
      </c>
      <c r="D12" s="1" t="s">
        <v>305</v>
      </c>
      <c r="E12" s="1" t="s">
        <v>100</v>
      </c>
      <c r="F12" s="1"/>
      <c r="G12" s="13"/>
      <c r="H12" s="13"/>
      <c r="I12" s="13"/>
      <c r="J12" s="13"/>
      <c r="K12" s="13"/>
      <c r="L12" s="13"/>
      <c r="M12" s="13"/>
      <c r="N12" s="13"/>
      <c r="O12" s="13"/>
      <c r="P12" s="13"/>
      <c r="Q12" s="13"/>
      <c r="R12" s="13"/>
      <c r="S12" s="13"/>
      <c r="T12" s="13"/>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224" customHeight="1" x14ac:dyDescent="0.2">
      <c r="A13" s="1">
        <v>1956</v>
      </c>
      <c r="B13" s="1" t="s">
        <v>22</v>
      </c>
      <c r="C13" s="1" t="s">
        <v>306</v>
      </c>
      <c r="D13" s="15" t="s">
        <v>336</v>
      </c>
      <c r="E13" s="1" t="s">
        <v>101</v>
      </c>
      <c r="F13" s="1"/>
      <c r="G13" s="13"/>
      <c r="H13" s="14" t="s">
        <v>102</v>
      </c>
      <c r="I13" s="13"/>
      <c r="J13" s="13"/>
      <c r="K13" s="13"/>
      <c r="L13" s="13"/>
      <c r="M13" s="13" t="s">
        <v>88</v>
      </c>
      <c r="N13" s="13" t="s">
        <v>89</v>
      </c>
      <c r="O13" s="13"/>
      <c r="P13" s="13"/>
      <c r="Q13" s="13"/>
      <c r="R13" s="13"/>
      <c r="S13" s="13"/>
      <c r="T13" s="13"/>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336" customHeight="1" x14ac:dyDescent="0.2">
      <c r="A14" s="1">
        <v>1957</v>
      </c>
      <c r="B14" s="1" t="s">
        <v>22</v>
      </c>
      <c r="C14" s="1" t="s">
        <v>307</v>
      </c>
      <c r="D14" s="1" t="s">
        <v>296</v>
      </c>
      <c r="E14" s="1"/>
      <c r="F14" s="1"/>
      <c r="G14" s="13"/>
      <c r="H14" s="14"/>
      <c r="I14" s="13"/>
      <c r="J14" s="13"/>
      <c r="K14" s="13"/>
      <c r="L14" s="13"/>
      <c r="M14" s="13" t="s">
        <v>88</v>
      </c>
      <c r="N14" s="13" t="s">
        <v>89</v>
      </c>
      <c r="O14" s="13"/>
      <c r="P14" s="13"/>
      <c r="Q14" s="13"/>
      <c r="R14" s="13"/>
      <c r="S14" s="13"/>
      <c r="T14" s="13"/>
      <c r="U14" s="2"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272" customHeight="1" x14ac:dyDescent="0.2">
      <c r="A15" s="1">
        <v>1959</v>
      </c>
      <c r="B15" s="1" t="s">
        <v>22</v>
      </c>
      <c r="C15" s="1" t="s">
        <v>272</v>
      </c>
      <c r="D15" s="1" t="s">
        <v>297</v>
      </c>
      <c r="E15" s="15" t="s">
        <v>103</v>
      </c>
      <c r="F15" s="1"/>
      <c r="G15" s="13" t="s">
        <v>299</v>
      </c>
      <c r="H15" s="13"/>
      <c r="I15" s="13"/>
      <c r="J15" s="13"/>
      <c r="K15" s="13"/>
      <c r="L15" s="13"/>
      <c r="M15" s="13" t="s">
        <v>88</v>
      </c>
      <c r="N15" s="13" t="s">
        <v>89</v>
      </c>
      <c r="O15" s="13"/>
      <c r="P15" s="13"/>
      <c r="Q15" s="13"/>
      <c r="R15" s="13"/>
      <c r="S15" s="13"/>
      <c r="T15" s="13"/>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256" customHeight="1" x14ac:dyDescent="0.2">
      <c r="A16" s="1">
        <v>1960</v>
      </c>
      <c r="B16" s="1" t="s">
        <v>22</v>
      </c>
      <c r="C16" s="1" t="s">
        <v>308</v>
      </c>
      <c r="D16" s="1" t="s">
        <v>298</v>
      </c>
      <c r="E16" s="1" t="s">
        <v>104</v>
      </c>
      <c r="F16" s="1"/>
      <c r="G16" s="13"/>
      <c r="H16" s="13"/>
      <c r="I16" s="13"/>
      <c r="J16" s="13"/>
      <c r="K16" s="13"/>
      <c r="L16" s="13"/>
      <c r="M16" s="13" t="s">
        <v>88</v>
      </c>
      <c r="N16" s="13" t="s">
        <v>89</v>
      </c>
      <c r="O16" s="13"/>
      <c r="P16" s="13"/>
      <c r="Q16" s="13"/>
      <c r="R16" s="13"/>
      <c r="S16" s="13"/>
      <c r="T16" s="13"/>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240" customHeight="1" x14ac:dyDescent="0.2">
      <c r="A17" s="1">
        <v>1961</v>
      </c>
      <c r="B17" s="1" t="s">
        <v>28</v>
      </c>
      <c r="C17" s="1" t="s">
        <v>273</v>
      </c>
      <c r="D17" s="13"/>
      <c r="E17" s="1" t="s">
        <v>105</v>
      </c>
      <c r="F17" s="13"/>
      <c r="G17" s="13"/>
      <c r="H17" s="13"/>
      <c r="I17" s="13"/>
      <c r="J17" s="13"/>
      <c r="K17" s="13"/>
      <c r="L17" s="13"/>
      <c r="M17" s="13" t="s">
        <v>88</v>
      </c>
      <c r="N17" s="13" t="s">
        <v>89</v>
      </c>
      <c r="O17" s="13"/>
      <c r="P17" s="13"/>
      <c r="Q17" s="13"/>
      <c r="R17" s="13"/>
      <c r="S17" s="13"/>
      <c r="T17" s="13"/>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12" customHeight="1" x14ac:dyDescent="0.2">
      <c r="A18" s="1">
        <v>1962</v>
      </c>
      <c r="B18" s="1" t="s">
        <v>28</v>
      </c>
      <c r="C18" s="1"/>
      <c r="D18" s="1" t="s">
        <v>106</v>
      </c>
      <c r="E18" s="1"/>
      <c r="F18" s="1"/>
      <c r="G18" s="13"/>
      <c r="H18" s="13"/>
      <c r="I18" s="13"/>
      <c r="J18" s="13"/>
      <c r="K18" s="13"/>
      <c r="L18" s="13" t="s">
        <v>337</v>
      </c>
      <c r="M18" s="13" t="s">
        <v>88</v>
      </c>
      <c r="N18" s="13" t="s">
        <v>89</v>
      </c>
      <c r="O18" s="13"/>
      <c r="P18" s="13"/>
      <c r="Q18" s="13"/>
      <c r="R18" s="13"/>
      <c r="S18" s="13"/>
      <c r="T18" s="13"/>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400" customHeight="1" x14ac:dyDescent="0.2">
      <c r="A19" s="1">
        <v>1963</v>
      </c>
      <c r="B19" s="1"/>
      <c r="C19" s="1" t="s">
        <v>274</v>
      </c>
      <c r="D19" s="1" t="s">
        <v>300</v>
      </c>
      <c r="E19" s="1" t="s">
        <v>107</v>
      </c>
      <c r="F19" s="1"/>
      <c r="G19" s="13"/>
      <c r="H19" s="14" t="s">
        <v>108</v>
      </c>
      <c r="I19" s="14" t="s">
        <v>109</v>
      </c>
      <c r="J19" s="13" t="s">
        <v>110</v>
      </c>
      <c r="K19" s="13"/>
      <c r="L19" s="13"/>
      <c r="M19" s="13" t="s">
        <v>111</v>
      </c>
      <c r="N19" s="13" t="s">
        <v>112</v>
      </c>
      <c r="O19" s="13"/>
      <c r="P19" s="13"/>
      <c r="Q19" s="13"/>
      <c r="R19" s="13"/>
      <c r="S19" s="13"/>
      <c r="T19" s="13"/>
      <c r="U19" s="2"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144" customHeight="1" x14ac:dyDescent="0.2">
      <c r="A20" s="1">
        <v>1964</v>
      </c>
      <c r="B20" s="1"/>
      <c r="C20" s="1" t="s">
        <v>275</v>
      </c>
      <c r="D20" s="1"/>
      <c r="E20" s="1" t="s">
        <v>113</v>
      </c>
      <c r="F20" s="1"/>
      <c r="G20" s="13"/>
      <c r="H20" s="14"/>
      <c r="I20" s="13"/>
      <c r="J20" s="13"/>
      <c r="K20" s="13"/>
      <c r="L20" s="13"/>
      <c r="M20" s="13"/>
      <c r="N20" s="13"/>
      <c r="O20" s="13"/>
      <c r="P20" s="13"/>
      <c r="Q20" s="13"/>
      <c r="R20" s="13"/>
      <c r="S20" s="13"/>
      <c r="T20" s="13"/>
      <c r="U20" s="2"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208" customHeight="1" x14ac:dyDescent="0.2">
      <c r="A21" s="1">
        <v>1966</v>
      </c>
      <c r="B21" s="1" t="s">
        <v>28</v>
      </c>
      <c r="C21" s="1" t="s">
        <v>276</v>
      </c>
      <c r="D21" s="1" t="s">
        <v>277</v>
      </c>
      <c r="E21" s="1"/>
      <c r="F21" s="1" t="s">
        <v>301</v>
      </c>
      <c r="G21" s="13"/>
      <c r="H21" s="13"/>
      <c r="I21" s="13"/>
      <c r="J21" s="13"/>
      <c r="K21" s="13"/>
      <c r="L21" s="13"/>
      <c r="M21" s="13"/>
      <c r="N21" s="13"/>
      <c r="O21" s="13"/>
      <c r="P21" s="13"/>
      <c r="Q21" s="13"/>
      <c r="R21" s="13"/>
      <c r="S21" s="13"/>
      <c r="T21" s="13"/>
      <c r="U21" s="2" t="str">
        <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
      </c>
    </row>
    <row r="22" spans="1:21" ht="256" customHeight="1" x14ac:dyDescent="0.2">
      <c r="A22" s="1">
        <v>1967</v>
      </c>
      <c r="B22" s="1" t="s">
        <v>35</v>
      </c>
      <c r="C22" s="1" t="s">
        <v>309</v>
      </c>
      <c r="D22" s="15" t="s">
        <v>338</v>
      </c>
      <c r="E22" s="1" t="s">
        <v>114</v>
      </c>
      <c r="F22" s="18" t="s">
        <v>115</v>
      </c>
      <c r="G22" s="13"/>
      <c r="H22" s="13"/>
      <c r="I22" s="13"/>
      <c r="J22" s="13"/>
      <c r="K22" s="13"/>
      <c r="L22" s="13"/>
      <c r="M22" s="13"/>
      <c r="N22" s="13"/>
      <c r="O22" s="13"/>
      <c r="P22" s="13"/>
      <c r="Q22" s="13"/>
      <c r="R22" s="13"/>
      <c r="S22" s="13"/>
      <c r="T22" s="13"/>
      <c r="U22" s="2"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304" customHeight="1" x14ac:dyDescent="0.2">
      <c r="A23" s="1">
        <v>1968</v>
      </c>
      <c r="B23" s="1" t="s">
        <v>35</v>
      </c>
      <c r="C23" s="1" t="s">
        <v>310</v>
      </c>
      <c r="D23" s="1" t="s">
        <v>278</v>
      </c>
      <c r="E23" s="1" t="s">
        <v>38</v>
      </c>
      <c r="F23" s="13"/>
      <c r="G23" s="17" t="s">
        <v>116</v>
      </c>
      <c r="H23" s="13"/>
      <c r="I23" s="13"/>
      <c r="J23" s="13"/>
      <c r="K23" s="13"/>
      <c r="L23" s="13"/>
      <c r="M23" s="13"/>
      <c r="N23" s="13"/>
      <c r="O23" s="13"/>
      <c r="P23" s="13"/>
      <c r="Q23" s="13"/>
      <c r="R23" s="13"/>
      <c r="S23" s="13"/>
      <c r="T23" s="13"/>
      <c r="U23" s="2"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film-1969-l-amour-est-plus-froid-que-la-mort; film-1969-le-bouc</v>
      </c>
    </row>
    <row r="24" spans="1:21" ht="272" customHeight="1" x14ac:dyDescent="0.2">
      <c r="A24" s="1">
        <v>1969</v>
      </c>
      <c r="B24" s="1" t="s">
        <v>35</v>
      </c>
      <c r="C24" s="1" t="s">
        <v>279</v>
      </c>
      <c r="D24" s="1" t="s">
        <v>302</v>
      </c>
      <c r="E24" s="1"/>
      <c r="F24" s="1" t="s">
        <v>303</v>
      </c>
      <c r="G24" s="17"/>
      <c r="H24" s="13"/>
      <c r="I24" s="13"/>
      <c r="J24" s="13"/>
      <c r="K24" s="13"/>
      <c r="L24" s="13"/>
      <c r="M24" s="13"/>
      <c r="N24" s="13"/>
      <c r="O24" s="13"/>
      <c r="P24" s="13"/>
      <c r="Q24" s="13"/>
      <c r="R24" s="13"/>
      <c r="S24" s="13"/>
      <c r="T24" s="13"/>
      <c r="U24" s="2" t="e">
        <f>IF(#REF!="","",_xlfn.TEXTJOIN("; ",TRUE(),IF(ISNUMBER(SEARCH(SUBSTITUTE('Référentiel films'!$A$2,"’","'"),SUBSTITUTE(#REF!,"’","'"))),'Référentiel films'!$B$2,""),IF(ISNUMBER(SEARCH(SUBSTITUTE('Référentiel films'!$A$3,"’","'"),SUBSTITUTE(#REF!,"’","'"))),'Référentiel films'!$B$3,""),IF(ISNUMBER(SEARCH(SUBSTITUTE('Référentiel films'!$A$4,"’","'"),SUBSTITUTE(#REF!,"’","'"))),'Référentiel films'!$B$4,""),IF(ISNUMBER(SEARCH(SUBSTITUTE('Référentiel films'!$A$5,"’","'"),SUBSTITUTE(#REF!,"’","'"))),'Référentiel films'!$B$5,""),IF(ISNUMBER(SEARCH(SUBSTITUTE('Référentiel films'!$A$6,"’","'"),SUBSTITUTE(#REF!,"’","'"))),'Référentiel films'!$B$6,""),IF(ISNUMBER(SEARCH(SUBSTITUTE('Référentiel films'!$A$7,"’","'"),SUBSTITUTE(#REF!,"’","'"))),'Référentiel films'!$B$7,""),IF(ISNUMBER(SEARCH(SUBSTITUTE('Référentiel films'!$A$8,"’","'"),SUBSTITUTE(#REF!,"’","'"))),'Référentiel films'!$B$8,""),IF(ISNUMBER(SEARCH(SUBSTITUTE('Référentiel films'!$A$9,"’","'"),SUBSTITUTE(#REF!,"’","'"))),'Référentiel films'!$B$9,""),IF(ISNUMBER(SEARCH(SUBSTITUTE('Référentiel films'!$A$10,"’","'"),SUBSTITUTE(#REF!,"’","'"))),'Référentiel films'!$B$10,""),IF(ISNUMBER(SEARCH(SUBSTITUTE('Référentiel films'!$A$11,"’","'"),SUBSTITUTE(#REF!,"’","'"))),'Référentiel films'!$B$11,""),IF(ISNUMBER(SEARCH(SUBSTITUTE('Référentiel films'!$A$12,"’","'"),SUBSTITUTE(#REF!,"’","'"))),'Référentiel films'!$B$12,""),IF(ISNUMBER(SEARCH(SUBSTITUTE('Référentiel films'!$A$13,"’","'"),SUBSTITUTE(#REF!,"’","'"))),'Référentiel films'!$B$13,""),IF(ISNUMBER(SEARCH(SUBSTITUTE('Référentiel films'!$A$14,"’","'"),SUBSTITUTE(#REF!,"’","'"))),'Référentiel films'!$B$14,""),IF(ISNUMBER(SEARCH(SUBSTITUTE('Référentiel films'!$A$15,"’","'"),SUBSTITUTE(#REF!,"’","'"))),'Référentiel films'!$B$15,""),IF(ISNUMBER(SEARCH(SUBSTITUTE('Référentiel films'!$A$16,"’","'"),SUBSTITUTE(#REF!,"’","'"))),'Référentiel films'!$B$16,""),IF(ISNUMBER(SEARCH(SUBSTITUTE('Référentiel films'!$A$17,"’","'"),SUBSTITUTE(#REF!,"’","'"))),'Référentiel films'!$B$17,""),IF(ISNUMBER(SEARCH(SUBSTITUTE('Référentiel films'!$A$18,"’","'"),SUBSTITUTE(#REF!,"’","'"))),'Référentiel films'!$B$18,""),IF(ISNUMBER(SEARCH(SUBSTITUTE('Référentiel films'!$A$19,"’","'"),SUBSTITUTE(#REF!,"’","'"))),'Référentiel films'!$B$19,""),IF(ISNUMBER(SEARCH(SUBSTITUTE('Référentiel films'!$A$20,"’","'"),SUBSTITUTE(#REF!,"’","'"))),'Référentiel films'!$B$20,""),IF(ISNUMBER(SEARCH(SUBSTITUTE('Référentiel films'!$A$21,"’","'"),SUBSTITUTE(#REF!,"’","'"))),'Référentiel films'!$B$21,""),IF(ISNUMBER(SEARCH(SUBSTITUTE('Référentiel films'!$A$22,"’","'"),SUBSTITUTE(#REF!,"’","'"))),'Référentiel films'!$B$22,""),IF(ISNUMBER(SEARCH(SUBSTITUTE('Référentiel films'!$A$23,"’","'"),SUBSTITUTE(#REF!,"’","'"))),'Référentiel films'!$B$23,""),IF(ISNUMBER(SEARCH(SUBSTITUTE('Référentiel films'!$A$24,"’","'"),SUBSTITUTE(#REF!,"’","'"))),'Référentiel films'!$B$24,""),IF(ISNUMBER(SEARCH(SUBSTITUTE('Référentiel films'!$A$25,"’","'"),SUBSTITUTE(#REF!,"’","'"))),'Référentiel films'!$B$25,""),IF(ISNUMBER(SEARCH(SUBSTITUTE('Référentiel films'!$A$26,"’","'"),SUBSTITUTE(#REF!,"’","'"))),'Référentiel films'!$B$26,""),IF(ISNUMBER(SEARCH(SUBSTITUTE('Référentiel films'!$A$27,"’","'"),SUBSTITUTE(#REF!,"’","'"))),'Référentiel films'!$B$27,""),IF(ISNUMBER(SEARCH(SUBSTITUTE('Référentiel films'!$A$28,"’","'"),SUBSTITUTE(#REF!,"’","'"))),'Référentiel films'!$B$28,""),IF(ISNUMBER(SEARCH(SUBSTITUTE('Référentiel films'!$A$29,"’","'"),SUBSTITUTE(#REF!,"’","'"))),'Référentiel films'!$B$29,""),IF(ISNUMBER(SEARCH(SUBSTITUTE('Référentiel films'!$A$30,"’","'"),SUBSTITUTE(#REF!,"’","'"))),'Référentiel films'!$B$30,""),IF(ISNUMBER(SEARCH(SUBSTITUTE('Référentiel films'!$A$31,"’","'"),SUBSTITUTE(#REF!,"’","'"))),'Référentiel films'!$B$31,""),IF(ISNUMBER(SEARCH(SUBSTITUTE('Référentiel films'!$A$32,"’","'"),SUBSTITUTE(#REF!,"’","'"))),'Référentiel films'!$B$32,""),IF(ISNUMBER(SEARCH(SUBSTITUTE('Référentiel films'!$A$33,"’","'"),SUBSTITUTE(#REF!,"’","'"))),'Référentiel films'!$B$33,""),IF(ISNUMBER(SEARCH(SUBSTITUTE('Référentiel films'!$A$34,"’","'"),SUBSTITUTE(#REF!,"’","'"))),'Référentiel films'!$B$34,""),IF(ISNUMBER(SEARCH(SUBSTITUTE('Référentiel films'!$A$35,"’","'"),SUBSTITUTE(#REF!,"’","'"))),'Référentiel films'!$B$35,""),IF(ISNUMBER(SEARCH(SUBSTITUTE('Référentiel films'!$A$36,"’","'"),SUBSTITUTE(#REF!,"’","'"))),'Référentiel films'!$B$36,""),IF(ISNUMBER(SEARCH(SUBSTITUTE('Référentiel films'!$A$37,"’","'"),SUBSTITUTE(#REF!,"’","'"))),'Référentiel films'!$B$37,""),IF(ISNUMBER(SEARCH(SUBSTITUTE('Référentiel films'!$A$38,"’","'"),SUBSTITUTE(#REF!,"’","'"))),'Référentiel films'!$B$38,""),IF(ISNUMBER(SEARCH(SUBSTITUTE('Référentiel films'!$A$39,"’","'"),SUBSTITUTE(#REF!,"’","'"))),'Référentiel films'!$B$39,""),IF(ISNUMBER(SEARCH(SUBSTITUTE('Référentiel films'!$A$40,"’","'"),SUBSTITUTE(#REF!,"’","'"))),'Référentiel films'!$B$40,""),IF(ISNUMBER(SEARCH(SUBSTITUTE('Référentiel films'!$A$41,"’","'"),SUBSTITUTE(#REF!,"’","'"))),'Référentiel films'!$B$41,"")))</f>
        <v>#REF!</v>
      </c>
    </row>
    <row r="25" spans="1:21" ht="384" customHeight="1" x14ac:dyDescent="0.2">
      <c r="A25" s="1">
        <v>1970</v>
      </c>
      <c r="B25" s="1"/>
      <c r="C25" s="1" t="s">
        <v>311</v>
      </c>
      <c r="D25" s="34"/>
      <c r="E25" s="1"/>
      <c r="F25" s="1" t="s">
        <v>304</v>
      </c>
      <c r="G25" s="17"/>
      <c r="H25" s="13"/>
      <c r="I25" s="13"/>
      <c r="J25" s="13"/>
      <c r="K25" s="13"/>
      <c r="L25" s="13"/>
      <c r="M25" s="13"/>
      <c r="N25" s="13"/>
      <c r="O25" s="13"/>
      <c r="P25" s="13"/>
      <c r="Q25" s="13"/>
      <c r="R25" s="13"/>
      <c r="S25" s="13"/>
      <c r="T25" s="13"/>
      <c r="U25" s="2"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film-1970-les-dieux-de-la-peste; film-1970-pourquoi-m-r-est-il-atteint-de-folie-meurtriere; film-1970-le-soldat-americain; film-1970-le-voyage-a-niklashausen</v>
      </c>
    </row>
    <row r="26" spans="1:21" ht="240" customHeight="1" x14ac:dyDescent="0.2">
      <c r="A26" s="1">
        <v>1971</v>
      </c>
      <c r="B26" s="1" t="s">
        <v>40</v>
      </c>
      <c r="C26" s="1" t="s">
        <v>312</v>
      </c>
      <c r="D26" s="1" t="s">
        <v>117</v>
      </c>
      <c r="E26" s="1" t="s">
        <v>118</v>
      </c>
      <c r="F26" s="18" t="s">
        <v>119</v>
      </c>
      <c r="G26" s="13" t="s">
        <v>120</v>
      </c>
      <c r="H26" s="13"/>
      <c r="I26" s="13"/>
      <c r="J26" s="13"/>
      <c r="K26" s="13"/>
      <c r="L26" s="13" t="s">
        <v>121</v>
      </c>
      <c r="M26" s="1" t="s">
        <v>122</v>
      </c>
      <c r="N26" s="15" t="s">
        <v>333</v>
      </c>
      <c r="O26" s="1"/>
      <c r="P26" s="1"/>
      <c r="Q26" s="1"/>
      <c r="R26" s="1"/>
      <c r="S26" s="1" t="s">
        <v>57</v>
      </c>
      <c r="T26" s="13"/>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film-1971-whity; film-1971-prenez-garde-a-la-sainte-putain; film-1971-pionniers-a-ingolstadt</v>
      </c>
    </row>
    <row r="27" spans="1:21" ht="304" customHeight="1" x14ac:dyDescent="0.2">
      <c r="A27" s="1">
        <v>1972</v>
      </c>
      <c r="B27" s="1"/>
      <c r="C27" s="1" t="s">
        <v>313</v>
      </c>
      <c r="D27" s="15" t="s">
        <v>334</v>
      </c>
      <c r="E27" s="1"/>
      <c r="F27" s="18" t="s">
        <v>314</v>
      </c>
      <c r="G27" s="13"/>
      <c r="H27" s="35" t="s">
        <v>339</v>
      </c>
      <c r="I27" s="13"/>
      <c r="J27" s="13"/>
      <c r="K27" s="13"/>
      <c r="L27" s="13"/>
      <c r="M27" s="1"/>
      <c r="N27" s="15"/>
      <c r="O27" s="1"/>
      <c r="P27" s="1"/>
      <c r="Q27" s="1"/>
      <c r="R27" s="1"/>
      <c r="S27" s="1"/>
      <c r="T27" s="13"/>
      <c r="U27" s="2"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film-1972-le-marchand-des-quatre-saisons; film-1972-les-larmes-ameres-de-petra-von-kant; film-1972-liberte-a-breme; film-1972-huit-heures-ne-font-pas-un-jour</v>
      </c>
    </row>
    <row r="28" spans="1:21" ht="96" customHeight="1" x14ac:dyDescent="0.2">
      <c r="A28" s="1">
        <v>1973</v>
      </c>
      <c r="B28" s="1"/>
      <c r="C28" s="1" t="s">
        <v>280</v>
      </c>
      <c r="D28" s="19" t="s">
        <v>315</v>
      </c>
      <c r="E28" s="1"/>
      <c r="F28" s="18" t="s">
        <v>316</v>
      </c>
      <c r="G28" s="1"/>
      <c r="H28" s="36"/>
      <c r="I28" s="13"/>
      <c r="J28" s="13"/>
      <c r="K28" s="13"/>
      <c r="L28" s="13"/>
      <c r="M28" s="1"/>
      <c r="N28" s="15"/>
      <c r="O28" s="1"/>
      <c r="P28" s="1"/>
      <c r="Q28" s="1"/>
      <c r="R28" s="1"/>
      <c r="S28" s="1"/>
      <c r="T28" s="13"/>
      <c r="U28" s="2"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film-1973-gibier-de-passage; film-1973-le-monde-sur-un-fil</v>
      </c>
    </row>
    <row r="29" spans="1:21" ht="224" customHeight="1" x14ac:dyDescent="0.2">
      <c r="A29" s="1">
        <v>1974</v>
      </c>
      <c r="B29" s="1"/>
      <c r="C29" s="1" t="s">
        <v>346</v>
      </c>
      <c r="D29" s="1"/>
      <c r="E29" s="1"/>
      <c r="F29" s="18" t="s">
        <v>317</v>
      </c>
      <c r="G29" s="1" t="s">
        <v>123</v>
      </c>
      <c r="H29" s="13"/>
      <c r="I29" s="13"/>
      <c r="J29" s="13"/>
      <c r="K29" s="13"/>
      <c r="L29" s="13"/>
      <c r="M29" s="1"/>
      <c r="N29" s="15"/>
      <c r="O29" s="1"/>
      <c r="P29" s="1"/>
      <c r="Q29" s="1"/>
      <c r="R29" s="1"/>
      <c r="S29" s="1"/>
      <c r="T29" s="13"/>
      <c r="U29" s="2"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film-1974-tous-les-autres-s-appellent-ali; film-1974-effi-briest; film-1974-martha</v>
      </c>
    </row>
    <row r="30" spans="1:21" ht="409.5" customHeight="1" x14ac:dyDescent="0.2">
      <c r="A30" s="1">
        <v>1975</v>
      </c>
      <c r="B30" s="1" t="s">
        <v>46</v>
      </c>
      <c r="C30" s="1" t="s">
        <v>347</v>
      </c>
      <c r="D30" s="1" t="s">
        <v>349</v>
      </c>
      <c r="E30" s="15" t="s">
        <v>350</v>
      </c>
      <c r="F30" s="15" t="s">
        <v>351</v>
      </c>
      <c r="G30" s="15" t="s">
        <v>352</v>
      </c>
      <c r="H30" s="13"/>
      <c r="I30" s="13"/>
      <c r="J30" s="13"/>
      <c r="K30" s="13"/>
      <c r="L30" s="13" t="s">
        <v>340</v>
      </c>
      <c r="M30" s="13" t="s">
        <v>124</v>
      </c>
      <c r="N30" s="13" t="s">
        <v>125</v>
      </c>
      <c r="O30" s="13"/>
      <c r="P30" s="13"/>
      <c r="Q30" s="13"/>
      <c r="R30" s="13"/>
      <c r="S30" s="13"/>
      <c r="T30" s="13"/>
      <c r="U30" s="2"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film-1975-le-droit-du-plus-fort; film-1975-maman-kusters-s-en-va-au-ciel; film-1975-comme-un-oiseau-sur-le-fil; film-1975-peur-de-la-peur</v>
      </c>
    </row>
    <row r="31" spans="1:21" ht="176" customHeight="1" x14ac:dyDescent="0.2">
      <c r="A31" s="1">
        <v>1976</v>
      </c>
      <c r="B31" s="1" t="s">
        <v>46</v>
      </c>
      <c r="C31" s="1" t="s">
        <v>281</v>
      </c>
      <c r="D31" s="1" t="s">
        <v>126</v>
      </c>
      <c r="E31" s="1" t="s">
        <v>127</v>
      </c>
      <c r="F31" s="1" t="s">
        <v>318</v>
      </c>
      <c r="G31" s="1"/>
      <c r="H31" s="13"/>
      <c r="I31" s="13"/>
      <c r="J31" s="13"/>
      <c r="K31" s="13"/>
      <c r="L31" s="13"/>
      <c r="M31" s="13"/>
      <c r="N31" s="13"/>
      <c r="O31" s="13"/>
      <c r="P31" s="13"/>
      <c r="Q31" s="13"/>
      <c r="R31" s="13"/>
      <c r="S31" s="13"/>
      <c r="T31" s="13"/>
      <c r="U31" s="2"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film-1976-l-ombre-des-anges; film-1976-le-roti-de-satan; film-1976-roulette-chinoise; film-1976-je-veux-seulement-que-vous-m-aimiez</v>
      </c>
    </row>
    <row r="32" spans="1:21" ht="409.5" customHeight="1" x14ac:dyDescent="0.2">
      <c r="A32" s="1">
        <v>1977</v>
      </c>
      <c r="B32" s="1" t="s">
        <v>51</v>
      </c>
      <c r="C32" s="1" t="s">
        <v>355</v>
      </c>
      <c r="D32" s="1" t="s">
        <v>353</v>
      </c>
      <c r="E32" s="1" t="s">
        <v>319</v>
      </c>
      <c r="F32" s="13" t="s">
        <v>128</v>
      </c>
      <c r="G32" s="13" t="s">
        <v>129</v>
      </c>
      <c r="H32" s="13"/>
      <c r="I32" s="13"/>
      <c r="J32" s="13"/>
      <c r="K32" s="13" t="s">
        <v>130</v>
      </c>
      <c r="L32" s="13" t="s">
        <v>341</v>
      </c>
      <c r="M32" s="13"/>
      <c r="N32" s="13"/>
      <c r="O32" s="13"/>
      <c r="P32" s="13"/>
      <c r="Q32" s="13"/>
      <c r="R32" s="13"/>
      <c r="S32" s="13"/>
      <c r="T32" s="13"/>
      <c r="U32" s="2"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film-1977-femmes-a-new-york; film-1977-la-femme-du-chef-de-gare</v>
      </c>
    </row>
    <row r="33" spans="1:21" ht="336" customHeight="1" x14ac:dyDescent="0.2">
      <c r="A33" s="1">
        <v>1978</v>
      </c>
      <c r="B33" s="1" t="s">
        <v>51</v>
      </c>
      <c r="C33" s="1"/>
      <c r="D33" s="18"/>
      <c r="E33" s="1" t="s">
        <v>320</v>
      </c>
      <c r="F33" s="1" t="s">
        <v>321</v>
      </c>
      <c r="G33" s="13" t="s">
        <v>322</v>
      </c>
      <c r="H33" s="13"/>
      <c r="I33" s="13"/>
      <c r="J33" s="13"/>
      <c r="K33" s="13"/>
      <c r="L33" s="13" t="s">
        <v>342</v>
      </c>
      <c r="M33" s="13"/>
      <c r="N33" s="13"/>
      <c r="O33" s="13"/>
      <c r="P33" s="13"/>
      <c r="Q33" s="13"/>
      <c r="R33" s="13"/>
      <c r="S33" s="13"/>
      <c r="T33" s="13"/>
      <c r="U33" s="2"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film-1978-l-allemagne-en-automne; film-1978-despair; film-1978-l-annee-des-treize-lunes; film-1978-le-mariage-de-maria-braun</v>
      </c>
    </row>
    <row r="34" spans="1:21" ht="256" customHeight="1" x14ac:dyDescent="0.2">
      <c r="A34" s="1">
        <v>1979</v>
      </c>
      <c r="B34" s="1" t="s">
        <v>51</v>
      </c>
      <c r="C34" s="1" t="s">
        <v>282</v>
      </c>
      <c r="D34" s="1" t="s">
        <v>323</v>
      </c>
      <c r="E34" s="1" t="s">
        <v>324</v>
      </c>
      <c r="F34" s="13" t="s">
        <v>325</v>
      </c>
      <c r="G34" s="13" t="s">
        <v>326</v>
      </c>
      <c r="H34" s="13" t="s">
        <v>131</v>
      </c>
      <c r="I34" s="13"/>
      <c r="J34" s="13"/>
      <c r="K34" s="13"/>
      <c r="L34" s="13"/>
      <c r="M34" s="13"/>
      <c r="N34" s="13"/>
      <c r="O34" s="13"/>
      <c r="P34" s="13"/>
      <c r="Q34" s="13"/>
      <c r="R34" s="13"/>
      <c r="S34" s="13"/>
      <c r="T34" s="13"/>
      <c r="U34" s="2"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film-1978-le-mariage-de-maria-braun; film-1979-la-troisieme-generation</v>
      </c>
    </row>
    <row r="35" spans="1:21" ht="304" customHeight="1" x14ac:dyDescent="0.2">
      <c r="A35" s="1">
        <v>1980</v>
      </c>
      <c r="B35" s="1" t="s">
        <v>58</v>
      </c>
      <c r="C35" s="1" t="s">
        <v>283</v>
      </c>
      <c r="D35" s="18" t="s">
        <v>327</v>
      </c>
      <c r="E35" s="1" t="s">
        <v>61</v>
      </c>
      <c r="F35" s="1" t="s">
        <v>328</v>
      </c>
      <c r="G35" s="1" t="s">
        <v>132</v>
      </c>
      <c r="H35" s="13"/>
      <c r="I35" s="13"/>
      <c r="J35" s="13"/>
      <c r="K35" s="13"/>
      <c r="L35" s="13" t="s">
        <v>343</v>
      </c>
      <c r="M35" s="13"/>
      <c r="N35" s="13"/>
      <c r="O35" s="13"/>
      <c r="P35" s="13"/>
      <c r="Q35" s="13"/>
      <c r="R35" s="13"/>
      <c r="S35" s="13"/>
      <c r="T35" s="13"/>
      <c r="U35" s="2"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film-1980-berlin-alexanderplatz</v>
      </c>
    </row>
    <row r="36" spans="1:21" ht="176" customHeight="1" x14ac:dyDescent="0.2">
      <c r="A36" s="1">
        <v>1981</v>
      </c>
      <c r="B36" s="1" t="s">
        <v>58</v>
      </c>
      <c r="C36" s="1" t="s">
        <v>284</v>
      </c>
      <c r="D36" s="13" t="s">
        <v>329</v>
      </c>
      <c r="E36" s="1"/>
      <c r="F36" s="1" t="s">
        <v>330</v>
      </c>
      <c r="G36" s="1" t="s">
        <v>331</v>
      </c>
      <c r="H36" s="13"/>
      <c r="I36" s="13"/>
      <c r="J36" s="13"/>
      <c r="K36" s="13"/>
      <c r="L36" s="13" t="s">
        <v>344</v>
      </c>
      <c r="M36" s="13"/>
      <c r="N36" s="13"/>
      <c r="O36" s="13"/>
      <c r="P36" s="13"/>
      <c r="Q36" s="13"/>
      <c r="R36" s="13"/>
      <c r="S36" s="13"/>
      <c r="T36" s="13"/>
      <c r="U36" s="2"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film-1981-lili-marleen; film-1981-theatre-en-transe; film-1981-lola-une-femme-allemande</v>
      </c>
    </row>
    <row r="37" spans="1:21" ht="176" customHeight="1" x14ac:dyDescent="0.2">
      <c r="A37" s="1">
        <v>1982</v>
      </c>
      <c r="B37" s="1">
        <v>1982</v>
      </c>
      <c r="C37" s="1" t="s">
        <v>285</v>
      </c>
      <c r="D37" s="1" t="s">
        <v>133</v>
      </c>
      <c r="E37" s="1" t="s">
        <v>65</v>
      </c>
      <c r="F37" s="18" t="s">
        <v>332</v>
      </c>
      <c r="G37" s="13"/>
      <c r="H37" s="13"/>
      <c r="I37" s="13"/>
      <c r="J37" s="13"/>
      <c r="K37" s="13"/>
      <c r="L37" s="13" t="s">
        <v>345</v>
      </c>
      <c r="M37" s="13"/>
      <c r="N37" s="13"/>
      <c r="O37" s="13"/>
      <c r="P37" s="13"/>
      <c r="Q37" s="13"/>
      <c r="R37" s="13"/>
      <c r="S37" s="13"/>
      <c r="T37" s="13"/>
      <c r="U37" s="2"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19" r:id="rId8" xr:uid="{00000000-0004-0000-0100-000007000000}"/>
    <hyperlink ref="I19"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workbookViewId="0"/>
  </sheetViews>
  <sheetFormatPr baseColWidth="10" defaultColWidth="11.5" defaultRowHeight="13" x14ac:dyDescent="0.15"/>
  <cols>
    <col min="2" max="2" width="37.5" customWidth="1"/>
    <col min="3" max="3" width="37" customWidth="1"/>
    <col min="4" max="4" width="30.83203125" customWidth="1"/>
  </cols>
  <sheetData>
    <row r="15" spans="1:4" x14ac:dyDescent="0.15">
      <c r="A15" s="10" t="s">
        <v>134</v>
      </c>
      <c r="B15" s="10" t="s">
        <v>135</v>
      </c>
      <c r="C15" s="10" t="s">
        <v>136</v>
      </c>
      <c r="D15" s="10" t="s">
        <v>137</v>
      </c>
    </row>
    <row r="16" spans="1:4" ht="409.6" x14ac:dyDescent="0.15">
      <c r="A16" s="11" t="s">
        <v>138</v>
      </c>
      <c r="B16" s="12" t="s">
        <v>139</v>
      </c>
      <c r="C16" s="11" t="s">
        <v>140</v>
      </c>
      <c r="D16" s="11"/>
    </row>
    <row r="17" spans="1:4" ht="409.6" x14ac:dyDescent="0.15">
      <c r="A17" s="11" t="s">
        <v>141</v>
      </c>
      <c r="B17" s="12" t="s">
        <v>142</v>
      </c>
      <c r="C17" s="11" t="s">
        <v>143</v>
      </c>
      <c r="D17" s="11" t="s">
        <v>144</v>
      </c>
    </row>
    <row r="18" spans="1:4" ht="28" x14ac:dyDescent="0.15">
      <c r="A18" s="11" t="s">
        <v>145</v>
      </c>
      <c r="B18" s="11" t="s">
        <v>146</v>
      </c>
      <c r="C18" s="11" t="s">
        <v>147</v>
      </c>
      <c r="D18" s="11" t="s">
        <v>144</v>
      </c>
    </row>
    <row r="19" spans="1:4" ht="28" x14ac:dyDescent="0.15">
      <c r="A19" s="11" t="s">
        <v>148</v>
      </c>
      <c r="B19" s="11" t="s">
        <v>149</v>
      </c>
      <c r="C19" s="11" t="s">
        <v>150</v>
      </c>
      <c r="D19" s="11" t="s">
        <v>151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workbookViewId="0"/>
  </sheetViews>
  <sheetFormatPr baseColWidth="10" defaultColWidth="10.5" defaultRowHeight="13" x14ac:dyDescent="0.15"/>
  <cols>
    <col min="1" max="1" width="46.83203125" customWidth="1"/>
    <col min="2" max="2" width="59.1640625" customWidth="1"/>
  </cols>
  <sheetData>
    <row r="1" spans="1:2" ht="17" x14ac:dyDescent="0.2">
      <c r="A1" s="3" t="s">
        <v>152</v>
      </c>
      <c r="B1" s="3" t="s">
        <v>153</v>
      </c>
    </row>
    <row r="2" spans="1:2" ht="17" x14ac:dyDescent="0.2">
      <c r="A2" s="5" t="s">
        <v>154</v>
      </c>
      <c r="B2" s="5" t="s">
        <v>155</v>
      </c>
    </row>
    <row r="3" spans="1:2" ht="17" x14ac:dyDescent="0.2">
      <c r="A3" s="5" t="s">
        <v>156</v>
      </c>
      <c r="B3" s="5" t="s">
        <v>157</v>
      </c>
    </row>
    <row r="4" spans="1:2" ht="17" x14ac:dyDescent="0.2">
      <c r="A4" s="5" t="s">
        <v>158</v>
      </c>
      <c r="B4" s="5" t="s">
        <v>159</v>
      </c>
    </row>
    <row r="5" spans="1:2" ht="17" x14ac:dyDescent="0.2">
      <c r="A5" s="5" t="s">
        <v>160</v>
      </c>
      <c r="B5" s="5" t="s">
        <v>161</v>
      </c>
    </row>
    <row r="6" spans="1:2" ht="17" x14ac:dyDescent="0.2">
      <c r="A6" s="5" t="s">
        <v>162</v>
      </c>
      <c r="B6" s="5" t="s">
        <v>163</v>
      </c>
    </row>
    <row r="7" spans="1:2" ht="17" x14ac:dyDescent="0.2">
      <c r="A7" s="5" t="s">
        <v>164</v>
      </c>
      <c r="B7" s="5" t="s">
        <v>165</v>
      </c>
    </row>
    <row r="8" spans="1:2" ht="17" x14ac:dyDescent="0.2">
      <c r="A8" s="5" t="s">
        <v>166</v>
      </c>
      <c r="B8" s="5" t="s">
        <v>167</v>
      </c>
    </row>
    <row r="9" spans="1:2" ht="17" x14ac:dyDescent="0.2">
      <c r="A9" s="5" t="s">
        <v>168</v>
      </c>
      <c r="B9" s="5" t="s">
        <v>169</v>
      </c>
    </row>
    <row r="10" spans="1:2" ht="17" x14ac:dyDescent="0.2">
      <c r="A10" s="5" t="s">
        <v>170</v>
      </c>
      <c r="B10" s="5" t="s">
        <v>171</v>
      </c>
    </row>
    <row r="11" spans="1:2" ht="17" x14ac:dyDescent="0.2">
      <c r="A11" s="5" t="s">
        <v>172</v>
      </c>
      <c r="B11" s="5" t="s">
        <v>173</v>
      </c>
    </row>
    <row r="12" spans="1:2" ht="17" x14ac:dyDescent="0.2">
      <c r="A12" s="5" t="s">
        <v>174</v>
      </c>
      <c r="B12" s="5" t="s">
        <v>175</v>
      </c>
    </row>
    <row r="13" spans="1:2" ht="17" x14ac:dyDescent="0.2">
      <c r="A13" s="5" t="s">
        <v>176</v>
      </c>
      <c r="B13" s="5" t="s">
        <v>177</v>
      </c>
    </row>
    <row r="14" spans="1:2" ht="17" x14ac:dyDescent="0.2">
      <c r="A14" s="5" t="s">
        <v>178</v>
      </c>
      <c r="B14" s="5" t="s">
        <v>179</v>
      </c>
    </row>
    <row r="15" spans="1:2" ht="17" x14ac:dyDescent="0.2">
      <c r="A15" s="5" t="s">
        <v>180</v>
      </c>
      <c r="B15" s="5" t="s">
        <v>181</v>
      </c>
    </row>
    <row r="16" spans="1:2" ht="17" x14ac:dyDescent="0.2">
      <c r="A16" s="5" t="s">
        <v>182</v>
      </c>
      <c r="B16" s="5" t="s">
        <v>183</v>
      </c>
    </row>
    <row r="17" spans="1:2" ht="17" x14ac:dyDescent="0.2">
      <c r="A17" s="5" t="s">
        <v>184</v>
      </c>
      <c r="B17" s="5" t="s">
        <v>185</v>
      </c>
    </row>
    <row r="18" spans="1:2" ht="17" x14ac:dyDescent="0.2">
      <c r="A18" s="5" t="s">
        <v>186</v>
      </c>
      <c r="B18" s="5" t="s">
        <v>187</v>
      </c>
    </row>
    <row r="19" spans="1:2" ht="17" x14ac:dyDescent="0.2">
      <c r="A19" s="5" t="s">
        <v>188</v>
      </c>
      <c r="B19" s="5" t="s">
        <v>189</v>
      </c>
    </row>
    <row r="20" spans="1:2" ht="17" x14ac:dyDescent="0.2">
      <c r="A20" s="5" t="s">
        <v>190</v>
      </c>
      <c r="B20" s="5" t="s">
        <v>191</v>
      </c>
    </row>
    <row r="21" spans="1:2" ht="17" x14ac:dyDescent="0.2">
      <c r="A21" s="5" t="s">
        <v>192</v>
      </c>
      <c r="B21" s="5" t="s">
        <v>193</v>
      </c>
    </row>
    <row r="22" spans="1:2" ht="17" x14ac:dyDescent="0.2">
      <c r="A22" s="5" t="s">
        <v>194</v>
      </c>
      <c r="B22" s="5" t="s">
        <v>195</v>
      </c>
    </row>
    <row r="23" spans="1:2" ht="17" x14ac:dyDescent="0.2">
      <c r="A23" s="5" t="s">
        <v>196</v>
      </c>
      <c r="B23" s="5" t="s">
        <v>197</v>
      </c>
    </row>
    <row r="24" spans="1:2" ht="17" x14ac:dyDescent="0.2">
      <c r="A24" s="5" t="s">
        <v>198</v>
      </c>
      <c r="B24" s="5" t="s">
        <v>199</v>
      </c>
    </row>
    <row r="25" spans="1:2" ht="17" x14ac:dyDescent="0.2">
      <c r="A25" s="5" t="s">
        <v>200</v>
      </c>
      <c r="B25" s="5" t="s">
        <v>201</v>
      </c>
    </row>
    <row r="26" spans="1:2" ht="17" x14ac:dyDescent="0.2">
      <c r="A26" s="5" t="s">
        <v>202</v>
      </c>
      <c r="B26" s="5" t="s">
        <v>203</v>
      </c>
    </row>
    <row r="27" spans="1:2" ht="17" x14ac:dyDescent="0.2">
      <c r="A27" s="5" t="s">
        <v>204</v>
      </c>
      <c r="B27" s="5" t="s">
        <v>205</v>
      </c>
    </row>
    <row r="28" spans="1:2" ht="17" x14ac:dyDescent="0.2">
      <c r="A28" s="5" t="s">
        <v>206</v>
      </c>
      <c r="B28" s="5" t="s">
        <v>207</v>
      </c>
    </row>
    <row r="29" spans="1:2" ht="17" x14ac:dyDescent="0.2">
      <c r="A29" s="5" t="s">
        <v>208</v>
      </c>
      <c r="B29" s="5" t="s">
        <v>209</v>
      </c>
    </row>
    <row r="30" spans="1:2" ht="17" x14ac:dyDescent="0.2">
      <c r="A30" s="5" t="s">
        <v>210</v>
      </c>
      <c r="B30" s="5" t="s">
        <v>211</v>
      </c>
    </row>
    <row r="31" spans="1:2" ht="17" x14ac:dyDescent="0.2">
      <c r="A31" s="5" t="s">
        <v>212</v>
      </c>
      <c r="B31" s="5" t="s">
        <v>213</v>
      </c>
    </row>
    <row r="32" spans="1:2" ht="17" x14ac:dyDescent="0.2">
      <c r="A32" s="5" t="s">
        <v>214</v>
      </c>
      <c r="B32" s="5" t="s">
        <v>215</v>
      </c>
    </row>
    <row r="33" spans="1:2" ht="17" x14ac:dyDescent="0.2">
      <c r="A33" s="5" t="s">
        <v>216</v>
      </c>
      <c r="B33" s="5" t="s">
        <v>217</v>
      </c>
    </row>
    <row r="34" spans="1:2" ht="17" x14ac:dyDescent="0.2">
      <c r="A34" s="5" t="s">
        <v>218</v>
      </c>
      <c r="B34" s="5" t="s">
        <v>219</v>
      </c>
    </row>
    <row r="35" spans="1:2" ht="17" x14ac:dyDescent="0.2">
      <c r="A35" s="5" t="s">
        <v>220</v>
      </c>
      <c r="B35" s="5" t="s">
        <v>221</v>
      </c>
    </row>
    <row r="36" spans="1:2" ht="17" x14ac:dyDescent="0.2">
      <c r="A36" s="5" t="s">
        <v>222</v>
      </c>
      <c r="B36" s="5" t="s">
        <v>223</v>
      </c>
    </row>
    <row r="37" spans="1:2" ht="17" x14ac:dyDescent="0.2">
      <c r="A37" s="5" t="s">
        <v>224</v>
      </c>
      <c r="B37" s="5" t="s">
        <v>225</v>
      </c>
    </row>
    <row r="38" spans="1:2" ht="17" x14ac:dyDescent="0.2">
      <c r="A38" s="5" t="s">
        <v>226</v>
      </c>
      <c r="B38" s="5" t="s">
        <v>227</v>
      </c>
    </row>
    <row r="39" spans="1:2" ht="17" x14ac:dyDescent="0.2">
      <c r="A39" s="5" t="s">
        <v>228</v>
      </c>
      <c r="B39" s="5" t="s">
        <v>229</v>
      </c>
    </row>
    <row r="40" spans="1:2" ht="17" x14ac:dyDescent="0.2">
      <c r="A40" s="5" t="s">
        <v>230</v>
      </c>
      <c r="B40" s="5" t="s">
        <v>231</v>
      </c>
    </row>
    <row r="41" spans="1:2" ht="17" x14ac:dyDescent="0.2">
      <c r="A41" s="5" t="s">
        <v>232</v>
      </c>
      <c r="B41" s="5" t="s">
        <v>233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workbookViewId="0"/>
  </sheetViews>
  <sheetFormatPr baseColWidth="10" defaultColWidth="10.5" defaultRowHeight="13" x14ac:dyDescent="0.15"/>
  <cols>
    <col min="1" max="1" width="29.6640625" customWidth="1"/>
    <col min="2" max="2" width="101.1640625" customWidth="1"/>
  </cols>
  <sheetData>
    <row r="1" spans="1:2" ht="40" customHeight="1" x14ac:dyDescent="0.25">
      <c r="A1" s="6" t="s">
        <v>234</v>
      </c>
      <c r="B1" s="6"/>
    </row>
    <row r="2" spans="1:2" ht="45.25" customHeight="1" x14ac:dyDescent="0.2">
      <c r="A2" s="7" t="s">
        <v>235</v>
      </c>
      <c r="B2" s="3" t="s">
        <v>236</v>
      </c>
    </row>
    <row r="3" spans="1:2" ht="45.25" customHeight="1" x14ac:dyDescent="0.2">
      <c r="A3" s="7" t="s">
        <v>237</v>
      </c>
      <c r="B3" s="3" t="s">
        <v>238</v>
      </c>
    </row>
    <row r="4" spans="1:2" ht="45.25" customHeight="1" x14ac:dyDescent="0.2">
      <c r="A4" s="7" t="s">
        <v>239</v>
      </c>
      <c r="B4" s="3" t="s">
        <v>240</v>
      </c>
    </row>
    <row r="5" spans="1:2" ht="45.25" customHeight="1" x14ac:dyDescent="0.2">
      <c r="A5" s="7" t="s">
        <v>241</v>
      </c>
      <c r="B5" s="3" t="s">
        <v>242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Hammerli</cp:lastModifiedBy>
  <dcterms:modified xsi:type="dcterms:W3CDTF">2026-07-31T14:07:17Z</dcterms:modified>
</cp:coreProperties>
</file>