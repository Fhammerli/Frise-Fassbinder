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52" documentId="13_ncr:1_{87FDAE5B-7F65-8C43-B511-7F09BBCED8F5}" xr6:coauthVersionLast="47" xr6:coauthVersionMax="47" xr10:uidLastSave="{75E1538E-30D9-C949-8C87-8AD658F42C5E}"/>
  <bookViews>
    <workbookView xWindow="11100" yWindow="1620" windowWidth="26580" windowHeight="18620" activeTab="1"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7" i="2" l="1"/>
  <c r="U36" i="2"/>
  <c r="U35" i="2"/>
  <c r="U34" i="2"/>
  <c r="U33" i="2"/>
  <c r="U32" i="2"/>
  <c r="U31" i="2"/>
  <c r="U30" i="2"/>
  <c r="U29" i="2"/>
  <c r="U28" i="2"/>
  <c r="U27" i="2"/>
  <c r="U26" i="2"/>
  <c r="U25" i="2"/>
  <c r="U24" i="2"/>
  <c r="U23" i="2"/>
  <c r="U22" i="2"/>
  <c r="U21" i="2"/>
  <c r="U20" i="2"/>
  <c r="U19" i="2"/>
  <c r="U18" i="2"/>
  <c r="U17" i="2"/>
  <c r="U16" i="2"/>
  <c r="U15" i="2"/>
  <c r="U14" i="2"/>
  <c r="U13" i="2"/>
  <c r="U12" i="2"/>
  <c r="U11" i="2"/>
  <c r="U10" i="2"/>
  <c r="U9" i="2"/>
  <c r="U8" i="2"/>
  <c r="U7" i="2"/>
  <c r="U6" i="2"/>
  <c r="U5" i="2"/>
  <c r="U4" i="2"/>
  <c r="U3" i="2"/>
  <c r="U2" i="2"/>
  <c r="H10" i="1"/>
  <c r="H9" i="1"/>
  <c r="H8" i="1"/>
  <c r="H7" i="1"/>
  <c r="H6" i="1"/>
  <c r="H5" i="1"/>
  <c r="H4" i="1"/>
  <c r="H3" i="1"/>
  <c r="H2" i="1"/>
</calcChain>
</file>

<file path=xl/sharedStrings.xml><?xml version="1.0" encoding="utf-8"?>
<sst xmlns="http://schemas.openxmlformats.org/spreadsheetml/2006/main" count="467" uniqueCount="370">
  <si>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</si>
  <si>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</si>
  <si>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</si>
  <si>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</si>
  <si>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</si>
  <si>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</si>
  <si>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</si>
  <si>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</si>
  <si>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</si>
  <si>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</si>
  <si>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</si>
  <si>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</si>
  <si>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Legende</t>
  </si>
  <si>
    <t>Notion</t>
  </si>
  <si>
    <t>1945-1946</t>
  </si>
  <si>
    <t>Les ruines l'Heure zéro</t>
  </si>
  <si>
    <t>Le "point zéro" de l'histoire de l'Allemagne d'après-guerre est-il un point zéro pour la vie et l'œuvre de RWF ?</t>
  </si>
  <si>
    <t>Naissance de Rainer Werner Fassbinder le 31 mai à Bad Wörishofen, Bavière.</t>
  </si>
  <si>
    <t>Les génériques de Fassbinder</t>
  </si>
  <si>
    <t>"Nous devons nous débarrasser du passé pour construire l'avenir". Konrad Adenauer</t>
  </si>
  <si>
    <t>Allemagne_zones.jpeg</t>
  </si>
  <si>
    <t>Le découpage de l'Allemagne et de Berlin en 4 zones d'occupation alliée</t>
  </si>
  <si>
    <t>1947-1960</t>
  </si>
  <si>
    <t>Le miracle économique</t>
  </si>
  <si>
    <t xml:space="preserve">Comment l'Allemagne de l'ouest a-t-elle pu devenir une des premières nations industrielles capitalistes et une démocratie alors même qu'elle était marquée par le provincialisme, l'absence de morale et l'hypocrisie ? </t>
  </si>
  <si>
    <t>Enfance marquée par le divorce de ses parents (1951) et l'absence du père. Passion précoce pour le cinéma (refuge). Première lecture de Berlin Alexanderplatz vers 14 ans.</t>
  </si>
  <si>
    <t>De l’année zéro au miracle économique|https://youtu.be/BC4BffkWyY8?si=e80MWCLF0K9Fgiub; Jalousie de Catharina Valente|https://youtu.be/-ugDTj7UFtU?si=vzGNySrsaYGKZW0k</t>
  </si>
  <si>
    <t>l-industrie-de-l-industrie-automobile-l-usine-volkswagen-vue-de-l-interieur-usine-wolfsburg-vers-1950.jpg</t>
  </si>
  <si>
    <t>1961-1966</t>
  </si>
  <si>
    <t>naissance du Nouveau cinéma allemand</t>
  </si>
  <si>
    <t xml:space="preserve">Que serait un cinéma nouveau prenant à bras le corps l'histoire de l'Allemagne et du cinéma, tout en s'en détachant ? </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</si>
  <si>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</si>
  <si>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</si>
  <si>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</si>
  <si>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"Le cinéma de Papa est mort. Nous croyons au nouveau cinéma " Manifeste d'Oberhausen (1962)
« Toute une génération exorcisa son enfance déjà presque oubliée en soulignant sans répit combien étaient encombrantes et dévastatrices les ombres que le passé des parents avaient jetées sur le présent de leurs enfants ».Thomas Elsaesser, RWF un cinéaste d'Allemagne (2005) p.201</t>
  </si>
  <si>
    <t>1967-1970</t>
  </si>
  <si>
    <t>Antitheater et politisation</t>
  </si>
  <si>
    <t xml:space="preserve">Qu'-est-ce qu'un cinéaste engagé ? </t>
  </si>
  <si>
    <t>Fonde l' antiteater (1968). Collaboration intense avec sa "troupe" (Schygulla, Hermann, Raab, Baer, Lommel). Mariage avec Ingrid Caven (1970).</t>
  </si>
  <si>
    <t>L'amour est plus froid que la mort (1969),  Le Bouc (1969)</t>
  </si>
  <si>
    <t>1971-1974</t>
  </si>
  <si>
    <t>Terrorisme et mélodrame</t>
  </si>
  <si>
    <t xml:space="preserve">Comment faire du cinéma allemand hollywoodien, qui attire et séduise le public le plus large tout en l'amenant à l'analyse et à la réflexion, sans didactisme ? </t>
  </si>
  <si>
    <t xml:space="preserve">Découverte des mélodrames de Douglas Sirk grâce à Peer Raben .Liaison avec El Hedi ben Salem. Direction du TAT à Francfort. Collaboration avec le caméraman Michael Ballhaus. Succès international. Les films de RWF deviennent incontournables dans les grands festivals internationaux (Cannes, Venise, Berlin). </t>
  </si>
  <si>
    <t>Période Sirkienne : Le Marchand des quatre saisons (1971). Tous les autres s'appellent Ali (1974, succès mondial à Cannes) : critique du racisme ordinaire. Martha (1974).</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</si>
  <si>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figées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</si>
  <si>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1975-1976</t>
  </si>
  <si>
    <t xml:space="preserve">Comment le rapport dominant/dominé structure-t-il toute relation, affective ou sociale ? </t>
  </si>
  <si>
    <t>Scandale théâtral autour de la pièce L'Ordure, la ville et la mort (accusations d'antisémitisme). Liaison avec Armin Meier.</t>
  </si>
  <si>
    <t xml:space="preserve">Maman Küsters s'en va au ciel (1975). Le Droit du plus fort (1975) : </t>
  </si>
  <si>
    <t>Fassbinder y joue un rôle principal, assumant une visibilité politique de son homosexualité.</t>
  </si>
  <si>
    <t>1977-1979</t>
  </si>
  <si>
    <t>Le retour de l'histoire</t>
  </si>
  <si>
    <t xml:space="preserve">Jusqu'à quel point les femmes de la trilogie RFA sont-elles une allégorie de la nation allemande ? Quelle distance RWF prend-il avec la critique historique de son pays ? </t>
  </si>
  <si>
    <t>Suicide d'Armin Meier (31 mai 1978). Début de la collaboration avec Juliane Lorenz. Fassbinder se filme en crise, exposant son angoisse face à l'État.</t>
  </si>
  <si>
    <t>L'Année des treize lunes (1978) : œuvre radicale sur le désespoir. Le Mariage de Maria Braun (1979) : triomphe international, allégorie de la reconstruction.</t>
  </si>
  <si>
    <t>le cinéaste Edgar Reitz affirme la nécessité " de films, de livres, d'images qui nous fassent reprendre connaissance et rétablissent nos réflexes", Medium, 5/1979, p.21</t>
  </si>
  <si>
    <t>mélodrame</t>
  </si>
  <si>
    <t>1980-1981</t>
  </si>
  <si>
    <t>La fin d'un ère</t>
  </si>
  <si>
    <t>Quelles ambitions pour la série télévisuelle ?</t>
  </si>
  <si>
    <t>Travaille frénétiquement. Réalise son projet de vie : l'adaptation de Döblin. Épuisement physique dû aux excès.</t>
  </si>
  <si>
    <t>Monumental Berlin Alexanderplatz (1980, 15h). Suite de la Trilogie de la RFA : Lola, une femme allemande (1981) et Lili Marleen (1981).</t>
  </si>
  <si>
    <t>La mort du Maître</t>
  </si>
  <si>
    <t xml:space="preserve">RWF, figure du collectif  politique des années 60 et 70 ou d'héritier de la figure du génie romantique et du poète maudit ? Auteur ou cinéaste populaire ? </t>
  </si>
  <si>
    <t>Décès de Fassbinder le 10 juin à Munich, à l'âge de 37 ans (épuisement et overdose).</t>
  </si>
  <si>
    <t>Le Secret de Veronika Voss (Ours d'Or à Berlin). Querelle (œuvre posthume). Fassbinder laisse un héritage de plus de 40 films.</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</si>
  <si>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</si>
  <si>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</si>
  <si>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</si>
  <si>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</si>
  <si>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</si>
  <si>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</si>
  <si>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</si>
  <si>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</si>
  <si>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</si>
  <si>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</si>
  <si>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</si>
  <si>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</si>
  <si>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</si>
  <si>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Naissance de Rainer Werner Fassbinder le 31 mai à Bad Wörishofen, Bavière. Père médecin généraliste, mère traductrice. Première année passée chez son oncle paternel</t>
  </si>
  <si>
    <t xml:space="preserve">Le couple Fassbinder prend l'enfant avec eux à Munich. Une partie de la famille vit dans le même appartement, notamment la grand-mère de Rainer. </t>
  </si>
  <si>
    <t>Le procès de Nuremberg</t>
  </si>
  <si>
    <t>Elsaesser, Wikipedia</t>
  </si>
  <si>
    <t>Le blocus de Berlin en 3 minutes</t>
  </si>
  <si>
    <t>Allemagne_annee_0_Reichstag.mp4</t>
  </si>
  <si>
    <t>Comment Rossellini traduit-il une relation complexe avec l'Histoire, entre fascination, terreur, et hantise ?</t>
  </si>
  <si>
    <t>Bande Annonce de Fatherland de Pavel Pawlikoski</t>
  </si>
  <si>
    <t>Adenauer.jpeg</t>
  </si>
  <si>
    <t>Portrait d'Adenauer</t>
  </si>
  <si>
    <t xml:space="preserve">La mère de Fassbinder Lisolette Eder, née Pempeit, dite aussi Lilo Pempeit, est hospitalisée pour cause de tuberculose. </t>
  </si>
  <si>
    <t>,,,,,,,,,,,,,,,,,,,,,,,,,,,,,,,,,,,,,,,,,,,,,,,,,,,,,,,,,,,,,,,,,,,,,,,,,,,,,,,,,,,,,,,,,,,,,,,,,,,,,,,,,,,,,,,,,,,,,,,,,,,,,,,,,,,,,,,,,,,,,,,,,,,,,,,,,,,,,,,,,,,,,,,,,,,,,,,,,,,,,,,,,,,,,,,,,,,,,,,,,,,,,,,,,,,,,,,,,,,,,</t>
  </si>
  <si>
    <t xml:space="preserve">Divorce des parents. Le père de RWF, Helmut Fassbinder, s'installe à Cologne. RWF reste à Munich avec sa mère. </t>
  </si>
  <si>
    <t xml:space="preserve">La mère de RWF l'inscrit dans une école Rudolf Steiner. Nbx séjours de la mère à l'hopital ou en sanatorium. RWF est confié à des voisins ou parents. Il commence à fréquenter assidument les salles de cinéma. </t>
  </si>
  <si>
    <t>Fassbinder_enfant.jpeg</t>
  </si>
  <si>
    <t>Fassbinder enfant</t>
  </si>
  <si>
    <t>La révolte des ouvriers est-allemands</t>
  </si>
  <si>
    <t>Bande Annonce de Sissi (1955)</t>
  </si>
  <si>
    <t>Bohm.jpg</t>
  </si>
  <si>
    <t>Karlheinz Böhm</t>
  </si>
  <si>
    <t xml:space="preserve">RWF est lycéen à Munich. </t>
  </si>
  <si>
    <t>RWF est pensionnaire à Augsbourg, sa mère étant hospitalisée pendant près de deux ans à la suite d'une opération. Il continue à fréquenter les salles obscures. Il voit toutes sortes de film sans distinction, des films noirs américains doublés en allemand, des films pornos sans budget qui se développent à partir de 1960. Le cinéma hollywoodien est alors plutôt dénigré par la bourgeoisie.</t>
  </si>
  <si>
    <t>découvrir Brecht avec l'INA</t>
  </si>
  <si>
    <t>Remariage de Lilo avec un journaliste, Wolff Eder. Relations difficiles entre RWF et son beau-père. 
RWF revient à Munich mais vit dans un pensionnat.
RWF commence à assumer ouvertement son homosexualité, fait rare pour l'époque.</t>
  </si>
  <si>
    <t>RWF commence à écrire des nouvelles et de petites pièces de théâtre</t>
  </si>
  <si>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</si>
  <si>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A l'occasion du festival du film documentaire d'Oberhausen, publication du Manifeste d'Oberhausen : naissance du Nouveau Cinéma Allemand ("Le vieux cinéma est mort").
Les Beatles entament eur carrière par un concert à Hambourg</t>
  </si>
  <si>
    <t>RWF retourne à Munich et contitnue d'écire,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</si>
  <si>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</si>
  <si>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</si>
  <si>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</si>
  <si>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</si>
  <si>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</si>
  <si>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RWF s'inscrit à l'école d'art dramatique Fridl Loeonhard</t>
  </si>
  <si>
    <t>Rejoint l'Action-Theater (1967).</t>
  </si>
  <si>
    <t>Petit chaos, court-métrage</t>
  </si>
  <si>
    <t xml:space="preserve">Premier film accueili froidement à Berlin. Le second,une critique de la xénophobie et de l'apathie bourgeoise,  remporte 5 distinctions cinématographiques en Allemagne. Le coût de production de 80000 marks est largement couvert : avec 650000 malrs de prix et 200000 marks de subventions a posteri, le film assure à RWF de quoi poursuivre son travail pour quelques années. </t>
  </si>
  <si>
    <t>Fondation du Filmverlag der Autoren (1971), une société indépendante, par quelques cinéastes dont RWF. La société est d'abord autogérée.
Accords Film-Télévision (1974) favorisant les coproductions (WDR).</t>
  </si>
  <si>
    <t>Liaison avec El Hedi ben Salem. Direction du TAT à Francfort. Collaboration avec le caméraman Michael Ballhaus. Succès international.</t>
  </si>
  <si>
    <t>Whity
Prenez garde à la sainte putain
Pionniers à Ingolstadt - Téléfilm</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</si>
  <si>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oeuvre sentiment et distanciation réflexive, échappant à la seule création de cas sociaux.</t>
  </si>
  <si>
    <t>"Il m'est impossible de comprende qu'on puisse travailler avec un outil comme la caméra en ne se souciant pas du spectateur", interview avec Norbert Sparrow, in Cinéste, WIII/2 automne 1977</t>
  </si>
  <si>
    <t>Maria_braun.jpeg</t>
  </si>
  <si>
    <t>Effi Briest permet à RWF d'obtenir une reconnaissance plus large en Allemagne, qui tempère sa réputation d'enfant terrible du cinéma</t>
  </si>
  <si>
    <t>Fassbinder_fox.jpeg</t>
  </si>
  <si>
    <t>M. Klein de Joseph Losey</t>
  </si>
  <si>
    <t xml:space="preserve">RFW devient actionnaire du Filmverlag der Autoren. 
</t>
  </si>
  <si>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</si>
  <si>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cosncient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</si>
  <si>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cinémétographique et sa réflexion politique. Même les films dont l'action se situent avant 1945 sont à envisager comme "une archéologie de la société allemande d'après-guerre" (Elsaesser, p. 34)</t>
  </si>
  <si>
    <t xml:space="preserve">Holocaust, une serie eveille les consciences|https://www.ina.fr/ina-eclaire-actu/video/s1313279_001/1979-une-serie-eveille-les-consciences-sur-la-shoah; </t>
  </si>
  <si>
    <t>La première diffusion de Berlin Alexander Platz à la télévision déclenche une violente campagne de haine contre le réalisateur. Le journaliste Klaus Eder qualifie l'oeuvre de "mastubations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</si>
  <si>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t>RWF parvient à évincer Werner Schroeter qui souhaitait réaliser une adaptation de Querelle de Jean Genet.  Mort de Fassbinder marquant symboliquement la fin du Nouveau Cinéma Allemand.</t>
  </si>
  <si>
    <t>Catégorie</t>
  </si>
  <si>
    <t>Référence bibliographique</t>
  </si>
  <si>
    <t>Usage dans la frise</t>
  </si>
  <si>
    <t>Lien</t>
  </si>
  <si>
    <t>Histoire allemande</t>
  </si>
  <si>
    <r>
      <rPr>
        <i/>
        <sz val="409.55"/>
        <color rgb="FF000000"/>
        <rFont val="Arial"/>
        <family val="2"/>
      </rPr>
      <t>R. W. Fassbinder, cinéaste d’Allemagne</t>
    </r>
    <r>
      <rPr>
        <sz val="409.55"/>
        <color rgb="FF000000"/>
        <rFont val="Aptos"/>
      </rPr>
      <t>, de Thomas Elsaesser, Centre Pompidou, 2005</t>
    </r>
    <r>
      <rPr>
        <i/>
        <sz val="409.55"/>
        <color rgb="FF000000"/>
        <rFont val="Aptos"/>
      </rPr>
      <t>, pp. 490-507</t>
    </r>
  </si>
  <si>
    <t>Repères historiques, chronologie politique</t>
  </si>
  <si>
    <t>Fassbinder</t>
  </si>
  <si>
    <r>
      <rPr>
        <i/>
        <sz val="409.55"/>
        <color rgb="FF000000"/>
        <rFont val="Arial"/>
        <family val="2"/>
      </rPr>
      <t>R. W. Fassbinder, cinéaste d’Allemagne</t>
    </r>
    <r>
      <rPr>
        <sz val="409.55"/>
        <color rgb="FF000000"/>
        <rFont val="Aptos"/>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</si>
  <si>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</si>
  <si>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</si>
  <si>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</si>
  <si>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</si>
  <si>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</si>
  <si>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</si>
  <si>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</si>
  <si>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</si>
  <si>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</si>
  <si>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</si>
  <si>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</si>
  <si>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</si>
  <si>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</si>
  <si>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</si>
  <si>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</si>
  <si>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</si>
  <si>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</si>
  <si>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</si>
  <si>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</si>
  <si>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</si>
  <si>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</si>
  <si>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</si>
  <si>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</si>
  <si>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</si>
  <si>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</si>
  <si>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</si>
  <si>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</si>
  <si>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</si>
  <si>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</si>
  <si>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</si>
  <si>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</si>
  <si>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</si>
  <si>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</si>
  <si>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</si>
  <si>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</si>
  <si>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</si>
  <si>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</si>
  <si>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</si>
  <si>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</si>
  <si>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</si>
  <si>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</si>
  <si>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</si>
  <si>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</si>
  <si>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</si>
  <si>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</si>
  <si>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</si>
  <si>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</si>
  <si>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</si>
  <si>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</si>
  <si>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</si>
  <si>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</si>
  <si>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</si>
  <si>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</si>
  <si>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</si>
  <si>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</si>
  <si>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</si>
  <si>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</si>
  <si>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</si>
  <si>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</si>
  <si>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</si>
  <si>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</si>
  <si>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</si>
  <si>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</si>
  <si>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</si>
  <si>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</si>
  <si>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</si>
  <si>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</si>
  <si>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</si>
  <si>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</si>
  <si>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</si>
  <si>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</si>
  <si>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</si>
  <si>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</si>
  <si>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</si>
  <si>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</si>
  <si>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</si>
  <si>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</si>
  <si>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</si>
  <si>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</si>
  <si>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</si>
  <si>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</si>
  <si>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</si>
  <si>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</si>
  <si>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</si>
  <si>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</si>
  <si>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</si>
  <si>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</si>
  <si>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</si>
  <si>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</si>
  <si>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</si>
  <si>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</si>
  <si>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</si>
  <si>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</si>
  <si>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</si>
  <si>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</si>
  <si>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</si>
  <si>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</si>
  <si>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</si>
  <si>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</si>
  <si>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</si>
  <si>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Capitulation du Troisième Reich (mai). L'Allemagne est en ruines (Année Zéro). Début de l'occupation alliée et de l'amnésie collective sur le passé nazi. Le pays et berlin sont partagés en zone sous contrôle des différentes forces alliées.
L’« heure zéro » désigne moins une rupture absolue qu’une société de l’effondrement : destructions, déplacements, pertes humaines et continuités avec le personnel du régime précédent. L’occupation alliée engage simultanément division territoriale, dénazification, démilitarisation et apprentissage démocratique, tandis que Nuremberg fonde de nouvelles catégories de justice internationale.</t>
  </si>
  <si>
    <t>Le cinéma est en ruines. Période des films de décombres ( Trümmerfilme ) comme Les assassins sont parmi nous (Staudte, 1946).
La reconstruction culturelle est pensée comme une rééducation. Presse, édition, radio et cinéma renaissent sous le contrôle des puissances occupantes ; œuvres interdites et artistes exilés retrouvent une place publique. L’esthétique des ruines met en scène la catastrophe matérielle et morale.</t>
  </si>
  <si>
    <t>Création de la RFA (1949). Ère Adenauer. Miracle économique ( Wirtschaftswunder )  entre 1950 et 1965 l'économie ouest-allemande croît de 8,2% en moyenne (contre 5% en France pendant les 30 glorieuses). La coccinelle de Wolkswagen devient l'emblème du "miracle économique". Les entreprise de taille moyenne constituent la colonne vertébrale de la puissance économique allemande en fournissant les outils spécialisés nécessaires à l'industrie. 
Parallèmement, l'état  développe une politique sociale conservatrice. Réarmement de la RFA (1955).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t>
  </si>
  <si>
    <t>Domination du "cinéma de papa" ( Papas Kino ) : films de terroir ( Heimatfilm ), comédies légères dépolitisées, films en costumes , comédies musicales obitennent toujours les faveurs du public. Ces genres nés dans les années 10 et 20 ont été très exploités par les nazis.
Freddy Quinn, Rocco Granata ou Catharina Valente sont les stars de la culture populaire allemande. 
Il n'existe presque aucun film allemand des années 50 et 60 qui traite des camps de concentration nazis. Le cinéma allemand de la période s'intéresse peu à l'histoire.
Sous l’apparente dépolitisation du Schlager, du Heimatfilm 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t>
  </si>
  <si>
    <t>Manifeste d'Oberhausen (1962) : naissance du Nouveau Cinéma Allemand. Une nouvelle génération de cinéastes s'affirme et conquiert son indépendance notamment par la création de structures de production indépendantes. Fondation de l'école de cinéma DFFB à Berlin (1966).
Cette génération incarne le phénomène de la "société sans père" et "la crise du patriarcat". L'absence ou la défaillance des pères devient un thème récurrent du Nouveau Cinéma allemand.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t>
  </si>
  <si>
    <t>Mouvements étudiants de 1968. Tentative d'assassinat contre Rudi Dutschke. Victoire de Willy Brandt (SPD, 1969). Abrogation partielle de l'article 175 (homosexualité).
De la mort de Benno Ohnesorg à l’adoption des lois d’exception, la contestation étudiante dénonce la guerre du Vietnam, les continuités autoritaires et le refoulement du nazisme. L’arrivée de Willy Brandt, l’Ostpolitik et la réforme du paragraphe 175 ouvrent une phase de réformes, tandis qu’une minorité choisit la clandestinité armée et fonde la RAF.</t>
  </si>
  <si>
    <t>La redécouverte de l’École de Francfort, Le Deuil impossible et la circulation de modèles venus de la Nouvelle Vague, du théâtre d’avant-garde et de la culture rock font de la critique des institutions, de la famille et des représentations un enjeu esthétique autant que politique.</t>
  </si>
  <si>
    <t>Terrorisme de la RAF (arrestations en 1972). Attentat des JO de Munich (1972). Démission de Willy Brandt (1974) suite à l'affaire Guillaume.
L’Ostpolitik aboutit à la reconnaissance mutuelle des deux Allemagne, mais la période est aussi marquée par les attentats et l’arrestation de la première génération de la RAF, le choc pétrolier, la fin du recrutement des Gastarbeiter et la démission de Willy Brandt. La crise économique et le terrorisme infléchissent le climat réformateur.</t>
  </si>
  <si>
    <t>Fondation du Filmverlag der Autoren (1971). Accords Film-Télévision (1974) favorisant les coproductions (WDR).
Plusieurs cinéastes allemands ( Schlöndorff, Herzog notamment) réalisent des charges politiques violentes contre la politique et la société allemande. Pourtant l'amnnésie historique se poursuit dans le cinéma allemand de fiction. Seuls des documentaires s'emparent de l'histoire du nazisme.
A parti de 1968 l'industrie du cinéma commercial allemand agonise
Le cinéma s’appuie sur de nouvelles structures indépendantes et sur la télévision, alors que les cinéastes interrogent plus frontalement l’histoire, la violence et les contradictions de la société ouest-allemande. Les genres populaires deviennent des instruments de distanciation critique.</t>
  </si>
  <si>
    <t>Tensions sociales et crises du logement (Westend). Débats sur la visibilité des minorités. Lois limitant les libertés civiles.
Procès, enlèvements, prises d’otages et morts en détention installent la RAF au centre du débat public. Les réponses judiciaires et sécuritaires renforcent les tensions autour des libertés civiles, tandis que les réformes de société, notamment sur l’avortement, demeurent limitées et conflictuelles.</t>
  </si>
  <si>
    <t>Automne Allemand (1977) : enlèvement de Schleyer, détournement du Landshut, morts à Stammheim.
L’Automne allemand concentre l’affrontement entre la RAF et l’État : assassinats, enlèvement de Schleyer, détournement du Landshut et morts de Stammheim. À la fin de la décennie, le retour des tensions Est-Ouest relance les mobilisations pacifistes.</t>
  </si>
  <si>
    <t>Le cinéma allemand s'empare de son histoire passée et récente et réfléchit aux problèmes de représentation qu'elle pose. Film collectif L'Allemagne en automne (1978). La diffusion de la série Holocaust de Marvin J. Chomsky (1979) à la télévision allemande suscite des débats importants, auxquels participent des cinéastes comme Syberberg ou Edgard Reitz. Le mouvement du Nouveau Cinéma allemand atteint son apogée thématique et politique.
La représentation de l’histoire récente et du nazisme devient un enjeu central. L’Allemagne en automne, Hitler, un film d’Allemagne puis la diffusion de Holocaust confrontent cinéma et télévision aux limites du témoignage, au sentimentalisme, à la mémoire collective et à la capacité des images populaires à rouvrir le passé.</t>
  </si>
  <si>
    <t>Fondation des Verts (1980). Manifestations écologistes. Fin de l'ère sociale-libérale.
Les mouvements écologistes, féministes et pacifistes se structurent avec la fondation des Verts et les grandes mobilisations contre la course aux armements. Ils reconfigurent un système politique jusque-là dominé par trois partis.</t>
  </si>
  <si>
    <t>Le cinéma allemand poursuit son travail sur la mémoire familiale et nationale, notamment avec Allemagne mère blafarde et le projet Heimat. La télévision devient un lieu majeur pour les récits historiques de longue durée.</t>
  </si>
  <si>
    <t>Mort de Fassbinder marquant symboliquement la fin du Nouveau Cinéma Allemand.
La mort de Fassbinder symbolise l’épuisement du Nouveau Cinéma allemand comme mouvement collectif, au moment où ses principaux enjeux — histoire nationale, mémoire, culture populaire et télévision — se déplacent vers de nouvelles formes.</t>
  </si>
  <si>
    <t>Les alliés aident à la relance de médias d'information et promeuvent une nouvelle politique éducative. 
Les alliés organisent un vaste programme de démocratisation, décartellisation, démilatarisation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</si>
  <si>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</si>
  <si>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</si>
  <si>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</si>
  <si>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</si>
  <si>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Création de l'OTAN. Création de la RFA. Konrad Adenauer est élu chancelier fédéral avec une courte majorité. La division de l'Allemande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</si>
  <si>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</si>
  <si>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</si>
  <si>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</si>
  <si>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</si>
  <si>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</si>
  <si>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</si>
  <si>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</si>
  <si>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t>Le premier accord de recrutement de travailleurs étrangers est signé avec l’Italie : il inaugure le système des Gastarbeiter, indispensable à la croissance industrielle ouest-allemande.</t>
  </si>
  <si>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</si>
  <si>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t>Construction du Mur de Berlin (1961). Adenauer est rééel 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</si>
  <si>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Visite de J.F Kennedy à Berlin-ouest : "ich bin ein Berliner". 
Procès d'Auschwitz à Francfort (1963-1965)
Démission d'Adenauer à 87 ans. Ludwijg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</si>
  <si>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</si>
  <si>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</si>
  <si>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t>Le premier choc pétrolier met fin à la haute croissance et entraîne l’arrêt du recrutement de Gastarbeiter. Cette décision favorise ensuite l’installation durable des travailleurs déjà présents et le regroupement familial.</t>
  </si>
  <si>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</si>
  <si>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La détente internationale s’essouffle : reprise de la course aux armements et redéploiement des armes conventionnelles et nucléaires. Les mouvements pacifistes retrouvent une forte capacité de mobilisation.</t>
  </si>
  <si>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</si>
  <si>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t>Une grande manifestation organisée à Bonn contre la course aux armements confirme l’importance du pacifisme dans la société ouest-allemande.</t>
  </si>
  <si>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</si>
  <si>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r>
      <rPr>
        <sz val="10"/>
        <color rgb="FF000000"/>
        <rFont val="Arial"/>
        <family val="2"/>
      </rPr>
      <t xml:space="preserve">L'œuvre de Fassbinder proposera plus tard une radiographie critique de ce "point zéro" de la nouvelle Allemagne, notamment dans </t>
    </r>
    <r>
      <rPr>
        <i/>
        <sz val="10"/>
        <color rgb="FF000000"/>
        <rFont val="Arial"/>
        <family val="2"/>
      </rPr>
      <t>Le mariage de Maria Braun</t>
    </r>
  </si>
  <si>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</si>
  <si>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r>
      <rPr>
        <i/>
        <sz val="10"/>
        <color theme="1"/>
        <rFont val="Aptos Narrow"/>
      </rPr>
      <t>Le bouc</t>
    </r>
    <r>
      <rPr>
        <sz val="10"/>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particulière bavaroise). </t>
    </r>
  </si>
  <si>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</si>
  <si>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</si>
  <si>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r>
      <t xml:space="preserve">Le cinéma est en ruines. Premières projection des </t>
    </r>
    <r>
      <rPr>
        <i/>
        <sz val="10"/>
        <color theme="1"/>
        <rFont val="Arial"/>
        <family val="2"/>
      </rPr>
      <t>Moulins de la mort</t>
    </r>
    <r>
      <rPr>
        <sz val="10"/>
        <color theme="1"/>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</si>
  <si>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Pwalikoscki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</si>
  <si>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r>
      <t xml:space="preserve">Jean Vilar présente à Berlin-Ouest </t>
    </r>
    <r>
      <rPr>
        <i/>
        <sz val="10"/>
        <color theme="1"/>
        <rFont val="Arial"/>
        <family val="2"/>
      </rPr>
      <t xml:space="preserve">Le Prince de Hombourg </t>
    </r>
    <r>
      <rPr>
        <sz val="10"/>
        <color theme="1"/>
        <rFont val="Arial"/>
        <family val="2"/>
      </rPr>
      <t xml:space="preserve">de Kleist, créé à Avignon, avec un immense succès. Le TNP accueille également </t>
    </r>
    <r>
      <rPr>
        <i/>
        <sz val="10"/>
        <color theme="1"/>
        <rFont val="Arial"/>
        <family val="2"/>
      </rPr>
      <t>Mère Courage</t>
    </r>
    <r>
      <rPr>
        <sz val="10"/>
        <color theme="1"/>
        <rFont val="Arial"/>
        <family val="2"/>
      </rPr>
      <t xml:space="preserve"> de Brecht : les échanges théâtraux participent au retour de l’Allemagne dans la vie culturelle européenne.</t>
    </r>
  </si>
  <si>
    <r>
      <t xml:space="preserve">Première émission de télévision dans le nord et l'ouest de la RFA
Dans </t>
    </r>
    <r>
      <rPr>
        <i/>
        <sz val="10"/>
        <color theme="1"/>
        <rFont val="Arial"/>
        <family val="2"/>
      </rPr>
      <t>Les Cerises de la liberté</t>
    </r>
    <r>
      <rPr>
        <sz val="10"/>
        <color theme="1"/>
        <rFont val="Arial"/>
        <family val="2"/>
      </rPr>
      <t>, Alfred Andersch raconte sa désertion de la Wehrmacht en 1944. Cette œuvre de la « littérature des ruines », mal reçue en RFA, témoigne des difficultés à élaborer publiquement l’expérience de la guerre.</t>
    </r>
  </si>
  <si>
    <r>
      <t xml:space="preserve">succès populaire du drame historique Sissi </t>
    </r>
    <r>
      <rPr>
        <sz val="10"/>
        <color rgb="FF000000"/>
        <rFont val="Arial"/>
        <family val="2"/>
      </rPr>
      <t xml:space="preserve">d'Ernst Marischka avec Romy Schneider et Karlheinz Böhm, qui deviendra un acteur récurrent du cinéma de Fassbinder </t>
    </r>
  </si>
  <si>
    <r>
      <rPr>
        <i/>
        <sz val="10"/>
        <color rgb="FF000000"/>
        <rFont val="Arial"/>
        <family val="2"/>
      </rPr>
      <t>L'opéra de quat'sous</t>
    </r>
    <r>
      <rPr>
        <sz val="10"/>
        <color rgb="FF000000"/>
        <rFont val="Arial"/>
        <family val="2"/>
      </rPr>
      <t xml:space="preserve"> de Brecht (1928) est diffusé à la télévision est obient un taux d'audience de 81,2%. 
L'appel à boycotter les pièces de Brecht est refusé par la plupart des théâtres ouest-allemands. </t>
    </r>
  </si>
  <si>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</si>
  <si>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</si>
  <si>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</si>
  <si>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r>
      <rPr>
        <sz val="10"/>
        <color rgb="FF000000"/>
        <rFont val="Arial"/>
        <family val="2"/>
      </rP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Le New-Yorke</t>
    </r>
    <r>
      <rPr>
        <i/>
        <sz val="10"/>
        <color rgb="FF000000"/>
        <rFont val="Arial"/>
        <family val="2"/>
      </rPr>
      <t>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entraine l'expression, plus ou moins anarchique et violente, des forces pulsionnelles négatives. celles-ci sont le fait d'une autorité sociale dont les contraintes paraissent de plus en plus absurdes et répressives puisqu'elles ne sont plus intégrées par l'identificaion à une figure individuelle affective. </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</si>
  <si>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</si>
  <si>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r>
      <rPr>
        <i/>
        <sz val="10"/>
        <color rgb="FF000000"/>
        <rFont val="Arial"/>
        <family val="2"/>
      </rPr>
      <t>Les damnés</t>
    </r>
    <r>
      <rPr>
        <sz val="10"/>
        <color rgb="FF000000"/>
        <rFont val="Arial"/>
        <family val="2"/>
      </rPr>
      <t>, mélodrame de Visconti, travaille à interroger le régime nazi et sla manière dont l'imagerie nazie, qui érotise de manière spectaculaire le pouvoir, contamine moralement les esprits. L'éloignement du néoréalisme est maximal.</t>
    </r>
  </si>
  <si>
    <r>
      <rPr>
        <i/>
        <sz val="10"/>
        <color rgb="FF000000"/>
        <rFont val="Arial"/>
        <family val="2"/>
      </rPr>
      <t>L'amour est plus froid que la mort
Le Bouc (</t>
    </r>
    <r>
      <rPr>
        <sz val="10"/>
        <color rgb="FF000000"/>
        <rFont val="Arial"/>
        <family val="2"/>
      </rPr>
      <t>succès à Mannheim) : critique de la xénophobie et de l'apathie bourgeoise.</t>
    </r>
  </si>
  <si>
    <r>
      <rPr>
        <i/>
        <sz val="10"/>
        <color rgb="FF000000"/>
        <rFont val="Arial"/>
        <family val="2"/>
      </rPr>
      <t>Les dieux de la peste
Pourquoi M. R. est-il atteint de folie meurtrière ?
Le soldat américain</t>
    </r>
    <r>
      <rPr>
        <sz val="10"/>
        <color rgb="FF000000"/>
        <rFont val="Arial"/>
        <family val="2"/>
      </rPr>
      <t xml:space="preserve">
</t>
    </r>
    <r>
      <rPr>
        <i/>
        <sz val="10"/>
        <color rgb="FF000000"/>
        <rFont val="Arial"/>
        <family val="2"/>
      </rPr>
      <t>Le Voyage à Niklashausen - Téléfilm
Rio das mortes
Le café -</t>
    </r>
    <r>
      <rPr>
        <sz val="10"/>
        <color rgb="FF000000"/>
        <rFont val="Arial"/>
        <family val="2"/>
      </rPr>
      <t xml:space="preserve">Téléfilm tiré d'une création théâtrale de Peer Raben et RWF
</t>
    </r>
  </si>
  <si>
    <r>
      <t xml:space="preserve">Dans </t>
    </r>
    <r>
      <rPr>
        <i/>
        <sz val="10"/>
        <color theme="1"/>
        <rFont val="Arial"/>
        <family val="2"/>
      </rPr>
      <t>Le Pain des jeunes années</t>
    </r>
    <r>
      <rPr>
        <sz val="10"/>
        <color theme="1"/>
        <rFont val="Arial"/>
        <family val="2"/>
      </rPr>
      <t>, Heinrich Böll décrit le bouleversement provoqué par le passage brutal des privations de l’après-guerre à l’abondance du boom économique.</t>
    </r>
  </si>
  <si>
    <t>Adenauer fête ses 80 ans. 
Le KDP,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</si>
  <si>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</si>
  <si>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t>Le constructeur automobile Volkswagen est privatisé à hauteur de 60% de son capital. 78% des ménages ouest-allemands disposent d'un réfrigérateur contre 25% en France. 42% possèdent une voiture. La société de consommation de masse est une réalité en RFA.
Adolf Eichamnn, criminel de guerre nazi, est extradé en Israel.
La RFA atteint le plein emploi et signe de nouveaux accords de recrutement avec la Grèce et l’Espagne. La croissance et l’immigration de travail deviennent deux dimensions indissociables du modèle ouest-allemand.</t>
  </si>
  <si>
    <t>Le chancelier Willy Brandt se rend en Pologne et s'agenouille devant le mémorial du ghetto de Varsovie.Le geste de Willy Brandt s'acccompagne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</si>
  <si>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theme="1"/>
        <rFont val="Arial"/>
        <family val="2"/>
      </rPr>
      <t>Le Concept de guérilla urbaine</t>
    </r>
    <r>
      <rPr>
        <sz val="10"/>
        <color theme="1"/>
        <rFont val="Arial"/>
        <family val="2"/>
      </rPr>
      <t>. Une vaste opération d'arrestation vise ses membres ; Petra Schelm est tuée par la police et deux policiers meurent à l’automne.</t>
    </r>
  </si>
  <si>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t>
  </si>
  <si>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</si>
  <si>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</si>
  <si>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</si>
  <si>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r>
      <rPr>
        <i/>
        <sz val="10"/>
        <color rgb="FF000000"/>
        <rFont val="Arial"/>
        <family val="2"/>
      </rPr>
      <t xml:space="preserve">Effi Briest
Martha - Téléfilm
Tous les autres s'appellent Ali
Noral Helmer - </t>
    </r>
    <r>
      <rPr>
        <sz val="10"/>
        <color rgb="FF000000"/>
        <rFont val="Arial"/>
        <family val="2"/>
      </rPr>
      <t>Téléfilm</t>
    </r>
  </si>
  <si>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</si>
  <si>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r>
      <rPr>
        <sz val="10"/>
        <color rgb="FF000000"/>
        <rFont val="Arial"/>
        <family val="2"/>
      </rPr>
      <t xml:space="preserve">Il joue dans  </t>
    </r>
    <r>
      <rPr>
        <i/>
        <sz val="10"/>
        <color rgb="FF000000"/>
        <rFont val="Arial"/>
        <family val="2"/>
      </rPr>
      <t>L'ombre des anges</t>
    </r>
    <r>
      <rPr>
        <sz val="10"/>
        <color rgb="FF000000"/>
        <rFont val="Arial"/>
        <family val="2"/>
      </rPr>
      <t xml:space="preserve">, l'adaptation de sa propre pièce, </t>
    </r>
    <r>
      <rPr>
        <i/>
        <sz val="10"/>
        <color rgb="FF000000"/>
        <rFont val="Arial"/>
        <family val="2"/>
      </rPr>
      <t>Les ordures la ville et la mort</t>
    </r>
    <r>
      <rPr>
        <sz val="10"/>
        <color rgb="FF000000"/>
        <rFont val="Arial"/>
        <family val="2"/>
      </rPr>
      <t xml:space="preserve">, mise en scène au cinéma par D. Schmid, et en partie financée par Fassbinder et produit par la société Albatros films de Fengler. C'est tout l'entourage de Fassbinder qui se joint au film, notamment Ingrid Caven. </t>
    </r>
  </si>
  <si>
    <r>
      <rPr>
        <sz val="10"/>
        <color rgb="FF000000"/>
        <rFont val="Arial"/>
        <family val="2"/>
      </rPr>
      <t xml:space="preserve">Mai 1978 : RWF quitte Armin Meier pendant un voyage à New York.Meier rentre seul à Munich tandis que RWF se rend à Cannes. Le 31 mai 1978, jour d'anniversaire de RWF, Armin Meier se suicide dans leur appartement. Le corps n'est découvert qu'une seumaine plus tard. Scandale. RWF se jette dans le travail. L'année des treize lunes, qui sort trois mois plus tard est dédié à Armin (et à tous les autres). 
Début de la collaboration avec Juliane Lorenz. </t>
    </r>
    <r>
      <rPr>
        <i/>
        <sz val="10"/>
        <color rgb="FF000000"/>
        <rFont val="Arial"/>
        <family val="2"/>
      </rPr>
      <t xml:space="preserve">L'année des treize lunes devient un film </t>
    </r>
    <r>
      <rPr>
        <sz val="10"/>
        <color rgb="FF000000"/>
        <rFont val="Arial"/>
        <family val="2"/>
      </rPr>
      <t>expiatoire. Le tournage de</t>
    </r>
    <r>
      <rPr>
        <i/>
        <sz val="10"/>
        <color rgb="FF000000"/>
        <rFont val="Arial"/>
        <family val="2"/>
      </rPr>
      <t xml:space="preserve"> Maria Braun </t>
    </r>
    <r>
      <rPr>
        <sz val="10"/>
        <color rgb="FF000000"/>
        <rFont val="Arial"/>
        <family val="2"/>
      </rPr>
      <t xml:space="preserve">est compliqué : dépassement de budget, consommation explosive de cocaïne. Ceci explique peut être la fin de la collaboration entre Ballhaus et RWF.
RWF travaille active à l'écriture de Berlin Alexander Platz, dont il dicte des passages dans </t>
    </r>
    <r>
      <rPr>
        <i/>
        <sz val="10"/>
        <color rgb="FF000000"/>
        <rFont val="Arial"/>
        <family val="2"/>
      </rPr>
      <t xml:space="preserve">L'année des treize lunes.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</si>
  <si>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</si>
  <si>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i/>
        <sz val="10"/>
        <color theme="1"/>
        <rFont val="Arial"/>
        <family val="2"/>
      </rPr>
      <t>L'année des treize lunes</t>
    </r>
    <r>
      <rPr>
        <sz val="10"/>
        <color theme="1"/>
        <rFont val="Arial"/>
        <family val="2"/>
      </rPr>
      <t xml:space="preserve"> est un projet très personnel pour RWF. Outre son sujet, qui se nourrit du deuil et de la culpabilité liés à la mort d'Armin Meier, RWF y participe à toutes les étapes, y compris le cadrage et le montage. La critique est divisée, entre enthouasisme et rejet, entre lecture sentimentale et lecture politique. 
"</t>
    </r>
    <r>
      <rPr>
        <i/>
        <sz val="10"/>
        <color theme="1"/>
        <rFont val="Arial"/>
        <family val="2"/>
      </rPr>
      <t xml:space="preserve">Despair </t>
    </r>
    <r>
      <rPr>
        <sz val="10"/>
        <color theme="1"/>
        <rFont val="Arial"/>
        <family val="2"/>
      </rPr>
      <t xml:space="preserve">est le film le plus rempli d'espoir que j'ai jamais fait " RWF, </t>
    </r>
    <r>
      <rPr>
        <i/>
        <sz val="10"/>
        <color theme="1"/>
        <rFont val="Arial"/>
        <family val="2"/>
      </rPr>
      <t>L'anarchie de l'imaginaire</t>
    </r>
    <r>
      <rPr>
        <sz val="10"/>
        <color theme="1"/>
        <rFont val="Arial"/>
        <family val="2"/>
      </rPr>
      <t xml:space="preserve">, </t>
    </r>
    <r>
      <rPr>
        <i/>
        <sz val="10"/>
        <color theme="1"/>
        <rFont val="Arial"/>
        <family val="2"/>
      </rPr>
      <t>p.80-81</t>
    </r>
    <r>
      <rPr>
        <sz val="10"/>
        <color theme="1"/>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color theme="1"/>
        <rFont val="Arial"/>
        <family val="2"/>
      </rPr>
      <t xml:space="preserve">Le mariage de Maria Braun. </t>
    </r>
    <r>
      <rPr>
        <sz val="10"/>
        <color theme="1"/>
        <rFont val="Arial"/>
        <family val="2"/>
      </rPr>
      <t xml:space="preserve">ce film exclipse </t>
    </r>
    <r>
      <rPr>
        <i/>
        <sz val="10"/>
        <color theme="1"/>
        <rFont val="Arial"/>
        <family val="2"/>
      </rPr>
      <t xml:space="preserve">Despair.
L'allemagne en automne n'est vu que par un public limité. </t>
    </r>
  </si>
  <si>
    <r>
      <rPr>
        <i/>
        <sz val="10"/>
        <color rgb="FF000000"/>
        <rFont val="Arial"/>
        <family val="2"/>
      </rPr>
      <t>Le tambour</t>
    </r>
    <r>
      <rPr>
        <sz val="10"/>
        <color rgb="FF000000"/>
        <rFont val="Arial"/>
        <family val="2"/>
      </rPr>
      <t xml:space="preserve"> de V. Schlondorff obtient la palme d'or à Cannes. 
La diffusion de la série américaine  </t>
    </r>
    <r>
      <rPr>
        <i/>
        <sz val="10"/>
        <color rgb="FF000000"/>
        <rFont val="Arial"/>
        <family val="2"/>
      </rPr>
      <t>Holocaust</t>
    </r>
    <r>
      <rPr>
        <sz val="10"/>
        <color rgb="FF000000"/>
        <rFont val="Arial"/>
        <family val="2"/>
      </rPr>
      <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</si>
  <si>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r>
      <rPr>
        <sz val="10"/>
        <color rgb="FF000000"/>
        <rFont val="Arial"/>
        <family val="2"/>
      </rPr>
      <t xml:space="preserve">Le succès du </t>
    </r>
    <r>
      <rPr>
        <i/>
        <sz val="10"/>
        <color rgb="FF000000"/>
        <rFont val="Arial"/>
        <family val="2"/>
      </rPr>
      <t>Mariage de Maria Braun</t>
    </r>
    <r>
      <rPr>
        <sz val="10"/>
        <color rgb="FF000000"/>
        <rFont val="Arial"/>
        <family val="2"/>
      </rPr>
      <t xml:space="preserve"> amène RWF à espérer pour voir réaliser </t>
    </r>
    <r>
      <rPr>
        <i/>
        <sz val="10"/>
        <color rgb="FF000000"/>
        <rFont val="Arial"/>
        <family val="2"/>
      </rPr>
      <t>Cocaïne</t>
    </r>
    <r>
      <rPr>
        <sz val="10"/>
        <color rgb="FF000000"/>
        <rFont val="Arial"/>
        <family val="2"/>
      </rPr>
      <t xml:space="preserve">, l'adaptation d'un roman de Pitigrilli. Il lui permet aussi de renégocier à la hausse le budget de production de </t>
    </r>
    <r>
      <rPr>
        <i/>
        <sz val="10"/>
        <color rgb="FF000000"/>
        <rFont val="Arial"/>
        <family val="2"/>
      </rPr>
      <t>Berlin Alexanderplatz</t>
    </r>
    <r>
      <rPr>
        <sz val="10"/>
        <color rgb="FF000000"/>
        <rFont val="Arial"/>
        <family val="2"/>
      </rPr>
      <t xml:space="preserve"> : le projet devient le le plus coûteux de l'histoire de la télévision allemande. </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</si>
  <si>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</si>
  <si>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</si>
  <si>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r>
      <rPr>
        <i/>
        <sz val="10"/>
        <color rgb="FF000000"/>
        <rFont val="Arial"/>
        <family val="2"/>
      </rP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Karl Reitz qui sera diffusé en 1984</t>
    </r>
  </si>
  <si>
    <r>
      <rPr>
        <sz val="10"/>
        <color rgb="FF000000"/>
        <rFont val="Arial"/>
        <family val="2"/>
      </rPr>
      <t xml:space="preserve">Monumental </t>
    </r>
    <r>
      <rPr>
        <i/>
        <sz val="10"/>
        <color rgb="FF000000"/>
        <rFont val="Arial"/>
        <family val="2"/>
      </rPr>
      <t>Berlin Alexanderplatz</t>
    </r>
    <r>
      <rPr>
        <sz val="10"/>
        <color rgb="FF000000"/>
        <rFont val="Arial"/>
        <family val="2"/>
      </rPr>
      <t xml:space="preserve">  - série en 14 épisodes et un épiloque </t>
    </r>
  </si>
  <si>
    <r>
      <rPr>
        <sz val="10"/>
        <color theme="1"/>
        <rFont val="Arial"/>
        <family val="2"/>
      </rPr>
      <t xml:space="preserve">Hanna Schygulla doit interpréter </t>
    </r>
    <r>
      <rPr>
        <i/>
        <sz val="10"/>
        <color theme="1"/>
        <rFont val="Arial"/>
        <family val="2"/>
      </rPr>
      <t>Lola une femme allemande</t>
    </r>
    <r>
      <rPr>
        <sz val="10"/>
        <color theme="1"/>
        <rFont val="Arial"/>
        <family val="2"/>
      </rPr>
      <t>, mais Fassbinder lui retire le rôle furieux que l'actrice ait déclaré qu'elle s'était elle-même distribuée dans le film.</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</si>
  <si>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</si>
  <si>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r>
      <rPr>
        <i/>
        <sz val="10"/>
        <color rgb="FF000000"/>
        <rFont val="Arial"/>
        <family val="2"/>
      </rPr>
      <t>Lola, une femme allemande</t>
    </r>
    <r>
      <rPr>
        <sz val="10"/>
        <color rgb="FF000000"/>
        <rFont val="Arial"/>
        <family val="2"/>
      </rPr>
      <t xml:space="preserve"> est d'abord conçu comme un remake de L</t>
    </r>
    <r>
      <rPr>
        <i/>
        <sz val="10"/>
        <color rgb="FF000000"/>
        <rFont val="Arial"/>
        <family val="2"/>
      </rPr>
      <t xml:space="preserve">'ange bleu </t>
    </r>
    <r>
      <rPr>
        <sz val="10"/>
        <color rgb="FF000000"/>
        <rFont val="Arial"/>
        <family val="2"/>
      </rPr>
      <t>de Josphe von Sternberg (1930).</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</si>
  <si>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</si>
  <si>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r>
      <t xml:space="preserve">Affiche du </t>
    </r>
    <r>
      <rPr>
        <i/>
        <sz val="10"/>
        <color rgb="FF000000"/>
        <rFont val="Arial"/>
        <family val="2"/>
      </rPr>
      <t>Mariage de Maria Braun</t>
    </r>
  </si>
  <si>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d'Htiler sous forme de comédie musicale. Sa mise en scène de l'homosexualité comme espace de réistance à l'oppression nazi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</si>
  <si>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t xml:space="preserve">Allemagne année zéro </t>
    </r>
    <r>
      <rPr>
        <sz val="10"/>
        <color rgb="FF000000"/>
        <rFont val="Arial"/>
        <family val="2"/>
      </rPr>
      <t>de Rossellini (1948) ) Le protagoniste Edmund tente de vendre un enregistrement d'un discours d'Hitler sur disque à des soldats alliés. La voix du Fürher se met à résonner dans les ruines du Reichstag, siège du parlement incendié en 1933</t>
    </r>
  </si>
  <si>
    <r>
      <t xml:space="preserve">Décès de Bertold Brecht
</t>
    </r>
    <r>
      <rPr>
        <i/>
        <sz val="10"/>
        <color rgb="FF000000"/>
        <rFont val="Arial"/>
        <family val="2"/>
      </rPr>
      <t xml:space="preserve">Nuit et brouillard </t>
    </r>
    <r>
      <rPr>
        <sz val="10"/>
        <color rgb="FF000000"/>
        <rFont val="Arial"/>
        <family val="2"/>
      </rPr>
      <t xml:space="preserve">d'Alain Resnais. </t>
    </r>
  </si>
  <si>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</si>
  <si>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r>
      <t xml:space="preserve">La parution du </t>
    </r>
    <r>
      <rPr>
        <i/>
        <sz val="10"/>
        <color rgb="FF000000"/>
        <rFont val="Arial"/>
        <family val="2"/>
      </rPr>
      <t>Deuil impossible</t>
    </r>
    <r>
      <rPr>
        <sz val="10"/>
        <color rgb="FF000000"/>
        <rFont val="Arial"/>
        <family val="2"/>
      </rPr>
      <t xml:space="preserve"> de Alexander et Margarete Mitscherlich fait scandale. A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refoulementdu passé. L'ouvrage exercce une influence sur les artistes allemands de l'époque. 
</t>
    </r>
  </si>
  <si>
    <r>
      <t xml:space="preserve">"Mein Herr", numéro de </t>
    </r>
    <r>
      <rPr>
        <i/>
        <sz val="10"/>
        <color theme="1"/>
        <rFont val="Arial"/>
        <family val="2"/>
      </rPr>
      <t>Cabaret |</t>
    </r>
    <r>
      <rPr>
        <sz val="10"/>
        <color theme="1"/>
        <rFont val="Arial"/>
        <family val="2"/>
      </rPr>
      <t>https://www.youtube.com/watch?v=qBjiQ5oDHBc</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</si>
  <si>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de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</si>
  <si>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 ge </t>
    </r>
    <r>
      <rPr>
        <i/>
        <sz val="10"/>
        <color theme="1"/>
        <rFont val="Arial"/>
        <family val="2"/>
      </rPr>
      <t>Fassbinder par lui-même</t>
    </r>
    <r>
      <rPr>
        <sz val="10"/>
        <color theme="1"/>
        <rFont val="Arial"/>
        <family val="2"/>
      </rPr>
      <t>, p.342-343, G3J éditeur, 2010</t>
    </r>
  </si>
  <si>
    <r>
      <rPr>
        <sz val="10"/>
        <color theme="1"/>
        <rFont val="Arial"/>
        <family val="2"/>
      </rPr>
      <t xml:space="preserve">La première génération était celle de 1968. Des idéalistes qui voulaient changer le monde et qui s'imginaient pouvoir le faire avec des mots et des manifestes. La deuxième, celle du groupe Gaader-Meinhof, passa de la légalité à la lutte armée et à l'illégalité totale. la troisième génération est celle d'aujourd'hui, qui se contente d'agir sans réfélchir,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</si>
  <si>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r>
      <rPr>
        <sz val="10"/>
        <color theme="1"/>
        <rFont val="Arial"/>
        <family val="2"/>
      </rPr>
      <t xml:space="preserve">"je ferai des films jusqu'à ce que j'ai conduit mon histoire de la RFA jusqu'à ici et aujourd'hui. Les histoires de </t>
    </r>
    <r>
      <rPr>
        <i/>
        <sz val="10"/>
        <color theme="1"/>
        <rFont val="Arial"/>
        <family val="2"/>
      </rPr>
      <t xml:space="preserve">Lola </t>
    </r>
    <r>
      <rPr>
        <sz val="10"/>
        <color theme="1"/>
        <rFont val="Arial"/>
        <family val="2"/>
      </rPr>
      <t xml:space="preserve">et </t>
    </r>
    <r>
      <rPr>
        <i/>
        <sz val="10"/>
        <color theme="1"/>
        <rFont val="Arial"/>
        <family val="2"/>
      </rPr>
      <t>Maria Braun</t>
    </r>
    <r>
      <rPr>
        <sz val="10"/>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color theme="1"/>
        <rFont val="Arial"/>
        <family val="2"/>
      </rPr>
      <t xml:space="preserve">Rainer Werner Fassbinder, Dichter, Schapuspieler, Filmemacher, </t>
    </r>
    <r>
      <rPr>
        <sz val="10"/>
        <color theme="1"/>
        <rFont val="Arial"/>
        <family val="2"/>
      </rPr>
      <t>Argon, 1992, p.77</t>
    </r>
  </si>
  <si>
    <r>
      <rPr>
        <i/>
        <sz val="10"/>
        <color theme="1"/>
        <rFont val="Arial"/>
        <family val="2"/>
      </rPr>
      <t>Lola</t>
    </r>
    <r>
      <rPr>
        <sz val="10"/>
        <color theme="1"/>
        <rFont val="Arial"/>
        <family val="2"/>
      </rPr>
      <t xml:space="preserve"> est "un des films les plus intelligents, les plus pénétrants, mais aussi les plus grinçants sur la période d'après-guerre", Thomas Elsaesser, </t>
    </r>
    <r>
      <rPr>
        <i/>
        <sz val="10"/>
        <color theme="1"/>
        <rFont val="Arial"/>
        <family val="2"/>
      </rPr>
      <t>RWF un cinéaste d'Allemagne</t>
    </r>
    <r>
      <rPr>
        <sz val="10"/>
        <color theme="1"/>
        <rFont val="Arial"/>
        <family val="2"/>
      </rPr>
      <t xml:space="preserve">, p. 1965
</t>
    </r>
    <r>
      <rPr>
        <i/>
        <sz val="10"/>
        <color theme="1"/>
        <rFont val="Arial"/>
        <family val="2"/>
      </rPr>
      <t>Lili Marleen (…) est ma première tentative de faire un film sur le IIIe Reich. Et je fera certainement encore plusieurs films sur le IIIe Reich. (...) Il en résultera peut-être pour finir un tableau d'ensemble de la bourgeoisie depuis 1848" Rainer Werner Fassbinder. Dichter, Schauspieler, Filmemacher</t>
    </r>
    <r>
      <rPr>
        <sz val="10"/>
        <color theme="1"/>
        <rFont val="Arial"/>
        <family val="2"/>
      </rPr>
      <t>, 1992, p.178</t>
    </r>
  </si>
  <si>
    <r>
      <rPr>
        <sz val="10"/>
        <color theme="1"/>
        <rFont val="Arial"/>
        <family val="2"/>
      </rPr>
      <t xml:space="preserve">"Je ne pense pas qu'il fait fait un seul que l'on pourrait qualifier de chef-d'œuvre. Le chef-d'œuvre, c'est les 41 films et la vie et tout le reste. Les films ne sont que le résidu de cette vie."Peter Chatel </t>
    </r>
    <r>
      <rPr>
        <i/>
        <sz val="10"/>
        <color theme="1"/>
        <rFont val="Arial"/>
        <family val="2"/>
      </rPr>
      <t xml:space="preserve">in  Die Sehnsucht des Rainer Werner Fassbinder » (La Nostalgie de Rainer Werner Fassbinder), De Kurt Raab et Karsten Peters, 1982, éditions Bertelsmann </t>
    </r>
  </si>
  <si>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RAD. La prise d’otages de l’ambassade de RFA à Stockholm par un commando de la RAF s’achève dans le sang.
Le procès des principaux dirigeants de la RAF s’ouvre à Stuttgart-Stammheim, tandis que se structurent en Allemagne et à l’étranger des comités de soutien.</t>
  </si>
  <si>
    <t xml:space="preserve">Développement du "film amphibie" (cinéma/TV). Le cinéma devient un outil de critique sociale directe.
</t>
  </si>
  <si>
    <t>Le cinéma et la télévision s’emparent des violences politiques, des minorités et des rapports de domination. Le « film amphibie », conçu pour circuler entre petit et grand écran, élargit le public de cette critique sociale.</t>
  </si>
  <si>
    <r>
      <rPr>
        <sz val="10"/>
        <color rgb="FF000000"/>
        <rFont val="Arial"/>
        <family val="2"/>
      </rPr>
      <t xml:space="preserve">RWF écrit la pièce </t>
    </r>
    <r>
      <rPr>
        <i/>
        <sz val="10"/>
        <color rgb="FF000000"/>
        <rFont val="Arial"/>
        <family val="2"/>
      </rPr>
      <t>Les ordures, la ville et la mort</t>
    </r>
    <r>
      <rPr>
        <sz val="10"/>
        <color rgb="FF000000"/>
        <rFont val="Arial"/>
        <family val="2"/>
      </rPr>
      <t>, qu'il doit mettre en scène au Theater und Sturm de Francfort. La pièce, qui traite de corruption et de spéculation immobilière, a pour protagoniste un homme juif, désigné comme "le juif riche". Son ton satirique vise surtout l'administration municipale de la ville. Avant même sa publication et l'ouverture du spectacle, la pièce fait scandale. Suite à la circulation de quelques copies du texte et de la publication d'un communiqué de presse,</t>
    </r>
    <r>
      <rPr>
        <i/>
        <sz val="10"/>
        <color rgb="FF000000"/>
        <rFont val="Arial"/>
        <family val="2"/>
      </rPr>
      <t xml:space="preserve"> </t>
    </r>
    <r>
      <rPr>
        <sz val="10"/>
        <color rgb="FF000000"/>
        <rFont val="Arial"/>
        <family val="2"/>
      </rPr>
      <t xml:space="preserve">RWF est accusé d'antisémitisme, notammant par Joachim C. Fest dont le livre </t>
    </r>
    <r>
      <rPr>
        <i/>
        <sz val="10"/>
        <color rgb="FF000000"/>
        <rFont val="Arial"/>
        <family val="2"/>
      </rPr>
      <t xml:space="preserve">Hitler une carrière </t>
    </r>
    <r>
      <rPr>
        <sz val="10"/>
        <color rgb="FF000000"/>
        <rFont val="Arial"/>
        <family val="2"/>
      </rPr>
      <t xml:space="preserve">avait contribué à mettre à jour l'existence d'une "vague Hitler" nostalgique au sein de la population, qu'il associait notamment à une gauche "rouge" affiliée au fascisme de Moscou. La pièce est abandonnée et RWF interdit qu'on la représente de son vivant en Allemagne. Le projet de téléfilm </t>
    </r>
    <r>
      <rPr>
        <i/>
        <sz val="10"/>
        <color rgb="FF000000"/>
        <rFont val="Arial"/>
        <family val="2"/>
      </rPr>
      <t xml:space="preserve">La terre est inhabitable comme la lune, </t>
    </r>
    <r>
      <rPr>
        <sz val="10"/>
        <color rgb="FF000000"/>
        <rFont val="Arial"/>
        <family val="2"/>
      </rPr>
      <t>qui s'inspirait en partie des personnages de la pièce, perd ses financements. 
Liaison avec Armin Meier.</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</si>
  <si>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</si>
  <si>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rPr>
        <sz val="10"/>
        <color rgb="FF000000"/>
        <rFont val="Arial"/>
        <family val="2"/>
      </rP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Suite au scandale déclenché par </t>
    </r>
    <r>
      <rPr>
        <i/>
        <sz val="10"/>
        <color rgb="FF000000"/>
        <rFont val="Arial"/>
        <family val="2"/>
      </rPr>
      <t xml:space="preserve">Les ordures, la ville et la mort, </t>
    </r>
    <r>
      <rPr>
        <sz val="10"/>
        <color rgb="FF000000"/>
        <rFont val="Arial"/>
        <family val="2"/>
      </rPr>
      <t xml:space="preserve">RWF subira le soupçon d'antisémtisme dans tous ses autres projets associés à cette question. Pour apprécier la position de RWF, lire "les philosémites sont des antisémites" dans </t>
    </r>
    <r>
      <rPr>
        <i/>
        <sz val="10"/>
        <color rgb="FF000000"/>
        <rFont val="Arial"/>
        <family val="2"/>
      </rPr>
      <t xml:space="preserve">L'anarchie de l'imagination, </t>
    </r>
    <r>
      <rPr>
        <sz val="10"/>
        <color rgb="FF000000"/>
        <rFont val="Arial"/>
        <family val="2"/>
      </rPr>
      <t xml:space="preserve">et "prise de postion à propos de L'ordure, la ville et la mort dans </t>
    </r>
    <r>
      <rPr>
        <i/>
        <sz val="10"/>
        <color rgb="FF000000"/>
        <rFont val="Arial"/>
        <family val="2"/>
      </rPr>
      <t>Les films libèrent la tête. La pièce</t>
    </r>
    <r>
      <rPr>
        <sz val="10"/>
        <color rgb="FF000000"/>
        <rFont val="Arial"/>
        <family val="2"/>
      </rPr>
      <t xml:space="preserve"> Les ordures, la ville et la mort est toujours un texte polémique, rarement monté. En 1985, le projet de le mettre sur scène à Francfort déclencha de vifs débats, le projet, d'abord retiré, fut monté à huis-clos devant un public restreint de journalistes dans unautre théâtre de Francfort dans un contexte politique d'affirmation de l'unité refondée du peuple allemand mais de sensibilités mémorielles toujours vives. </t>
    </r>
  </si>
  <si>
    <r>
      <t xml:space="preserve">Le mouvement du Nouveau cinéma allemand atteint son apogée thématique et politique.
</t>
    </r>
    <r>
      <rPr>
        <i/>
        <sz val="10"/>
        <color theme="1"/>
        <rFont val="Arial"/>
        <family val="2"/>
      </rPr>
      <t>Hitler, un film d'Allemagne</t>
    </r>
    <r>
      <rPr>
        <sz val="10"/>
        <color theme="1"/>
        <rFont val="Arial"/>
        <family val="2"/>
      </rPr>
      <t xml:space="preserve"> de Syberberg interroge le nazisme à travers son usage des médias (radio et cinéma) et sa mise en spectacle du politique.  Le film révèle commentl le show business moderne présente une dimension fasciste.
L’expression « Automne allemand » désigne bientôt autant la séquence terroriste que le climat de peur, de contrôle et de crise démocratique qu’elle produit. Cinéastes, écrivains et artistes s’interrogent sur la violence politique, la mémoire du nazisme et les réponses de l’État.</t>
    </r>
  </si>
  <si>
    <t>Victoire d'Helmut Kohl (CDU) en octobre. Fin d'une époque artistique et politique radicale.Kohl se donne comme mission de réconcilier le peuple ouest-allemand avec son passé
L’accession d’Helmut Kohl à la chancellerie clôt la période sociale-libérale sans rompre avec l’Ostpolitik. Le nouveau gouvernement réaffirme la réunification comme horizon et fait de la coopération franco-allemande un axe majeur.</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</si>
  <si>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RAD, apogée de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Shubert est retrouvée pendue dans sa cellule de la prison de Munich. </t>
  </si>
  <si>
    <t>Construction du Mur de Berlin (1961). Procès d'Auschwitz à Francfort (1963-1965). Démission d'Adenauer. Le chancelier Erhard (CDU) est chancelier jusqu'en 1966. Grande Coalition CDU-SPD en 1966.
Le Mur matérialise la division allemande, tandis que les procès Eichmann et d’Auschwitz replacent les crimes nazis au centre du débat public. La fin de l’ère Adenauer et la Grande Coalition accompagnent l’émergence d’une nouvelle génération nombreuse, plus critique envers les institutions et l’autorité.</t>
  </si>
  <si>
    <t>Erhard.jpg</t>
  </si>
  <si>
    <t>Le chancelier Ehrard (CDU)</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</si>
  <si>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</si>
  <si>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t>2 Juin : l’étudiant Bennon Ohnesorg est tué par un policier lors d’une manifestation contre le Shah d’Iran. Les mouvements protestataires font le parallèle avec le IIIème Reich : se développe alors un discours critique à l’égard de la génération précédente et de son rôle, favorable ou passif, face que nazisme. La radicalisation des mouvements d'extrême-gauche est en cours.</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</si>
  <si>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</si>
  <si>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</si>
  <si>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</si>
  <si>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Brandt.jpg</t>
  </si>
  <si>
    <t>Le chancelier Willy Brandt (SPD)</t>
  </si>
  <si>
    <t>Kiesinger.jpg</t>
  </si>
  <si>
    <t>Le chancelier Kiesinger (Grande Coalition CDU-SPD)</t>
  </si>
  <si>
    <t>Schmidt.jpg</t>
  </si>
  <si>
    <t>Le chancelier Helmut Schmidt (SPD)</t>
  </si>
  <si>
    <r>
      <t xml:space="preserve">RWF interprète Fox dans </t>
    </r>
    <r>
      <rPr>
        <i/>
        <sz val="10"/>
        <rFont val="Arial"/>
        <family val="2"/>
      </rPr>
      <t>Le droit du plus fort</t>
    </r>
  </si>
  <si>
    <t>Willy Brandt démissionne : aGuillaume,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</si>
  <si>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t>Kohl.jpg</t>
  </si>
  <si>
    <t>Le Chancelier Hemult Kohl (CDU)</t>
  </si>
  <si>
    <r>
      <t xml:space="preserve">La pièce </t>
    </r>
    <r>
      <rPr>
        <i/>
        <sz val="10"/>
        <color theme="1"/>
        <rFont val="Arial"/>
        <family val="2"/>
      </rPr>
      <t>outrage au public</t>
    </r>
    <r>
      <rPr>
        <sz val="10"/>
        <color theme="1"/>
        <rFont val="Arial"/>
        <family val="2"/>
      </rPr>
      <t xml:space="preserve"> du dramaturge allemand Peter Handke témoigne du goût de l'avant-garde  artistique subentionnée pour une forme de provocation à l'égard du public, manière paradoxale de s'affranchir de la tutelle culturelle dont ils bénéficient.
La publication du </t>
    </r>
    <r>
      <rPr>
        <i/>
        <sz val="10"/>
        <color theme="1"/>
        <rFont val="Arial"/>
        <family val="2"/>
      </rPr>
      <t>Journal de Spandau</t>
    </r>
    <r>
      <rPr>
        <sz val="10"/>
        <color theme="1"/>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</si>
  <si>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t>Fassbinder_jeunesse.jpeg</t>
  </si>
  <si>
    <t>RWF jeune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</si>
</sst>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0"/>
      <name val="Arial"/>
    </font>
    <font>
      <sz val="12"/>
      <color theme="10"/>
      <name val="Aptos Narrow"/>
    </font>
    <font>
      <sz val="12"/>
      <color theme="1"/>
      <name val="Aptos Narrow"/>
    </font>
    <font>
      <sz val="10"/>
      <color theme="1"/>
      <name val="Arial"/>
      <family val="2"/>
    </font>
    <font>
      <sz val="12"/>
      <color rgb="FF1F4E78"/>
      <name val="Aptos Narrow"/>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i/>
      <sz val="12"/>
      <name val="Aptos"/>
    </font>
    <font>
      <sz val="10"/>
      <color theme="10"/>
      <name val="Arial"/>
      <family val="2"/>
    </font>
    <font>
      <i/>
      <sz val="10"/>
      <color rgb="FF000000"/>
      <name val="Arial"/>
      <family val="2"/>
    </font>
    <font>
      <i/>
      <sz val="409.55"/>
      <color rgb="FF000000"/>
      <name val="Arial"/>
      <family val="2"/>
    </font>
    <font>
      <sz val="409.55"/>
      <color rgb="FF000000"/>
      <name val="Aptos"/>
    </font>
    <font>
      <i/>
      <sz val="409.55"/>
      <color rgb="FF000000"/>
      <name val="Aptos"/>
    </font>
    <font>
      <sz val="10"/>
      <color theme="1"/>
      <name val="Arial"/>
      <family val="2"/>
    </font>
    <font>
      <sz val="10"/>
      <color rgb="FF1F4E78"/>
      <name val="Arial"/>
      <family val="2"/>
    </font>
    <font>
      <sz val="10"/>
      <color theme="0"/>
      <name val="Arial"/>
      <family val="2"/>
    </font>
    <font>
      <sz val="10"/>
      <name val="Arial"/>
      <family val="2"/>
    </font>
    <font>
      <sz val="10"/>
      <color rgb="FF1F4E78"/>
      <name val="Aptos Narrow"/>
    </font>
    <font>
      <sz val="10"/>
      <color theme="10"/>
      <name val="Aptos Narrow"/>
    </font>
    <font>
      <sz val="10"/>
      <color theme="1"/>
      <name val="Aptos Narrow"/>
    </font>
    <font>
      <i/>
      <sz val="10"/>
      <color theme="1"/>
      <name val="Aptos Narrow"/>
    </font>
    <font>
      <i/>
      <sz val="10"/>
      <name val="Arial"/>
      <family val="2"/>
    </font>
  </fonts>
  <fills count="9">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rgb="FFD9D9D9"/>
      </patternFill>
    </fill>
    <fill>
      <patternFill patternType="solid">
        <fgColor theme="1"/>
      </patternFill>
    </fill>
    <fill>
      <patternFill patternType="solid">
        <fgColor rgb="FFD9D9D9"/>
        <b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8">
    <xf numFmtId="0" fontId="0" fillId="0" borderId="0" xfId="0"/>
    <xf numFmtId="0" fontId="3" fillId="0" borderId="0" xfId="2" applyFont="1" applyAlignment="1">
      <alignment vertical="top" wrapText="1"/>
    </xf>
    <xf numFmtId="0" fontId="4" fillId="2" borderId="0" xfId="2" applyFont="1" applyFill="1" applyAlignment="1">
      <alignment wrapText="1"/>
    </xf>
    <xf numFmtId="0" fontId="2" fillId="0" borderId="0" xfId="2" applyAlignment="1">
      <alignment wrapText="1"/>
    </xf>
    <xf numFmtId="0" fontId="5" fillId="0" borderId="0" xfId="2" applyFont="1" applyAlignment="1">
      <alignment vertical="top" wrapText="1"/>
    </xf>
    <xf numFmtId="0" fontId="2" fillId="3" borderId="0" xfId="2" applyFill="1" applyAlignment="1">
      <alignment wrapText="1"/>
    </xf>
    <xf numFmtId="0" fontId="6" fillId="4" borderId="0" xfId="2" applyFont="1" applyFill="1" applyAlignment="1">
      <alignment wrapText="1"/>
    </xf>
    <xf numFmtId="0" fontId="7" fillId="5" borderId="0" xfId="2" applyFont="1" applyFill="1" applyAlignment="1">
      <alignment wrapText="1"/>
    </xf>
    <xf numFmtId="0" fontId="5" fillId="0" borderId="0" xfId="0" applyFont="1"/>
    <xf numFmtId="0" fontId="0" fillId="0" borderId="0" xfId="0" applyAlignment="1">
      <alignment vertical="top"/>
    </xf>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8" fillId="0" borderId="0" xfId="0" applyFont="1" applyAlignment="1">
      <alignment vertical="top" wrapText="1"/>
    </xf>
    <xf numFmtId="0" fontId="13" fillId="0" borderId="0" xfId="1" applyFont="1" applyAlignment="1">
      <alignment vertical="top" wrapText="1"/>
    </xf>
    <xf numFmtId="0" fontId="11" fillId="0" borderId="0" xfId="2" applyFont="1" applyAlignment="1">
      <alignment vertical="top" wrapText="1"/>
    </xf>
    <xf numFmtId="0" fontId="14" fillId="0" borderId="0" xfId="2" applyFont="1" applyAlignment="1">
      <alignment vertical="top" wrapText="1"/>
    </xf>
    <xf numFmtId="0" fontId="3" fillId="0" borderId="0" xfId="2" applyFont="1" applyAlignment="1">
      <alignment horizontal="left" vertical="top" wrapText="1"/>
    </xf>
    <xf numFmtId="0" fontId="9" fillId="0" borderId="0" xfId="2" applyFont="1" applyAlignment="1">
      <alignment vertical="top" wrapText="1"/>
    </xf>
    <xf numFmtId="0" fontId="11" fillId="6" borderId="1" xfId="0" applyFont="1" applyFill="1" applyBorder="1" applyAlignment="1">
      <alignment vertical="top" wrapText="1"/>
    </xf>
    <xf numFmtId="0" fontId="5" fillId="7" borderId="0" xfId="0" applyFont="1" applyFill="1" applyAlignment="1">
      <alignment vertical="top"/>
    </xf>
    <xf numFmtId="0" fontId="20" fillId="0" borderId="0" xfId="2" applyFont="1" applyAlignment="1">
      <alignment vertical="top" wrapText="1"/>
    </xf>
    <xf numFmtId="0" fontId="18" fillId="0" borderId="0" xfId="2" applyFont="1" applyAlignment="1">
      <alignment vertical="top" wrapText="1"/>
    </xf>
    <xf numFmtId="0" fontId="21" fillId="0" borderId="0" xfId="0" applyFont="1"/>
    <xf numFmtId="0" fontId="22" fillId="2" borderId="0" xfId="2" applyFont="1" applyFill="1" applyAlignment="1">
      <alignment wrapText="1"/>
    </xf>
    <xf numFmtId="0" fontId="23" fillId="0" borderId="0" xfId="1" applyFont="1" applyAlignment="1">
      <alignment wrapText="1"/>
    </xf>
    <xf numFmtId="0" fontId="21" fillId="0" borderId="0" xfId="0" applyFont="1" applyAlignment="1">
      <alignment vertical="top" wrapText="1"/>
    </xf>
    <xf numFmtId="0" fontId="21" fillId="0" borderId="0" xfId="0" applyFont="1" applyAlignment="1">
      <alignment vertical="top"/>
    </xf>
    <xf numFmtId="0" fontId="19" fillId="2" borderId="0" xfId="2" applyFont="1" applyFill="1" applyAlignment="1">
      <alignment vertical="top" wrapText="1"/>
    </xf>
    <xf numFmtId="0" fontId="23" fillId="0" borderId="0" xfId="1" applyFont="1" applyAlignment="1">
      <alignment vertical="top" wrapText="1"/>
    </xf>
    <xf numFmtId="0" fontId="24" fillId="0" borderId="0" xfId="2" applyFont="1" applyAlignment="1">
      <alignment vertical="top" wrapText="1"/>
    </xf>
    <xf numFmtId="0" fontId="24" fillId="0" borderId="0" xfId="2" applyFont="1" applyAlignment="1">
      <alignment horizontal="left" vertical="top" wrapText="1"/>
    </xf>
    <xf numFmtId="0" fontId="21" fillId="0" borderId="0" xfId="0" applyFont="1" applyAlignment="1">
      <alignment wrapText="1"/>
    </xf>
    <xf numFmtId="0" fontId="18" fillId="0" borderId="0" xfId="2" applyFont="1" applyAlignment="1">
      <alignment horizontal="left" vertical="top" wrapText="1"/>
    </xf>
    <xf numFmtId="0" fontId="11" fillId="0" borderId="0" xfId="0" applyFont="1"/>
    <xf numFmtId="0" fontId="3" fillId="0" borderId="0" xfId="0" applyFont="1" applyAlignment="1">
      <alignment vertical="top" wrapText="1"/>
    </xf>
    <xf numFmtId="0" fontId="8" fillId="0" borderId="0" xfId="0" applyFont="1"/>
    <xf numFmtId="0" fontId="11" fillId="8" borderId="1" xfId="0" applyFont="1" applyFill="1" applyBorder="1" applyAlignment="1">
      <alignment vertical="top" wrapText="1"/>
    </xf>
  </cellXfs>
  <cellStyles count="3">
    <cellStyle name="Lien hypertexte" xfId="1" xr:uid="{00000000-0005-0000-0000-000000000000}"/>
    <cellStyle name="Normal" xfId="0" builtinId="0"/>
    <cellStyle name="Normal 2" xfId="2" xr:uid="{00000000-0005-0000-0000-000002000000}"/>
  </cellStyles>
  <dxfs count="37">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10" totalsRowShown="0" headerRowDxfId="15" dataDxfId="14">
  <autoFilter ref="A1:N10" xr:uid="{00000000-0009-0000-0100-000003000000}"/>
  <tableColumns count="14">
    <tableColumn id="1" xr3:uid="{00000000-0010-0000-0000-000001000000}" name="ID période" dataDxfId="13"/>
    <tableColumn id="2" xr3:uid="{00000000-0010-0000-0000-000002000000}" name="Titre période" dataDxfId="12"/>
    <tableColumn id="3" xr3:uid="{00000000-0010-0000-0000-000003000000}" name="question directrice" dataDxfId="11"/>
    <tableColumn id="4" xr3:uid="{00000000-0010-0000-0000-000004000000}" name="Événement histoire et politique" dataDxfId="10"/>
    <tableColumn id="5" xr3:uid="{00000000-0010-0000-0000-000005000000}" name="Contexte culturel" dataDxfId="9"/>
    <tableColumn id="6" xr3:uid="{00000000-0010-0000-0000-000006000000}" name="Biographie de Fassbinder" dataDxfId="8"/>
    <tableColumn id="7" xr3:uid="{00000000-0010-0000-0000-000007000000}" name="Œuvres" dataDxfId="7"/>
    <tableColumn id="8" xr3:uid="{00000000-0010-0000-0000-000008000000}" name="ID films - Œuvres" dataDxfId="6"/>
    <tableColumn id="9" xr3:uid="{00000000-0010-0000-0000-000009000000}" name="Analyse et réception critique" dataDxfId="5"/>
    <tableColumn id="10" xr3:uid="{00000000-0010-0000-0000-00000A000000}" name="Liens" dataDxfId="4"/>
    <tableColumn id="11" xr3:uid="{00000000-0010-0000-0000-00000B000000}" name="Citation" dataDxfId="3"/>
    <tableColumn id="12" xr3:uid="{00000000-0010-0000-0000-00000C000000}" name="Image" dataDxfId="2"/>
    <tableColumn id="13" xr3:uid="{00000000-0010-0000-0000-00000D000000}" name="Legende" dataDxfId="1"/>
    <tableColumn id="14" xr3:uid="{00000000-0010-0000-0000-00000E000000}" name="Notion" dataDxfId="0"/>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7" totalsRowShown="0" dataDxfId="36">
  <autoFilter ref="A1:T37" xr:uid="{00000000-0009-0000-0100-000002000000}"/>
  <tableColumns count="20">
    <tableColumn id="1" xr3:uid="{00000000-0010-0000-0100-000001000000}" name="Année" dataDxfId="35"/>
    <tableColumn id="2" xr3:uid="{00000000-0010-0000-0100-000002000000}" name="ID période" dataDxfId="34"/>
    <tableColumn id="3" xr3:uid="{00000000-0010-0000-0100-000003000000}" name="Événement histoire et politique" dataDxfId="33"/>
    <tableColumn id="4" xr3:uid="{00000000-0010-0000-0100-000004000000}" name="Contexte culturel" dataDxfId="32"/>
    <tableColumn id="5" xr3:uid="{00000000-0010-0000-0100-000005000000}" name="Biographie de Fassbinder" dataDxfId="31"/>
    <tableColumn id="6" xr3:uid="{00000000-0010-0000-0100-000006000000}" name="Œuvres" dataDxfId="30"/>
    <tableColumn id="7" xr3:uid="{00000000-0010-0000-0100-000007000000}" name="Analyse et Réception critique" dataDxfId="29"/>
    <tableColumn id="8" xr3:uid="{00000000-0010-0000-0100-000008000000}" name="Liens" dataDxfId="28"/>
    <tableColumn id="9" xr3:uid="{00000000-0010-0000-0100-000009000000}" name="Extraits" dataDxfId="27"/>
    <tableColumn id="10" xr3:uid="{00000000-0010-0000-0100-00000A000000}" name="Description de l'extrait" dataDxfId="26"/>
    <tableColumn id="11" xr3:uid="{00000000-0010-0000-0100-00000B000000}" name="Consigne d'analyse" dataDxfId="25"/>
    <tableColumn id="12" xr3:uid="{00000000-0010-0000-0100-00000C000000}" name="Citation" dataDxfId="24"/>
    <tableColumn id="13" xr3:uid="{00000000-0010-0000-0100-00000D000000}" name="Image 1" dataDxfId="23"/>
    <tableColumn id="14" xr3:uid="{00000000-0010-0000-0100-00000E000000}" name="Légende 1" dataDxfId="22"/>
    <tableColumn id="15" xr3:uid="{00000000-0010-0000-0100-00000F000000}" name="Image 2" dataDxfId="21"/>
    <tableColumn id="16" xr3:uid="{00000000-0010-0000-0100-000010000000}" name="Légende 2" dataDxfId="20"/>
    <tableColumn id="17" xr3:uid="{00000000-0010-0000-0100-000011000000}" name="Image 3" dataDxfId="19"/>
    <tableColumn id="18" xr3:uid="{00000000-0010-0000-0100-000012000000}" name="Légende 3" dataDxfId="18"/>
    <tableColumn id="19" xr3:uid="{00000000-0010-0000-0100-000013000000}" name="Notion" dataDxfId="17"/>
    <tableColumn id="20" xr3:uid="{00000000-0010-0000-0100-000014000000}" name="Source" dataDxfId="16"/>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topLeftCell="C2" zoomScale="150" workbookViewId="0">
      <selection activeCell="D5" sqref="D5"/>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8" customFormat="1" ht="37.25" customHeight="1" x14ac:dyDescent="0.15">
      <c r="A1" s="21" t="s">
        <v>0</v>
      </c>
      <c r="B1" s="21" t="s">
        <v>1</v>
      </c>
      <c r="C1" s="21" t="s">
        <v>2</v>
      </c>
      <c r="D1" s="21" t="s">
        <v>3</v>
      </c>
      <c r="E1" s="21" t="s">
        <v>4</v>
      </c>
      <c r="F1" s="21" t="s">
        <v>5</v>
      </c>
      <c r="G1" s="21" t="s">
        <v>6</v>
      </c>
      <c r="H1" s="21" t="s">
        <v>7</v>
      </c>
      <c r="I1" s="21" t="s">
        <v>8</v>
      </c>
      <c r="J1" s="21" t="s">
        <v>9</v>
      </c>
      <c r="K1" s="21" t="s">
        <v>10</v>
      </c>
      <c r="L1" s="21" t="s">
        <v>11</v>
      </c>
      <c r="M1" s="21" t="s">
        <v>12</v>
      </c>
      <c r="N1" s="21" t="s">
        <v>13</v>
      </c>
    </row>
    <row r="2" spans="1:14" ht="409.5" customHeight="1" x14ac:dyDescent="0.2">
      <c r="A2" s="22" t="s">
        <v>14</v>
      </c>
      <c r="B2" s="22" t="s">
        <v>15</v>
      </c>
      <c r="C2" s="22" t="s">
        <v>16</v>
      </c>
      <c r="D2" s="22" t="s">
        <v>242</v>
      </c>
      <c r="E2" s="22" t="s">
        <v>243</v>
      </c>
      <c r="F2" s="22" t="s">
        <v>17</v>
      </c>
      <c r="G2" s="23"/>
      <c r="H2" s="24"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22" t="s">
        <v>282</v>
      </c>
      <c r="J2" s="25" t="s">
        <v>18</v>
      </c>
      <c r="K2" s="26" t="s">
        <v>19</v>
      </c>
      <c r="L2" s="27" t="s">
        <v>20</v>
      </c>
      <c r="M2" s="26" t="s">
        <v>21</v>
      </c>
      <c r="N2" s="23"/>
    </row>
    <row r="3" spans="1:14" s="9" customFormat="1" ht="409.5" customHeight="1" x14ac:dyDescent="0.15">
      <c r="A3" s="22" t="s">
        <v>22</v>
      </c>
      <c r="B3" s="22" t="s">
        <v>23</v>
      </c>
      <c r="C3" s="22" t="s">
        <v>24</v>
      </c>
      <c r="D3" s="22" t="s">
        <v>244</v>
      </c>
      <c r="E3" s="22" t="s">
        <v>245</v>
      </c>
      <c r="F3" s="22" t="s">
        <v>25</v>
      </c>
      <c r="G3" s="22"/>
      <c r="H3" s="28"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22" t="s">
        <v>283</v>
      </c>
      <c r="J3" s="29" t="s">
        <v>26</v>
      </c>
      <c r="K3" s="27"/>
      <c r="L3" s="26" t="s">
        <v>27</v>
      </c>
      <c r="M3" s="27"/>
      <c r="N3" s="27"/>
    </row>
    <row r="4" spans="1:14" ht="409.5" customHeight="1" x14ac:dyDescent="0.15">
      <c r="A4" s="22" t="s">
        <v>28</v>
      </c>
      <c r="B4" s="22" t="s">
        <v>29</v>
      </c>
      <c r="C4" s="22" t="s">
        <v>30</v>
      </c>
      <c r="D4" s="1" t="s">
        <v>349</v>
      </c>
      <c r="E4" s="22" t="s">
        <v>246</v>
      </c>
      <c r="F4" s="22" t="s">
        <v>31</v>
      </c>
      <c r="G4" s="22" t="s">
        <v>32</v>
      </c>
      <c r="H4" s="28"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3"/>
      <c r="J4" s="29" t="s">
        <v>33</v>
      </c>
      <c r="K4" s="30" t="s">
        <v>34</v>
      </c>
      <c r="L4" s="23"/>
      <c r="M4" s="23"/>
      <c r="N4" s="23"/>
    </row>
    <row r="5" spans="1:14" ht="409.5" customHeight="1" x14ac:dyDescent="0.15">
      <c r="A5" s="22" t="s">
        <v>35</v>
      </c>
      <c r="B5" s="22" t="s">
        <v>36</v>
      </c>
      <c r="C5" s="22" t="s">
        <v>37</v>
      </c>
      <c r="D5" s="22" t="s">
        <v>247</v>
      </c>
      <c r="E5" s="22" t="s">
        <v>248</v>
      </c>
      <c r="F5" s="22" t="s">
        <v>38</v>
      </c>
      <c r="G5" s="22" t="s">
        <v>39</v>
      </c>
      <c r="H5" s="28"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v>
      </c>
      <c r="I5" s="31" t="s">
        <v>284</v>
      </c>
      <c r="J5" s="23"/>
      <c r="K5" s="32"/>
      <c r="L5" s="23"/>
      <c r="M5" s="23"/>
      <c r="N5" s="23"/>
    </row>
    <row r="6" spans="1:14" ht="409.5" customHeight="1" x14ac:dyDescent="0.15">
      <c r="A6" s="22" t="s">
        <v>40</v>
      </c>
      <c r="B6" s="22" t="s">
        <v>41</v>
      </c>
      <c r="C6" s="22" t="s">
        <v>42</v>
      </c>
      <c r="D6" s="22" t="s">
        <v>249</v>
      </c>
      <c r="E6" s="22" t="s">
        <v>250</v>
      </c>
      <c r="F6" s="22" t="s">
        <v>43</v>
      </c>
      <c r="G6" s="22" t="s">
        <v>44</v>
      </c>
      <c r="H6" s="28"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film-1972-le-marchand-des-quatre-saisons; film-1974-tous-les-autres-s-appellent-ali; film-1974-martha</v>
      </c>
      <c r="I6" s="22" t="s">
        <v>45</v>
      </c>
      <c r="J6" s="23"/>
      <c r="K6" s="23"/>
      <c r="L6" s="23"/>
      <c r="M6" s="23"/>
      <c r="N6" s="23"/>
    </row>
    <row r="7" spans="1:14" ht="409.5" customHeight="1" x14ac:dyDescent="0.15">
      <c r="A7" s="22" t="s">
        <v>46</v>
      </c>
      <c r="B7" s="22"/>
      <c r="C7" s="22" t="s">
        <v>47</v>
      </c>
      <c r="D7" s="22" t="s">
        <v>251</v>
      </c>
      <c r="E7" s="1" t="s">
        <v>341</v>
      </c>
      <c r="F7" s="22" t="s">
        <v>48</v>
      </c>
      <c r="G7" s="22" t="s">
        <v>49</v>
      </c>
      <c r="H7" s="28"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film-1975-le-droit-du-plus-fort; film-1975-maman-kusters-s-en-va-au-ciel</v>
      </c>
      <c r="I7" s="30" t="s">
        <v>50</v>
      </c>
      <c r="J7" s="23"/>
      <c r="K7" s="23"/>
      <c r="L7" s="23"/>
      <c r="M7" s="23"/>
      <c r="N7" s="23"/>
    </row>
    <row r="8" spans="1:14" ht="409.5" customHeight="1" x14ac:dyDescent="0.15">
      <c r="A8" s="22" t="s">
        <v>51</v>
      </c>
      <c r="B8" s="22" t="s">
        <v>52</v>
      </c>
      <c r="C8" s="22" t="s">
        <v>53</v>
      </c>
      <c r="D8" s="22" t="s">
        <v>252</v>
      </c>
      <c r="E8" s="22" t="s">
        <v>253</v>
      </c>
      <c r="F8" s="22" t="s">
        <v>54</v>
      </c>
      <c r="G8" s="22" t="s">
        <v>55</v>
      </c>
      <c r="H8" s="28" t="str">
        <f>IF(G8="","",_xlfn.TEXTJOIN("; ",TRUE(),IF(ISNUMBER(SEARCH(SUBSTITUTE('Référentiel films'!$A$2,"’","'"),SUBSTITUTE(G8,"’","'"))),'Référentiel films'!$B$2,""),IF(ISNUMBER(SEARCH(SUBSTITUTE('Référentiel films'!$A$3,"’","'"),SUBSTITUTE(G8,"’","'"))),'Référentiel films'!$B$3,""),IF(ISNUMBER(SEARCH(SUBSTITUTE('Référentiel films'!$A$4,"’","'"),SUBSTITUTE(G8,"’","'"))),'Référentiel films'!$B$4,""),IF(ISNUMBER(SEARCH(SUBSTITUTE('Référentiel films'!$A$5,"’","'"),SUBSTITUTE(G8,"’","'"))),'Référentiel films'!$B$5,""),IF(ISNUMBER(SEARCH(SUBSTITUTE('Référentiel films'!$A$6,"’","'"),SUBSTITUTE(G8,"’","'"))),'Référentiel films'!$B$6,""),IF(ISNUMBER(SEARCH(SUBSTITUTE('Référentiel films'!$A$7,"’","'"),SUBSTITUTE(G8,"’","'"))),'Référentiel films'!$B$7,""),IF(ISNUMBER(SEARCH(SUBSTITUTE('Référentiel films'!$A$8,"’","'"),SUBSTITUTE(G8,"’","'"))),'Référentiel films'!$B$8,""),IF(ISNUMBER(SEARCH(SUBSTITUTE('Référentiel films'!$A$9,"’","'"),SUBSTITUTE(G8,"’","'"))),'Référentiel films'!$B$9,""),IF(ISNUMBER(SEARCH(SUBSTITUTE('Référentiel films'!$A$10,"’","'"),SUBSTITUTE(G8,"’","'"))),'Référentiel films'!$B$10,""),IF(ISNUMBER(SEARCH(SUBSTITUTE('Référentiel films'!$A$11,"’","'"),SUBSTITUTE(G8,"’","'"))),'Référentiel films'!$B$11,""),IF(ISNUMBER(SEARCH(SUBSTITUTE('Référentiel films'!$A$12,"’","'"),SUBSTITUTE(G8,"’","'"))),'Référentiel films'!$B$12,""),IF(ISNUMBER(SEARCH(SUBSTITUTE('Référentiel films'!$A$13,"’","'"),SUBSTITUTE(G8,"’","'"))),'Référentiel films'!$B$13,""),IF(ISNUMBER(SEARCH(SUBSTITUTE('Référentiel films'!$A$14,"’","'"),SUBSTITUTE(G8,"’","'"))),'Référentiel films'!$B$14,""),IF(ISNUMBER(SEARCH(SUBSTITUTE('Référentiel films'!$A$15,"’","'"),SUBSTITUTE(G8,"’","'"))),'Référentiel films'!$B$15,""),IF(ISNUMBER(SEARCH(SUBSTITUTE('Référentiel films'!$A$16,"’","'"),SUBSTITUTE(G8,"’","'"))),'Référentiel films'!$B$16,""),IF(ISNUMBER(SEARCH(SUBSTITUTE('Référentiel films'!$A$17,"’","'"),SUBSTITUTE(G8,"’","'"))),'Référentiel films'!$B$17,""),IF(ISNUMBER(SEARCH(SUBSTITUTE('Référentiel films'!$A$18,"’","'"),SUBSTITUTE(G8,"’","'"))),'Référentiel films'!$B$18,""),IF(ISNUMBER(SEARCH(SUBSTITUTE('Référentiel films'!$A$19,"’","'"),SUBSTITUTE(G8,"’","'"))),'Référentiel films'!$B$19,""),IF(ISNUMBER(SEARCH(SUBSTITUTE('Référentiel films'!$A$20,"’","'"),SUBSTITUTE(G8,"’","'"))),'Référentiel films'!$B$20,""),IF(ISNUMBER(SEARCH(SUBSTITUTE('Référentiel films'!$A$21,"’","'"),SUBSTITUTE(G8,"’","'"))),'Référentiel films'!$B$21,""),IF(ISNUMBER(SEARCH(SUBSTITUTE('Référentiel films'!$A$22,"’","'"),SUBSTITUTE(G8,"’","'"))),'Référentiel films'!$B$22,""),IF(ISNUMBER(SEARCH(SUBSTITUTE('Référentiel films'!$A$23,"’","'"),SUBSTITUTE(G8,"’","'"))),'Référentiel films'!$B$23,""),IF(ISNUMBER(SEARCH(SUBSTITUTE('Référentiel films'!$A$24,"’","'"),SUBSTITUTE(G8,"’","'"))),'Référentiel films'!$B$24,""),IF(ISNUMBER(SEARCH(SUBSTITUTE('Référentiel films'!$A$25,"’","'"),SUBSTITUTE(G8,"’","'"))),'Référentiel films'!$B$25,""),IF(ISNUMBER(SEARCH(SUBSTITUTE('Référentiel films'!$A$26,"’","'"),SUBSTITUTE(G8,"’","'"))),'Référentiel films'!$B$26,""),IF(ISNUMBER(SEARCH(SUBSTITUTE('Référentiel films'!$A$27,"’","'"),SUBSTITUTE(G8,"’","'"))),'Référentiel films'!$B$27,""),IF(ISNUMBER(SEARCH(SUBSTITUTE('Référentiel films'!$A$28,"’","'"),SUBSTITUTE(G8,"’","'"))),'Référentiel films'!$B$28,""),IF(ISNUMBER(SEARCH(SUBSTITUTE('Référentiel films'!$A$29,"’","'"),SUBSTITUTE(G8,"’","'"))),'Référentiel films'!$B$29,""),IF(ISNUMBER(SEARCH(SUBSTITUTE('Référentiel films'!$A$30,"’","'"),SUBSTITUTE(G8,"’","'"))),'Référentiel films'!$B$30,""),IF(ISNUMBER(SEARCH(SUBSTITUTE('Référentiel films'!$A$31,"’","'"),SUBSTITUTE(G8,"’","'"))),'Référentiel films'!$B$31,""),IF(ISNUMBER(SEARCH(SUBSTITUTE('Référentiel films'!$A$32,"’","'"),SUBSTITUTE(G8,"’","'"))),'Référentiel films'!$B$32,""),IF(ISNUMBER(SEARCH(SUBSTITUTE('Référentiel films'!$A$33,"’","'"),SUBSTITUTE(G8,"’","'"))),'Référentiel films'!$B$33,""),IF(ISNUMBER(SEARCH(SUBSTITUTE('Référentiel films'!$A$34,"’","'"),SUBSTITUTE(G8,"’","'"))),'Référentiel films'!$B$34,""),IF(ISNUMBER(SEARCH(SUBSTITUTE('Référentiel films'!$A$35,"’","'"),SUBSTITUTE(G8,"’","'"))),'Référentiel films'!$B$35,""),IF(ISNUMBER(SEARCH(SUBSTITUTE('Référentiel films'!$A$36,"’","'"),SUBSTITUTE(G8,"’","'"))),'Référentiel films'!$B$36,""),IF(ISNUMBER(SEARCH(SUBSTITUTE('Référentiel films'!$A$37,"’","'"),SUBSTITUTE(G8,"’","'"))),'Référentiel films'!$B$37,""),IF(ISNUMBER(SEARCH(SUBSTITUTE('Référentiel films'!$A$38,"’","'"),SUBSTITUTE(G8,"’","'"))),'Référentiel films'!$B$38,""),IF(ISNUMBER(SEARCH(SUBSTITUTE('Référentiel films'!$A$39,"’","'"),SUBSTITUTE(G8,"’","'"))),'Référentiel films'!$B$39,""),IF(ISNUMBER(SEARCH(SUBSTITUTE('Référentiel films'!$A$40,"’","'"),SUBSTITUTE(G8,"’","'"))),'Référentiel films'!$B$40,""),IF(ISNUMBER(SEARCH(SUBSTITUTE('Référentiel films'!$A$41,"’","'"),SUBSTITUTE(G8,"’","'"))),'Référentiel films'!$B$41,"")))</f>
        <v>film-1978-l-annee-des-treize-lunes; film-1978-le-mariage-de-maria-braun</v>
      </c>
      <c r="I8" s="26"/>
      <c r="J8" s="23"/>
      <c r="K8" s="26" t="s">
        <v>56</v>
      </c>
      <c r="L8" s="23"/>
      <c r="M8" s="23"/>
      <c r="N8" s="27" t="s">
        <v>57</v>
      </c>
    </row>
    <row r="9" spans="1:14" ht="409.5" customHeight="1" x14ac:dyDescent="0.15">
      <c r="A9" s="22" t="s">
        <v>58</v>
      </c>
      <c r="B9" s="22" t="s">
        <v>59</v>
      </c>
      <c r="C9" s="26" t="s">
        <v>60</v>
      </c>
      <c r="D9" s="22" t="s">
        <v>254</v>
      </c>
      <c r="E9" s="23" t="s">
        <v>255</v>
      </c>
      <c r="F9" s="22" t="s">
        <v>61</v>
      </c>
      <c r="G9" s="22" t="s">
        <v>62</v>
      </c>
      <c r="H9" s="28" t="str">
        <f>IF(G9="","",_xlfn.TEXTJOIN("; ",TRUE(),IF(ISNUMBER(SEARCH(SUBSTITUTE('Référentiel films'!$A$2,"’","'"),SUBSTITUTE(G9,"’","'"))),'Référentiel films'!$B$2,""),IF(ISNUMBER(SEARCH(SUBSTITUTE('Référentiel films'!$A$3,"’","'"),SUBSTITUTE(G9,"’","'"))),'Référentiel films'!$B$3,""),IF(ISNUMBER(SEARCH(SUBSTITUTE('Référentiel films'!$A$4,"’","'"),SUBSTITUTE(G9,"’","'"))),'Référentiel films'!$B$4,""),IF(ISNUMBER(SEARCH(SUBSTITUTE('Référentiel films'!$A$5,"’","'"),SUBSTITUTE(G9,"’","'"))),'Référentiel films'!$B$5,""),IF(ISNUMBER(SEARCH(SUBSTITUTE('Référentiel films'!$A$6,"’","'"),SUBSTITUTE(G9,"’","'"))),'Référentiel films'!$B$6,""),IF(ISNUMBER(SEARCH(SUBSTITUTE('Référentiel films'!$A$7,"’","'"),SUBSTITUTE(G9,"’","'"))),'Référentiel films'!$B$7,""),IF(ISNUMBER(SEARCH(SUBSTITUTE('Référentiel films'!$A$8,"’","'"),SUBSTITUTE(G9,"’","'"))),'Référentiel films'!$B$8,""),IF(ISNUMBER(SEARCH(SUBSTITUTE('Référentiel films'!$A$9,"’","'"),SUBSTITUTE(G9,"’","'"))),'Référentiel films'!$B$9,""),IF(ISNUMBER(SEARCH(SUBSTITUTE('Référentiel films'!$A$10,"’","'"),SUBSTITUTE(G9,"’","'"))),'Référentiel films'!$B$10,""),IF(ISNUMBER(SEARCH(SUBSTITUTE('Référentiel films'!$A$11,"’","'"),SUBSTITUTE(G9,"’","'"))),'Référentiel films'!$B$11,""),IF(ISNUMBER(SEARCH(SUBSTITUTE('Référentiel films'!$A$12,"’","'"),SUBSTITUTE(G9,"’","'"))),'Référentiel films'!$B$12,""),IF(ISNUMBER(SEARCH(SUBSTITUTE('Référentiel films'!$A$13,"’","'"),SUBSTITUTE(G9,"’","'"))),'Référentiel films'!$B$13,""),IF(ISNUMBER(SEARCH(SUBSTITUTE('Référentiel films'!$A$14,"’","'"),SUBSTITUTE(G9,"’","'"))),'Référentiel films'!$B$14,""),IF(ISNUMBER(SEARCH(SUBSTITUTE('Référentiel films'!$A$15,"’","'"),SUBSTITUTE(G9,"’","'"))),'Référentiel films'!$B$15,""),IF(ISNUMBER(SEARCH(SUBSTITUTE('Référentiel films'!$A$16,"’","'"),SUBSTITUTE(G9,"’","'"))),'Référentiel films'!$B$16,""),IF(ISNUMBER(SEARCH(SUBSTITUTE('Référentiel films'!$A$17,"’","'"),SUBSTITUTE(G9,"’","'"))),'Référentiel films'!$B$17,""),IF(ISNUMBER(SEARCH(SUBSTITUTE('Référentiel films'!$A$18,"’","'"),SUBSTITUTE(G9,"’","'"))),'Référentiel films'!$B$18,""),IF(ISNUMBER(SEARCH(SUBSTITUTE('Référentiel films'!$A$19,"’","'"),SUBSTITUTE(G9,"’","'"))),'Référentiel films'!$B$19,""),IF(ISNUMBER(SEARCH(SUBSTITUTE('Référentiel films'!$A$20,"’","'"),SUBSTITUTE(G9,"’","'"))),'Référentiel films'!$B$20,""),IF(ISNUMBER(SEARCH(SUBSTITUTE('Référentiel films'!$A$21,"’","'"),SUBSTITUTE(G9,"’","'"))),'Référentiel films'!$B$21,""),IF(ISNUMBER(SEARCH(SUBSTITUTE('Référentiel films'!$A$22,"’","'"),SUBSTITUTE(G9,"’","'"))),'Référentiel films'!$B$22,""),IF(ISNUMBER(SEARCH(SUBSTITUTE('Référentiel films'!$A$23,"’","'"),SUBSTITUTE(G9,"’","'"))),'Référentiel films'!$B$23,""),IF(ISNUMBER(SEARCH(SUBSTITUTE('Référentiel films'!$A$24,"’","'"),SUBSTITUTE(G9,"’","'"))),'Référentiel films'!$B$24,""),IF(ISNUMBER(SEARCH(SUBSTITUTE('Référentiel films'!$A$25,"’","'"),SUBSTITUTE(G9,"’","'"))),'Référentiel films'!$B$25,""),IF(ISNUMBER(SEARCH(SUBSTITUTE('Référentiel films'!$A$26,"’","'"),SUBSTITUTE(G9,"’","'"))),'Référentiel films'!$B$26,""),IF(ISNUMBER(SEARCH(SUBSTITUTE('Référentiel films'!$A$27,"’","'"),SUBSTITUTE(G9,"’","'"))),'Référentiel films'!$B$27,""),IF(ISNUMBER(SEARCH(SUBSTITUTE('Référentiel films'!$A$28,"’","'"),SUBSTITUTE(G9,"’","'"))),'Référentiel films'!$B$28,""),IF(ISNUMBER(SEARCH(SUBSTITUTE('Référentiel films'!$A$29,"’","'"),SUBSTITUTE(G9,"’","'"))),'Référentiel films'!$B$29,""),IF(ISNUMBER(SEARCH(SUBSTITUTE('Référentiel films'!$A$30,"’","'"),SUBSTITUTE(G9,"’","'"))),'Référentiel films'!$B$30,""),IF(ISNUMBER(SEARCH(SUBSTITUTE('Référentiel films'!$A$31,"’","'"),SUBSTITUTE(G9,"’","'"))),'Référentiel films'!$B$31,""),IF(ISNUMBER(SEARCH(SUBSTITUTE('Référentiel films'!$A$32,"’","'"),SUBSTITUTE(G9,"’","'"))),'Référentiel films'!$B$32,""),IF(ISNUMBER(SEARCH(SUBSTITUTE('Référentiel films'!$A$33,"’","'"),SUBSTITUTE(G9,"’","'"))),'Référentiel films'!$B$33,""),IF(ISNUMBER(SEARCH(SUBSTITUTE('Référentiel films'!$A$34,"’","'"),SUBSTITUTE(G9,"’","'"))),'Référentiel films'!$B$34,""),IF(ISNUMBER(SEARCH(SUBSTITUTE('Référentiel films'!$A$35,"’","'"),SUBSTITUTE(G9,"’","'"))),'Référentiel films'!$B$35,""),IF(ISNUMBER(SEARCH(SUBSTITUTE('Référentiel films'!$A$36,"’","'"),SUBSTITUTE(G9,"’","'"))),'Référentiel films'!$B$36,""),IF(ISNUMBER(SEARCH(SUBSTITUTE('Référentiel films'!$A$37,"’","'"),SUBSTITUTE(G9,"’","'"))),'Référentiel films'!$B$37,""),IF(ISNUMBER(SEARCH(SUBSTITUTE('Référentiel films'!$A$38,"’","'"),SUBSTITUTE(G9,"’","'"))),'Référentiel films'!$B$38,""),IF(ISNUMBER(SEARCH(SUBSTITUTE('Référentiel films'!$A$39,"’","'"),SUBSTITUTE(G9,"’","'"))),'Référentiel films'!$B$39,""),IF(ISNUMBER(SEARCH(SUBSTITUTE('Référentiel films'!$A$40,"’","'"),SUBSTITUTE(G9,"’","'"))),'Référentiel films'!$B$40,""),IF(ISNUMBER(SEARCH(SUBSTITUTE('Référentiel films'!$A$41,"’","'"),SUBSTITUTE(G9,"’","'"))),'Référentiel films'!$B$41,"")))</f>
        <v>film-1980-berlin-alexanderplatz; film-1981-lili-marleen; film-1981-lola-une-femme-allemande</v>
      </c>
      <c r="I9" s="23"/>
      <c r="J9" s="23"/>
      <c r="K9" s="23"/>
      <c r="L9" s="23"/>
      <c r="M9" s="23"/>
      <c r="N9" s="23"/>
    </row>
    <row r="10" spans="1:14" ht="409.5" customHeight="1" x14ac:dyDescent="0.15">
      <c r="A10" s="33">
        <v>1982</v>
      </c>
      <c r="B10" s="22" t="s">
        <v>63</v>
      </c>
      <c r="C10" s="22" t="s">
        <v>64</v>
      </c>
      <c r="D10" s="1" t="s">
        <v>347</v>
      </c>
      <c r="E10" s="22" t="s">
        <v>256</v>
      </c>
      <c r="F10" s="22" t="s">
        <v>65</v>
      </c>
      <c r="G10" s="22" t="s">
        <v>66</v>
      </c>
      <c r="H10" s="28" t="str">
        <f>IF(G10="","",_xlfn.TEXTJOIN("; ",TRUE(),IF(ISNUMBER(SEARCH(SUBSTITUTE('Référentiel films'!$A$2,"’","'"),SUBSTITUTE(G10,"’","'"))),'Référentiel films'!$B$2,""),IF(ISNUMBER(SEARCH(SUBSTITUTE('Référentiel films'!$A$3,"’","'"),SUBSTITUTE(G10,"’","'"))),'Référentiel films'!$B$3,""),IF(ISNUMBER(SEARCH(SUBSTITUTE('Référentiel films'!$A$4,"’","'"),SUBSTITUTE(G10,"’","'"))),'Référentiel films'!$B$4,""),IF(ISNUMBER(SEARCH(SUBSTITUTE('Référentiel films'!$A$5,"’","'"),SUBSTITUTE(G10,"’","'"))),'Référentiel films'!$B$5,""),IF(ISNUMBER(SEARCH(SUBSTITUTE('Référentiel films'!$A$6,"’","'"),SUBSTITUTE(G10,"’","'"))),'Référentiel films'!$B$6,""),IF(ISNUMBER(SEARCH(SUBSTITUTE('Référentiel films'!$A$7,"’","'"),SUBSTITUTE(G10,"’","'"))),'Référentiel films'!$B$7,""),IF(ISNUMBER(SEARCH(SUBSTITUTE('Référentiel films'!$A$8,"’","'"),SUBSTITUTE(G10,"’","'"))),'Référentiel films'!$B$8,""),IF(ISNUMBER(SEARCH(SUBSTITUTE('Référentiel films'!$A$9,"’","'"),SUBSTITUTE(G10,"’","'"))),'Référentiel films'!$B$9,""),IF(ISNUMBER(SEARCH(SUBSTITUTE('Référentiel films'!$A$10,"’","'"),SUBSTITUTE(G10,"’","'"))),'Référentiel films'!$B$10,""),IF(ISNUMBER(SEARCH(SUBSTITUTE('Référentiel films'!$A$11,"’","'"),SUBSTITUTE(G10,"’","'"))),'Référentiel films'!$B$11,""),IF(ISNUMBER(SEARCH(SUBSTITUTE('Référentiel films'!$A$12,"’","'"),SUBSTITUTE(G10,"’","'"))),'Référentiel films'!$B$12,""),IF(ISNUMBER(SEARCH(SUBSTITUTE('Référentiel films'!$A$13,"’","'"),SUBSTITUTE(G10,"’","'"))),'Référentiel films'!$B$13,""),IF(ISNUMBER(SEARCH(SUBSTITUTE('Référentiel films'!$A$14,"’","'"),SUBSTITUTE(G10,"’","'"))),'Référentiel films'!$B$14,""),IF(ISNUMBER(SEARCH(SUBSTITUTE('Référentiel films'!$A$15,"’","'"),SUBSTITUTE(G10,"’","'"))),'Référentiel films'!$B$15,""),IF(ISNUMBER(SEARCH(SUBSTITUTE('Référentiel films'!$A$16,"’","'"),SUBSTITUTE(G10,"’","'"))),'Référentiel films'!$B$16,""),IF(ISNUMBER(SEARCH(SUBSTITUTE('Référentiel films'!$A$17,"’","'"),SUBSTITUTE(G10,"’","'"))),'Référentiel films'!$B$17,""),IF(ISNUMBER(SEARCH(SUBSTITUTE('Référentiel films'!$A$18,"’","'"),SUBSTITUTE(G10,"’","'"))),'Référentiel films'!$B$18,""),IF(ISNUMBER(SEARCH(SUBSTITUTE('Référentiel films'!$A$19,"’","'"),SUBSTITUTE(G10,"’","'"))),'Référentiel films'!$B$19,""),IF(ISNUMBER(SEARCH(SUBSTITUTE('Référentiel films'!$A$20,"’","'"),SUBSTITUTE(G10,"’","'"))),'Référentiel films'!$B$20,""),IF(ISNUMBER(SEARCH(SUBSTITUTE('Référentiel films'!$A$21,"’","'"),SUBSTITUTE(G10,"’","'"))),'Référentiel films'!$B$21,""),IF(ISNUMBER(SEARCH(SUBSTITUTE('Référentiel films'!$A$22,"’","'"),SUBSTITUTE(G10,"’","'"))),'Référentiel films'!$B$22,""),IF(ISNUMBER(SEARCH(SUBSTITUTE('Référentiel films'!$A$23,"’","'"),SUBSTITUTE(G10,"’","'"))),'Référentiel films'!$B$23,""),IF(ISNUMBER(SEARCH(SUBSTITUTE('Référentiel films'!$A$24,"’","'"),SUBSTITUTE(G10,"’","'"))),'Référentiel films'!$B$24,""),IF(ISNUMBER(SEARCH(SUBSTITUTE('Référentiel films'!$A$25,"’","'"),SUBSTITUTE(G10,"’","'"))),'Référentiel films'!$B$25,""),IF(ISNUMBER(SEARCH(SUBSTITUTE('Référentiel films'!$A$26,"’","'"),SUBSTITUTE(G10,"’","'"))),'Référentiel films'!$B$26,""),IF(ISNUMBER(SEARCH(SUBSTITUTE('Référentiel films'!$A$27,"’","'"),SUBSTITUTE(G10,"’","'"))),'Référentiel films'!$B$27,""),IF(ISNUMBER(SEARCH(SUBSTITUTE('Référentiel films'!$A$28,"’","'"),SUBSTITUTE(G10,"’","'"))),'Référentiel films'!$B$28,""),IF(ISNUMBER(SEARCH(SUBSTITUTE('Référentiel films'!$A$29,"’","'"),SUBSTITUTE(G10,"’","'"))),'Référentiel films'!$B$29,""),IF(ISNUMBER(SEARCH(SUBSTITUTE('Référentiel films'!$A$30,"’","'"),SUBSTITUTE(G10,"’","'"))),'Référentiel films'!$B$30,""),IF(ISNUMBER(SEARCH(SUBSTITUTE('Référentiel films'!$A$31,"’","'"),SUBSTITUTE(G10,"’","'"))),'Référentiel films'!$B$31,""),IF(ISNUMBER(SEARCH(SUBSTITUTE('Référentiel films'!$A$32,"’","'"),SUBSTITUTE(G10,"’","'"))),'Référentiel films'!$B$32,""),IF(ISNUMBER(SEARCH(SUBSTITUTE('Référentiel films'!$A$33,"’","'"),SUBSTITUTE(G10,"’","'"))),'Référentiel films'!$B$33,""),IF(ISNUMBER(SEARCH(SUBSTITUTE('Référentiel films'!$A$34,"’","'"),SUBSTITUTE(G10,"’","'"))),'Référentiel films'!$B$34,""),IF(ISNUMBER(SEARCH(SUBSTITUTE('Référentiel films'!$A$35,"’","'"),SUBSTITUTE(G10,"’","'"))),'Référentiel films'!$B$35,""),IF(ISNUMBER(SEARCH(SUBSTITUTE('Référentiel films'!$A$36,"’","'"),SUBSTITUTE(G10,"’","'"))),'Référentiel films'!$B$36,""),IF(ISNUMBER(SEARCH(SUBSTITUTE('Référentiel films'!$A$37,"’","'"),SUBSTITUTE(G10,"’","'"))),'Référentiel films'!$B$37,""),IF(ISNUMBER(SEARCH(SUBSTITUTE('Référentiel films'!$A$38,"’","'"),SUBSTITUTE(G10,"’","'"))),'Référentiel films'!$B$38,""),IF(ISNUMBER(SEARCH(SUBSTITUTE('Référentiel films'!$A$39,"’","'"),SUBSTITUTE(G10,"’","'"))),'Référentiel films'!$B$39,""),IF(ISNUMBER(SEARCH(SUBSTITUTE('Référentiel films'!$A$40,"’","'"),SUBSTITUTE(G10,"’","'"))),'Référentiel films'!$B$40,""),IF(ISNUMBER(SEARCH(SUBSTITUTE('Référentiel films'!$A$41,"’","'"),SUBSTITUTE(G10,"’","'"))),'Référentiel films'!$B$41,"")))</f>
        <v>film-1981-le-secret-de-veronika-voss; film-1982-querelle</v>
      </c>
      <c r="I10" s="23"/>
      <c r="J10" s="23"/>
      <c r="K10" s="23"/>
      <c r="L10" s="23"/>
      <c r="M10" s="23"/>
      <c r="N10" s="23"/>
    </row>
  </sheetData>
  <hyperlinks>
    <hyperlink ref="J2" r:id="rId1" xr:uid="{00000000-0004-0000-0000-000000000000}"/>
    <hyperlink ref="J4" r:id="rId2"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7"/>
  <sheetViews>
    <sheetView tabSelected="1" topLeftCell="I19" workbookViewId="0">
      <selection activeCell="K21" sqref="K21"/>
    </sheetView>
  </sheetViews>
  <sheetFormatPr baseColWidth="10" defaultColWidth="13" defaultRowHeight="13" x14ac:dyDescent="0.15"/>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8" customFormat="1" ht="37.25" customHeight="1" x14ac:dyDescent="0.15">
      <c r="A1" s="4" t="s">
        <v>67</v>
      </c>
      <c r="B1" s="4" t="s">
        <v>0</v>
      </c>
      <c r="C1" s="4" t="s">
        <v>3</v>
      </c>
      <c r="D1" s="4" t="s">
        <v>4</v>
      </c>
      <c r="E1" s="4" t="s">
        <v>5</v>
      </c>
      <c r="F1" s="4" t="s">
        <v>6</v>
      </c>
      <c r="G1" s="4" t="s">
        <v>68</v>
      </c>
      <c r="H1" s="4" t="s">
        <v>9</v>
      </c>
      <c r="I1" s="4" t="s">
        <v>69</v>
      </c>
      <c r="J1" s="4" t="s">
        <v>70</v>
      </c>
      <c r="K1" s="4" t="s">
        <v>71</v>
      </c>
      <c r="L1" s="4" t="s">
        <v>10</v>
      </c>
      <c r="M1" s="4" t="s">
        <v>72</v>
      </c>
      <c r="N1" s="4" t="s">
        <v>73</v>
      </c>
      <c r="O1" s="4" t="s">
        <v>74</v>
      </c>
      <c r="P1" s="4" t="s">
        <v>75</v>
      </c>
      <c r="Q1" s="4" t="s">
        <v>76</v>
      </c>
      <c r="R1" s="4" t="s">
        <v>77</v>
      </c>
      <c r="S1" s="4" t="s">
        <v>13</v>
      </c>
      <c r="T1" s="4" t="s">
        <v>78</v>
      </c>
      <c r="U1" s="20" t="s">
        <v>79</v>
      </c>
    </row>
    <row r="2" spans="1:21" ht="368" customHeight="1" x14ac:dyDescent="0.2">
      <c r="A2" s="1">
        <v>1945</v>
      </c>
      <c r="B2" s="1" t="s">
        <v>14</v>
      </c>
      <c r="C2" s="1" t="s">
        <v>257</v>
      </c>
      <c r="D2" s="1" t="s">
        <v>287</v>
      </c>
      <c r="E2" s="1" t="s">
        <v>80</v>
      </c>
      <c r="F2" s="1"/>
      <c r="G2" s="1"/>
      <c r="H2" s="14" t="s">
        <v>18</v>
      </c>
      <c r="I2" s="14"/>
      <c r="J2" s="14"/>
      <c r="K2" s="14"/>
      <c r="L2" s="1"/>
      <c r="M2" s="13"/>
      <c r="N2" s="13"/>
      <c r="O2" s="13"/>
      <c r="P2" s="13"/>
      <c r="Q2" s="13"/>
      <c r="R2" s="13"/>
      <c r="S2" s="13"/>
      <c r="T2" s="13"/>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14</v>
      </c>
      <c r="C3" s="1" t="s">
        <v>258</v>
      </c>
      <c r="D3" s="1" t="s">
        <v>259</v>
      </c>
      <c r="E3" s="1" t="s">
        <v>81</v>
      </c>
      <c r="F3" s="13"/>
      <c r="G3" s="1"/>
      <c r="H3" s="14" t="s">
        <v>82</v>
      </c>
      <c r="I3" s="14"/>
      <c r="J3" s="14"/>
      <c r="K3" s="14"/>
      <c r="L3" s="1"/>
      <c r="M3" s="13"/>
      <c r="N3" s="13"/>
      <c r="O3" s="13"/>
      <c r="P3" s="13"/>
      <c r="Q3" s="13"/>
      <c r="R3" s="13"/>
      <c r="S3" s="13"/>
      <c r="T3" s="13"/>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288" customHeight="1" x14ac:dyDescent="0.2">
      <c r="A4" s="1">
        <v>1947</v>
      </c>
      <c r="B4" s="1" t="s">
        <v>22</v>
      </c>
      <c r="C4" s="1" t="s">
        <v>260</v>
      </c>
      <c r="D4" s="1" t="s">
        <v>261</v>
      </c>
      <c r="E4" s="1"/>
      <c r="F4" s="13"/>
      <c r="G4" s="1"/>
      <c r="H4" s="14"/>
      <c r="I4" s="13"/>
      <c r="J4" s="13"/>
      <c r="K4" s="13"/>
      <c r="L4" s="1"/>
      <c r="M4" s="13"/>
      <c r="N4" s="13"/>
      <c r="O4" s="13"/>
      <c r="P4" s="13"/>
      <c r="Q4" s="13"/>
      <c r="R4" s="13"/>
      <c r="S4" s="13"/>
      <c r="T4" s="1" t="s">
        <v>83</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22</v>
      </c>
      <c r="C5" s="1" t="s">
        <v>285</v>
      </c>
      <c r="D5" s="15" t="s">
        <v>286</v>
      </c>
      <c r="E5" s="1"/>
      <c r="F5" s="13"/>
      <c r="G5" s="1"/>
      <c r="H5" s="14" t="s">
        <v>84</v>
      </c>
      <c r="I5" s="1" t="s">
        <v>85</v>
      </c>
      <c r="J5" s="16" t="s">
        <v>329</v>
      </c>
      <c r="K5" s="1" t="s">
        <v>86</v>
      </c>
      <c r="L5" s="1"/>
      <c r="M5" s="13"/>
      <c r="N5" s="13"/>
      <c r="O5" s="13"/>
      <c r="P5" s="13"/>
      <c r="Q5" s="13"/>
      <c r="R5" s="13"/>
      <c r="S5" s="13"/>
      <c r="T5" s="13"/>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320" customHeight="1" x14ac:dyDescent="0.2">
      <c r="A6" s="1">
        <v>1949</v>
      </c>
      <c r="B6" s="1" t="s">
        <v>22</v>
      </c>
      <c r="C6" s="1" t="s">
        <v>262</v>
      </c>
      <c r="D6" s="15" t="s">
        <v>288</v>
      </c>
      <c r="E6" s="1"/>
      <c r="F6" s="13"/>
      <c r="G6" s="1"/>
      <c r="H6" s="14" t="s">
        <v>87</v>
      </c>
      <c r="I6" s="14"/>
      <c r="J6" s="14"/>
      <c r="K6" s="14"/>
      <c r="L6" s="1"/>
      <c r="M6" s="13" t="s">
        <v>88</v>
      </c>
      <c r="N6" s="13" t="s">
        <v>89</v>
      </c>
      <c r="O6" s="13"/>
      <c r="P6" s="13"/>
      <c r="Q6" s="13"/>
      <c r="R6" s="13"/>
      <c r="S6" s="13"/>
      <c r="T6" s="13"/>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144" customHeight="1" x14ac:dyDescent="0.2">
      <c r="A7" s="1">
        <v>1950</v>
      </c>
      <c r="B7" s="1" t="s">
        <v>22</v>
      </c>
      <c r="C7" s="1" t="s">
        <v>263</v>
      </c>
      <c r="D7" s="1" t="s">
        <v>264</v>
      </c>
      <c r="E7" s="1" t="s">
        <v>90</v>
      </c>
      <c r="F7" s="13"/>
      <c r="G7" s="1"/>
      <c r="H7" s="13"/>
      <c r="I7" s="14"/>
      <c r="J7" s="14"/>
      <c r="K7" s="14"/>
      <c r="L7" s="1"/>
      <c r="M7" s="13" t="s">
        <v>88</v>
      </c>
      <c r="N7" s="13" t="s">
        <v>89</v>
      </c>
      <c r="O7" s="13"/>
      <c r="P7" s="13"/>
      <c r="Q7" s="13"/>
      <c r="R7" s="13" t="s">
        <v>91</v>
      </c>
      <c r="S7" s="13"/>
      <c r="T7" s="13"/>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208" customHeight="1" x14ac:dyDescent="0.2">
      <c r="A8" s="1">
        <v>1951</v>
      </c>
      <c r="B8" s="1" t="s">
        <v>22</v>
      </c>
      <c r="C8" s="1" t="s">
        <v>265</v>
      </c>
      <c r="D8" s="1" t="s">
        <v>289</v>
      </c>
      <c r="E8" s="1" t="s">
        <v>92</v>
      </c>
      <c r="F8" s="1"/>
      <c r="G8" s="13"/>
      <c r="H8" s="13"/>
      <c r="I8" s="13"/>
      <c r="J8" s="13"/>
      <c r="K8" s="13"/>
      <c r="L8" s="13"/>
      <c r="M8" s="13" t="s">
        <v>88</v>
      </c>
      <c r="N8" s="13" t="s">
        <v>89</v>
      </c>
      <c r="O8" s="13"/>
      <c r="P8" s="13"/>
      <c r="Q8" s="13"/>
      <c r="R8" s="13"/>
      <c r="S8" s="13"/>
      <c r="T8" s="13"/>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160" customHeight="1" x14ac:dyDescent="0.2">
      <c r="A9" s="1">
        <v>1952</v>
      </c>
      <c r="B9" s="1" t="s">
        <v>22</v>
      </c>
      <c r="C9" s="1" t="s">
        <v>266</v>
      </c>
      <c r="D9" s="1" t="s">
        <v>290</v>
      </c>
      <c r="E9" s="1" t="s">
        <v>93</v>
      </c>
      <c r="F9" s="1"/>
      <c r="G9" s="13"/>
      <c r="H9" s="13"/>
      <c r="I9" s="13"/>
      <c r="J9" s="13"/>
      <c r="K9" s="13"/>
      <c r="L9" s="13"/>
      <c r="M9" s="1" t="s">
        <v>94</v>
      </c>
      <c r="N9" s="1" t="s">
        <v>95</v>
      </c>
      <c r="O9" s="13" t="s">
        <v>88</v>
      </c>
      <c r="P9" s="13" t="s">
        <v>89</v>
      </c>
      <c r="Q9" s="1"/>
      <c r="R9" s="1"/>
      <c r="S9" s="1"/>
      <c r="T9" s="13"/>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272" customHeight="1" x14ac:dyDescent="0.2">
      <c r="A10" s="1">
        <v>1953</v>
      </c>
      <c r="B10" s="1" t="s">
        <v>22</v>
      </c>
      <c r="C10" s="1" t="s">
        <v>267</v>
      </c>
      <c r="D10" s="1" t="s">
        <v>268</v>
      </c>
      <c r="E10" s="1"/>
      <c r="F10" s="1"/>
      <c r="G10" s="13"/>
      <c r="H10" s="14" t="s">
        <v>96</v>
      </c>
      <c r="I10" s="13"/>
      <c r="J10" s="13"/>
      <c r="K10" s="13"/>
      <c r="L10" s="13"/>
      <c r="M10" s="13" t="s">
        <v>88</v>
      </c>
      <c r="N10" s="13" t="s">
        <v>89</v>
      </c>
      <c r="O10" s="13"/>
      <c r="P10" s="13"/>
      <c r="Q10" s="13"/>
      <c r="R10" s="13"/>
      <c r="S10" s="13"/>
      <c r="T10" s="13"/>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272" customHeight="1" x14ac:dyDescent="0.2">
      <c r="A11" s="1">
        <v>1954</v>
      </c>
      <c r="B11" s="1" t="s">
        <v>22</v>
      </c>
      <c r="C11" s="1" t="s">
        <v>269</v>
      </c>
      <c r="D11" s="16" t="s">
        <v>291</v>
      </c>
      <c r="E11" s="1"/>
      <c r="F11" s="1"/>
      <c r="G11" s="13"/>
      <c r="H11" s="14" t="s">
        <v>97</v>
      </c>
      <c r="I11" s="14"/>
      <c r="J11" s="14"/>
      <c r="K11" s="14"/>
      <c r="L11" s="13"/>
      <c r="M11" s="13" t="s">
        <v>98</v>
      </c>
      <c r="N11" s="13" t="s">
        <v>99</v>
      </c>
      <c r="O11" s="13" t="s">
        <v>88</v>
      </c>
      <c r="P11" s="13" t="s">
        <v>89</v>
      </c>
      <c r="Q11" s="13"/>
      <c r="R11" s="13"/>
      <c r="S11" s="13"/>
      <c r="T11" s="13"/>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80" customHeight="1" x14ac:dyDescent="0.2">
      <c r="A12" s="1">
        <v>1955</v>
      </c>
      <c r="B12" s="1" t="s">
        <v>22</v>
      </c>
      <c r="C12" s="1" t="s">
        <v>270</v>
      </c>
      <c r="D12" s="1" t="s">
        <v>301</v>
      </c>
      <c r="E12" s="1" t="s">
        <v>100</v>
      </c>
      <c r="F12" s="1"/>
      <c r="G12" s="13"/>
      <c r="H12" s="13"/>
      <c r="I12" s="13"/>
      <c r="J12" s="13"/>
      <c r="K12" s="13"/>
      <c r="L12" s="13"/>
      <c r="M12" s="13"/>
      <c r="N12" s="13"/>
      <c r="O12" s="13"/>
      <c r="P12" s="13"/>
      <c r="Q12" s="13"/>
      <c r="R12" s="13"/>
      <c r="S12" s="13"/>
      <c r="T12" s="13"/>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224" customHeight="1" x14ac:dyDescent="0.2">
      <c r="A13" s="1">
        <v>1956</v>
      </c>
      <c r="B13" s="1" t="s">
        <v>22</v>
      </c>
      <c r="C13" s="1" t="s">
        <v>302</v>
      </c>
      <c r="D13" s="15" t="s">
        <v>330</v>
      </c>
      <c r="E13" s="1" t="s">
        <v>101</v>
      </c>
      <c r="F13" s="1"/>
      <c r="G13" s="13"/>
      <c r="H13" s="14" t="s">
        <v>102</v>
      </c>
      <c r="I13" s="13"/>
      <c r="J13" s="13"/>
      <c r="K13" s="13"/>
      <c r="L13" s="13"/>
      <c r="M13" s="13" t="s">
        <v>88</v>
      </c>
      <c r="N13" s="13" t="s">
        <v>89</v>
      </c>
      <c r="O13" s="13"/>
      <c r="P13" s="13"/>
      <c r="Q13" s="13"/>
      <c r="R13" s="13"/>
      <c r="S13" s="13"/>
      <c r="T13" s="13"/>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336" customHeight="1" x14ac:dyDescent="0.2">
      <c r="A14" s="1">
        <v>1957</v>
      </c>
      <c r="B14" s="1" t="s">
        <v>22</v>
      </c>
      <c r="C14" s="1" t="s">
        <v>303</v>
      </c>
      <c r="D14" s="1" t="s">
        <v>292</v>
      </c>
      <c r="E14" s="1"/>
      <c r="F14" s="1"/>
      <c r="G14" s="13"/>
      <c r="H14" s="14"/>
      <c r="I14" s="13"/>
      <c r="J14" s="13"/>
      <c r="K14" s="13"/>
      <c r="L14" s="13"/>
      <c r="M14" s="13" t="s">
        <v>88</v>
      </c>
      <c r="N14" s="13" t="s">
        <v>89</v>
      </c>
      <c r="O14" s="13"/>
      <c r="P14" s="13"/>
      <c r="Q14" s="13"/>
      <c r="R14" s="13"/>
      <c r="S14" s="13"/>
      <c r="T14" s="13"/>
      <c r="U14" s="2"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272" customHeight="1" x14ac:dyDescent="0.2">
      <c r="A15" s="1">
        <v>1959</v>
      </c>
      <c r="B15" s="1" t="s">
        <v>22</v>
      </c>
      <c r="C15" s="1" t="s">
        <v>271</v>
      </c>
      <c r="D15" s="1" t="s">
        <v>293</v>
      </c>
      <c r="E15" s="15" t="s">
        <v>103</v>
      </c>
      <c r="F15" s="1"/>
      <c r="G15" s="13" t="s">
        <v>295</v>
      </c>
      <c r="H15" s="13"/>
      <c r="I15" s="13"/>
      <c r="J15" s="13"/>
      <c r="K15" s="13"/>
      <c r="L15" s="13"/>
      <c r="M15" s="13" t="s">
        <v>88</v>
      </c>
      <c r="N15" s="13" t="s">
        <v>89</v>
      </c>
      <c r="O15" s="13"/>
      <c r="P15" s="13"/>
      <c r="Q15" s="13"/>
      <c r="R15" s="13"/>
      <c r="S15" s="13"/>
      <c r="T15" s="13"/>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256" customHeight="1" x14ac:dyDescent="0.2">
      <c r="A16" s="1">
        <v>1960</v>
      </c>
      <c r="B16" s="1" t="s">
        <v>22</v>
      </c>
      <c r="C16" s="1" t="s">
        <v>304</v>
      </c>
      <c r="D16" s="1" t="s">
        <v>294</v>
      </c>
      <c r="E16" s="1" t="s">
        <v>104</v>
      </c>
      <c r="F16" s="1"/>
      <c r="G16" s="13"/>
      <c r="H16" s="13"/>
      <c r="I16" s="13"/>
      <c r="J16" s="13"/>
      <c r="K16" s="13"/>
      <c r="L16" s="13"/>
      <c r="M16" s="13" t="s">
        <v>88</v>
      </c>
      <c r="N16" s="13" t="s">
        <v>89</v>
      </c>
      <c r="O16" s="13"/>
      <c r="P16" s="13"/>
      <c r="Q16" s="13"/>
      <c r="R16" s="13"/>
      <c r="S16" s="13"/>
      <c r="T16" s="13"/>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240" customHeight="1" x14ac:dyDescent="0.2">
      <c r="A17" s="1">
        <v>1961</v>
      </c>
      <c r="B17" s="1" t="s">
        <v>28</v>
      </c>
      <c r="C17" s="1" t="s">
        <v>272</v>
      </c>
      <c r="D17" s="13"/>
      <c r="E17" s="1" t="s">
        <v>105</v>
      </c>
      <c r="F17" s="13"/>
      <c r="G17" s="13"/>
      <c r="H17" s="13"/>
      <c r="I17" s="13"/>
      <c r="J17" s="13"/>
      <c r="K17" s="13"/>
      <c r="L17" s="13"/>
      <c r="M17" s="13" t="s">
        <v>88</v>
      </c>
      <c r="N17" s="13" t="s">
        <v>89</v>
      </c>
      <c r="O17" s="13"/>
      <c r="P17" s="13"/>
      <c r="Q17" s="13"/>
      <c r="R17" s="13"/>
      <c r="S17" s="13"/>
      <c r="T17" s="13"/>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customHeight="1" x14ac:dyDescent="0.2">
      <c r="A18" s="1">
        <v>1962</v>
      </c>
      <c r="B18" s="1" t="s">
        <v>28</v>
      </c>
      <c r="C18" s="1"/>
      <c r="D18" s="1" t="s">
        <v>106</v>
      </c>
      <c r="E18" s="1"/>
      <c r="F18" s="1"/>
      <c r="G18" s="13"/>
      <c r="H18" s="13"/>
      <c r="I18" s="13"/>
      <c r="J18" s="13"/>
      <c r="K18" s="13"/>
      <c r="L18" s="13" t="s">
        <v>331</v>
      </c>
      <c r="M18" s="13" t="s">
        <v>88</v>
      </c>
      <c r="N18" s="13" t="s">
        <v>89</v>
      </c>
      <c r="O18" s="13"/>
      <c r="P18" s="13"/>
      <c r="Q18" s="13"/>
      <c r="R18" s="13"/>
      <c r="S18" s="13"/>
      <c r="T18" s="13"/>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0" customHeight="1" x14ac:dyDescent="0.2">
      <c r="A19" s="1">
        <v>1963</v>
      </c>
      <c r="B19" s="1"/>
      <c r="C19" s="1" t="s">
        <v>273</v>
      </c>
      <c r="D19" s="1" t="s">
        <v>296</v>
      </c>
      <c r="E19" s="1" t="s">
        <v>107</v>
      </c>
      <c r="F19" s="1"/>
      <c r="G19" s="13"/>
      <c r="H19" s="14" t="s">
        <v>108</v>
      </c>
      <c r="I19" s="14" t="s">
        <v>109</v>
      </c>
      <c r="J19" s="13" t="s">
        <v>110</v>
      </c>
      <c r="K19" s="13"/>
      <c r="L19" s="13"/>
      <c r="M19" s="13" t="s">
        <v>111</v>
      </c>
      <c r="N19" s="13" t="s">
        <v>112</v>
      </c>
      <c r="O19" s="13" t="s">
        <v>350</v>
      </c>
      <c r="P19" s="13" t="s">
        <v>351</v>
      </c>
      <c r="Q19" s="13"/>
      <c r="R19" s="13"/>
      <c r="S19" s="13"/>
      <c r="T19" s="13"/>
      <c r="U19" s="2"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144" customHeight="1" x14ac:dyDescent="0.2">
      <c r="A20" s="1">
        <v>1964</v>
      </c>
      <c r="B20" s="1"/>
      <c r="C20" s="1" t="s">
        <v>274</v>
      </c>
      <c r="D20" s="1"/>
      <c r="E20" s="1" t="s">
        <v>113</v>
      </c>
      <c r="F20" s="1"/>
      <c r="G20" s="13"/>
      <c r="H20" s="14"/>
      <c r="I20" s="13"/>
      <c r="J20" s="13"/>
      <c r="K20" s="13"/>
      <c r="L20" s="13"/>
      <c r="M20" s="13" t="s">
        <v>368</v>
      </c>
      <c r="N20" s="13" t="s">
        <v>369</v>
      </c>
      <c r="O20" s="13" t="s">
        <v>350</v>
      </c>
      <c r="P20" s="13" t="s">
        <v>351</v>
      </c>
      <c r="Q20" s="13"/>
      <c r="R20" s="13"/>
      <c r="S20" s="13"/>
      <c r="T20" s="13"/>
      <c r="U20" s="2"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08" customHeight="1" x14ac:dyDescent="0.2">
      <c r="A21" s="1">
        <v>1966</v>
      </c>
      <c r="B21" s="1" t="s">
        <v>28</v>
      </c>
      <c r="C21" s="1" t="s">
        <v>352</v>
      </c>
      <c r="D21" s="1" t="s">
        <v>367</v>
      </c>
      <c r="E21" s="1"/>
      <c r="F21" s="1" t="s">
        <v>297</v>
      </c>
      <c r="G21" s="13"/>
      <c r="H21" s="13"/>
      <c r="I21" s="13"/>
      <c r="J21" s="13"/>
      <c r="K21" s="13"/>
      <c r="L21" s="13"/>
      <c r="M21" s="13" t="s">
        <v>350</v>
      </c>
      <c r="N21" s="13" t="s">
        <v>351</v>
      </c>
      <c r="O21" s="13" t="s">
        <v>359</v>
      </c>
      <c r="P21" s="13" t="s">
        <v>360</v>
      </c>
      <c r="Q21" s="36"/>
      <c r="R21" s="36"/>
      <c r="S21" s="13"/>
      <c r="T21" s="13"/>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256" customHeight="1" x14ac:dyDescent="0.2">
      <c r="A22" s="1">
        <v>1967</v>
      </c>
      <c r="B22" s="1" t="s">
        <v>35</v>
      </c>
      <c r="C22" s="1" t="s">
        <v>353</v>
      </c>
      <c r="D22" s="15" t="s">
        <v>332</v>
      </c>
      <c r="E22" s="1" t="s">
        <v>114</v>
      </c>
      <c r="F22" s="18" t="s">
        <v>115</v>
      </c>
      <c r="G22" s="13"/>
      <c r="H22" s="13"/>
      <c r="I22" s="13"/>
      <c r="J22" s="13"/>
      <c r="K22" s="13"/>
      <c r="L22" s="13"/>
      <c r="M22" s="13" t="s">
        <v>359</v>
      </c>
      <c r="N22" s="13" t="s">
        <v>360</v>
      </c>
      <c r="O22" s="36"/>
      <c r="P22" s="13"/>
      <c r="Q22" s="13"/>
      <c r="R22" s="13"/>
      <c r="S22" s="13"/>
      <c r="T22" s="13"/>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304" customHeight="1" x14ac:dyDescent="0.2">
      <c r="A23" s="1">
        <v>1968</v>
      </c>
      <c r="B23" s="1" t="s">
        <v>35</v>
      </c>
      <c r="C23" s="1" t="s">
        <v>356</v>
      </c>
      <c r="D23" s="1" t="s">
        <v>275</v>
      </c>
      <c r="E23" s="1" t="s">
        <v>38</v>
      </c>
      <c r="F23" s="13"/>
      <c r="G23" s="17" t="s">
        <v>116</v>
      </c>
      <c r="H23" s="13" t="s">
        <v>354</v>
      </c>
      <c r="I23" s="13"/>
      <c r="J23" s="13"/>
      <c r="K23" s="13"/>
      <c r="L23" s="13"/>
      <c r="M23" s="37" t="s">
        <v>359</v>
      </c>
      <c r="N23" s="37" t="s">
        <v>360</v>
      </c>
      <c r="O23" s="13"/>
      <c r="P23" s="13"/>
      <c r="Q23" s="13"/>
      <c r="R23" s="13"/>
      <c r="S23" s="13"/>
      <c r="T23" s="13"/>
      <c r="U23" s="2"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film-1969-l-amour-est-plus-froid-que-la-mort; film-1969-le-bouc</v>
      </c>
    </row>
    <row r="24" spans="1:21" ht="272" customHeight="1" x14ac:dyDescent="0.2">
      <c r="A24" s="1">
        <v>1969</v>
      </c>
      <c r="B24" s="1" t="s">
        <v>35</v>
      </c>
      <c r="C24" s="1" t="s">
        <v>355</v>
      </c>
      <c r="D24" s="1" t="s">
        <v>298</v>
      </c>
      <c r="E24" s="1"/>
      <c r="F24" s="1" t="s">
        <v>299</v>
      </c>
      <c r="G24" s="17"/>
      <c r="H24" s="13"/>
      <c r="I24" s="13"/>
      <c r="J24" s="13"/>
      <c r="K24" s="13"/>
      <c r="L24" s="13"/>
      <c r="M24" s="13" t="s">
        <v>357</v>
      </c>
      <c r="N24" s="13" t="s">
        <v>358</v>
      </c>
      <c r="O24" s="13"/>
      <c r="P24" s="13"/>
      <c r="Q24" s="13"/>
      <c r="R24" s="13"/>
      <c r="S24" s="13"/>
      <c r="T24" s="13"/>
      <c r="U24" s="2" t="e">
        <f>IF(#REF!="","",_xlfn.TEXTJOIN("; ",TRUE(),IF(ISNUMBER(SEARCH(SUBSTITUTE('Référentiel films'!$A$2,"’","'"),SUBSTITUTE(#REF!,"’","'"))),'Référentiel films'!$B$2,""),IF(ISNUMBER(SEARCH(SUBSTITUTE('Référentiel films'!$A$3,"’","'"),SUBSTITUTE(#REF!,"’","'"))),'Référentiel films'!$B$3,""),IF(ISNUMBER(SEARCH(SUBSTITUTE('Référentiel films'!$A$4,"’","'"),SUBSTITUTE(#REF!,"’","'"))),'Référentiel films'!$B$4,""),IF(ISNUMBER(SEARCH(SUBSTITUTE('Référentiel films'!$A$5,"’","'"),SUBSTITUTE(#REF!,"’","'"))),'Référentiel films'!$B$5,""),IF(ISNUMBER(SEARCH(SUBSTITUTE('Référentiel films'!$A$6,"’","'"),SUBSTITUTE(#REF!,"’","'"))),'Référentiel films'!$B$6,""),IF(ISNUMBER(SEARCH(SUBSTITUTE('Référentiel films'!$A$7,"’","'"),SUBSTITUTE(#REF!,"’","'"))),'Référentiel films'!$B$7,""),IF(ISNUMBER(SEARCH(SUBSTITUTE('Référentiel films'!$A$8,"’","'"),SUBSTITUTE(#REF!,"’","'"))),'Référentiel films'!$B$8,""),IF(ISNUMBER(SEARCH(SUBSTITUTE('Référentiel films'!$A$9,"’","'"),SUBSTITUTE(#REF!,"’","'"))),'Référentiel films'!$B$9,""),IF(ISNUMBER(SEARCH(SUBSTITUTE('Référentiel films'!$A$10,"’","'"),SUBSTITUTE(#REF!,"’","'"))),'Référentiel films'!$B$10,""),IF(ISNUMBER(SEARCH(SUBSTITUTE('Référentiel films'!$A$11,"’","'"),SUBSTITUTE(#REF!,"’","'"))),'Référentiel films'!$B$11,""),IF(ISNUMBER(SEARCH(SUBSTITUTE('Référentiel films'!$A$12,"’","'"),SUBSTITUTE(#REF!,"’","'"))),'Référentiel films'!$B$12,""),IF(ISNUMBER(SEARCH(SUBSTITUTE('Référentiel films'!$A$13,"’","'"),SUBSTITUTE(#REF!,"’","'"))),'Référentiel films'!$B$13,""),IF(ISNUMBER(SEARCH(SUBSTITUTE('Référentiel films'!$A$14,"’","'"),SUBSTITUTE(#REF!,"’","'"))),'Référentiel films'!$B$14,""),IF(ISNUMBER(SEARCH(SUBSTITUTE('Référentiel films'!$A$15,"’","'"),SUBSTITUTE(#REF!,"’","'"))),'Référentiel films'!$B$15,""),IF(ISNUMBER(SEARCH(SUBSTITUTE('Référentiel films'!$A$16,"’","'"),SUBSTITUTE(#REF!,"’","'"))),'Référentiel films'!$B$16,""),IF(ISNUMBER(SEARCH(SUBSTITUTE('Référentiel films'!$A$17,"’","'"),SUBSTITUTE(#REF!,"’","'"))),'Référentiel films'!$B$17,""),IF(ISNUMBER(SEARCH(SUBSTITUTE('Référentiel films'!$A$18,"’","'"),SUBSTITUTE(#REF!,"’","'"))),'Référentiel films'!$B$18,""),IF(ISNUMBER(SEARCH(SUBSTITUTE('Référentiel films'!$A$19,"’","'"),SUBSTITUTE(#REF!,"’","'"))),'Référentiel films'!$B$19,""),IF(ISNUMBER(SEARCH(SUBSTITUTE('Référentiel films'!$A$20,"’","'"),SUBSTITUTE(#REF!,"’","'"))),'Référentiel films'!$B$20,""),IF(ISNUMBER(SEARCH(SUBSTITUTE('Référentiel films'!$A$21,"’","'"),SUBSTITUTE(#REF!,"’","'"))),'Référentiel films'!$B$21,""),IF(ISNUMBER(SEARCH(SUBSTITUTE('Référentiel films'!$A$22,"’","'"),SUBSTITUTE(#REF!,"’","'"))),'Référentiel films'!$B$22,""),IF(ISNUMBER(SEARCH(SUBSTITUTE('Référentiel films'!$A$23,"’","'"),SUBSTITUTE(#REF!,"’","'"))),'Référentiel films'!$B$23,""),IF(ISNUMBER(SEARCH(SUBSTITUTE('Référentiel films'!$A$24,"’","'"),SUBSTITUTE(#REF!,"’","'"))),'Référentiel films'!$B$24,""),IF(ISNUMBER(SEARCH(SUBSTITUTE('Référentiel films'!$A$25,"’","'"),SUBSTITUTE(#REF!,"’","'"))),'Référentiel films'!$B$25,""),IF(ISNUMBER(SEARCH(SUBSTITUTE('Référentiel films'!$A$26,"’","'"),SUBSTITUTE(#REF!,"’","'"))),'Référentiel films'!$B$26,""),IF(ISNUMBER(SEARCH(SUBSTITUTE('Référentiel films'!$A$27,"’","'"),SUBSTITUTE(#REF!,"’","'"))),'Référentiel films'!$B$27,""),IF(ISNUMBER(SEARCH(SUBSTITUTE('Référentiel films'!$A$28,"’","'"),SUBSTITUTE(#REF!,"’","'"))),'Référentiel films'!$B$28,""),IF(ISNUMBER(SEARCH(SUBSTITUTE('Référentiel films'!$A$29,"’","'"),SUBSTITUTE(#REF!,"’","'"))),'Référentiel films'!$B$29,""),IF(ISNUMBER(SEARCH(SUBSTITUTE('Référentiel films'!$A$30,"’","'"),SUBSTITUTE(#REF!,"’","'"))),'Référentiel films'!$B$30,""),IF(ISNUMBER(SEARCH(SUBSTITUTE('Référentiel films'!$A$31,"’","'"),SUBSTITUTE(#REF!,"’","'"))),'Référentiel films'!$B$31,""),IF(ISNUMBER(SEARCH(SUBSTITUTE('Référentiel films'!$A$32,"’","'"),SUBSTITUTE(#REF!,"’","'"))),'Référentiel films'!$B$32,""),IF(ISNUMBER(SEARCH(SUBSTITUTE('Référentiel films'!$A$33,"’","'"),SUBSTITUTE(#REF!,"’","'"))),'Référentiel films'!$B$33,""),IF(ISNUMBER(SEARCH(SUBSTITUTE('Référentiel films'!$A$34,"’","'"),SUBSTITUTE(#REF!,"’","'"))),'Référentiel films'!$B$34,""),IF(ISNUMBER(SEARCH(SUBSTITUTE('Référentiel films'!$A$35,"’","'"),SUBSTITUTE(#REF!,"’","'"))),'Référentiel films'!$B$35,""),IF(ISNUMBER(SEARCH(SUBSTITUTE('Référentiel films'!$A$36,"’","'"),SUBSTITUTE(#REF!,"’","'"))),'Référentiel films'!$B$36,""),IF(ISNUMBER(SEARCH(SUBSTITUTE('Référentiel films'!$A$37,"’","'"),SUBSTITUTE(#REF!,"’","'"))),'Référentiel films'!$B$37,""),IF(ISNUMBER(SEARCH(SUBSTITUTE('Référentiel films'!$A$38,"’","'"),SUBSTITUTE(#REF!,"’","'"))),'Référentiel films'!$B$38,""),IF(ISNUMBER(SEARCH(SUBSTITUTE('Référentiel films'!$A$39,"’","'"),SUBSTITUTE(#REF!,"’","'"))),'Référentiel films'!$B$39,""),IF(ISNUMBER(SEARCH(SUBSTITUTE('Référentiel films'!$A$40,"’","'"),SUBSTITUTE(#REF!,"’","'"))),'Référentiel films'!$B$40,""),IF(ISNUMBER(SEARCH(SUBSTITUTE('Référentiel films'!$A$41,"’","'"),SUBSTITUTE(#REF!,"’","'"))),'Référentiel films'!$B$41,"")))</f>
        <v>#REF!</v>
      </c>
    </row>
    <row r="25" spans="1:21" ht="384" customHeight="1" x14ac:dyDescent="0.2">
      <c r="A25" s="1">
        <v>1970</v>
      </c>
      <c r="B25" s="1"/>
      <c r="C25" s="1" t="s">
        <v>305</v>
      </c>
      <c r="D25" s="34"/>
      <c r="E25" s="1"/>
      <c r="F25" s="1" t="s">
        <v>300</v>
      </c>
      <c r="G25" s="17"/>
      <c r="H25" s="13"/>
      <c r="I25" s="13"/>
      <c r="J25" s="13"/>
      <c r="K25" s="13"/>
      <c r="L25" s="13"/>
      <c r="M25" s="13" t="s">
        <v>357</v>
      </c>
      <c r="N25" s="13" t="s">
        <v>358</v>
      </c>
      <c r="O25" s="13"/>
      <c r="P25" s="13"/>
      <c r="Q25" s="13"/>
      <c r="R25" s="13"/>
      <c r="S25" s="13"/>
      <c r="T25" s="13"/>
      <c r="U25" s="2"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film-1970-les-dieux-de-la-peste; film-1970-pourquoi-m-r-est-il-atteint-de-folie-meurtriere; film-1970-le-soldat-americain; film-1970-le-voyage-a-niklashausen</v>
      </c>
    </row>
    <row r="26" spans="1:21" ht="240" customHeight="1" x14ac:dyDescent="0.2">
      <c r="A26" s="1">
        <v>1971</v>
      </c>
      <c r="B26" s="1" t="s">
        <v>40</v>
      </c>
      <c r="C26" s="1" t="s">
        <v>306</v>
      </c>
      <c r="D26" s="1" t="s">
        <v>117</v>
      </c>
      <c r="E26" s="1" t="s">
        <v>118</v>
      </c>
      <c r="F26" s="18" t="s">
        <v>119</v>
      </c>
      <c r="G26" s="13" t="s">
        <v>120</v>
      </c>
      <c r="H26" s="13"/>
      <c r="I26" s="13"/>
      <c r="J26" s="13"/>
      <c r="K26" s="13"/>
      <c r="L26" s="13" t="s">
        <v>121</v>
      </c>
      <c r="M26" s="1" t="s">
        <v>122</v>
      </c>
      <c r="N26" s="15" t="s">
        <v>327</v>
      </c>
      <c r="O26" s="13" t="s">
        <v>357</v>
      </c>
      <c r="P26" s="13" t="s">
        <v>358</v>
      </c>
      <c r="Q26" s="1"/>
      <c r="R26" s="1"/>
      <c r="S26" s="1" t="s">
        <v>57</v>
      </c>
      <c r="T26" s="13"/>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film-1971-whity; film-1971-prenez-garde-a-la-sainte-putain; film-1971-pionniers-a-ingolstadt</v>
      </c>
    </row>
    <row r="27" spans="1:21" ht="304" customHeight="1" x14ac:dyDescent="0.2">
      <c r="A27" s="1">
        <v>1972</v>
      </c>
      <c r="B27" s="1"/>
      <c r="C27" s="1" t="s">
        <v>307</v>
      </c>
      <c r="D27" s="15" t="s">
        <v>328</v>
      </c>
      <c r="E27" s="1"/>
      <c r="F27" s="18" t="s">
        <v>308</v>
      </c>
      <c r="G27" s="13"/>
      <c r="H27" s="35" t="s">
        <v>333</v>
      </c>
      <c r="I27" s="13"/>
      <c r="J27" s="13"/>
      <c r="K27" s="13"/>
      <c r="L27" s="13"/>
      <c r="M27" s="13" t="s">
        <v>357</v>
      </c>
      <c r="N27" s="13" t="s">
        <v>358</v>
      </c>
      <c r="O27" s="1"/>
      <c r="P27" s="1"/>
      <c r="Q27" s="1"/>
      <c r="R27" s="1"/>
      <c r="S27" s="1"/>
      <c r="T27" s="13"/>
      <c r="U27" s="2"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film-1972-le-marchand-des-quatre-saisons; film-1972-les-larmes-ameres-de-petra-von-kant; film-1972-liberte-a-breme; film-1972-huit-heures-ne-font-pas-un-jour</v>
      </c>
    </row>
    <row r="28" spans="1:21" ht="96" customHeight="1" x14ac:dyDescent="0.2">
      <c r="A28" s="1">
        <v>1973</v>
      </c>
      <c r="B28" s="1"/>
      <c r="C28" s="1" t="s">
        <v>276</v>
      </c>
      <c r="D28" s="19" t="s">
        <v>309</v>
      </c>
      <c r="E28" s="1"/>
      <c r="F28" s="18" t="s">
        <v>310</v>
      </c>
      <c r="G28" s="1"/>
      <c r="H28" s="36"/>
      <c r="I28" s="13"/>
      <c r="J28" s="13"/>
      <c r="K28" s="13"/>
      <c r="L28" s="13"/>
      <c r="M28" s="13" t="s">
        <v>357</v>
      </c>
      <c r="N28" s="13" t="s">
        <v>358</v>
      </c>
      <c r="O28" s="1"/>
      <c r="P28" s="1"/>
      <c r="Q28" s="1"/>
      <c r="R28" s="1"/>
      <c r="S28" s="1"/>
      <c r="T28" s="13"/>
      <c r="U28" s="2"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film-1973-gibier-de-passage; film-1973-le-monde-sur-un-fil</v>
      </c>
    </row>
    <row r="29" spans="1:21" ht="224" customHeight="1" x14ac:dyDescent="0.2">
      <c r="A29" s="1">
        <v>1974</v>
      </c>
      <c r="B29" s="1"/>
      <c r="C29" s="1" t="s">
        <v>364</v>
      </c>
      <c r="D29" s="1"/>
      <c r="E29" s="1"/>
      <c r="F29" s="18" t="s">
        <v>311</v>
      </c>
      <c r="G29" s="1" t="s">
        <v>123</v>
      </c>
      <c r="H29" s="13"/>
      <c r="I29" s="13"/>
      <c r="J29" s="13"/>
      <c r="K29" s="13"/>
      <c r="L29" s="13"/>
      <c r="M29" s="13" t="s">
        <v>357</v>
      </c>
      <c r="N29" s="13" t="s">
        <v>358</v>
      </c>
      <c r="O29" s="1" t="s">
        <v>361</v>
      </c>
      <c r="P29" s="1" t="s">
        <v>362</v>
      </c>
      <c r="Q29" s="1"/>
      <c r="R29" s="1"/>
      <c r="S29" s="1"/>
      <c r="T29" s="13"/>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film-1974-tous-les-autres-s-appellent-ali; film-1974-effi-briest; film-1974-martha</v>
      </c>
    </row>
    <row r="30" spans="1:21" ht="409.5" customHeight="1" x14ac:dyDescent="0.2">
      <c r="A30" s="1">
        <v>1975</v>
      </c>
      <c r="B30" s="1" t="s">
        <v>46</v>
      </c>
      <c r="C30" s="1" t="s">
        <v>340</v>
      </c>
      <c r="D30" s="1" t="s">
        <v>342</v>
      </c>
      <c r="E30" s="15" t="s">
        <v>343</v>
      </c>
      <c r="F30" s="15" t="s">
        <v>344</v>
      </c>
      <c r="G30" s="15" t="s">
        <v>345</v>
      </c>
      <c r="H30" s="13"/>
      <c r="I30" s="13"/>
      <c r="J30" s="13"/>
      <c r="K30" s="13"/>
      <c r="L30" s="13" t="s">
        <v>334</v>
      </c>
      <c r="M30" s="13" t="s">
        <v>124</v>
      </c>
      <c r="N30" s="13" t="s">
        <v>363</v>
      </c>
      <c r="O30" s="1" t="s">
        <v>361</v>
      </c>
      <c r="P30" s="1" t="s">
        <v>362</v>
      </c>
      <c r="Q30" s="13"/>
      <c r="R30" s="13"/>
      <c r="S30" s="13"/>
      <c r="T30" s="13"/>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film-1975-le-droit-du-plus-fort; film-1975-maman-kusters-s-en-va-au-ciel; film-1975-comme-un-oiseau-sur-le-fil; film-1975-peur-de-la-peur</v>
      </c>
    </row>
    <row r="31" spans="1:21" ht="176" customHeight="1" x14ac:dyDescent="0.2">
      <c r="A31" s="1">
        <v>1976</v>
      </c>
      <c r="B31" s="1" t="s">
        <v>46</v>
      </c>
      <c r="C31" s="1" t="s">
        <v>277</v>
      </c>
      <c r="D31" s="1" t="s">
        <v>125</v>
      </c>
      <c r="E31" s="1" t="s">
        <v>126</v>
      </c>
      <c r="F31" s="1" t="s">
        <v>312</v>
      </c>
      <c r="G31" s="1"/>
      <c r="H31" s="13"/>
      <c r="I31" s="13"/>
      <c r="J31" s="13"/>
      <c r="K31" s="13"/>
      <c r="L31" s="13"/>
      <c r="M31" s="1" t="s">
        <v>361</v>
      </c>
      <c r="N31" s="1" t="s">
        <v>362</v>
      </c>
      <c r="O31" s="13"/>
      <c r="P31" s="13"/>
      <c r="Q31" s="13"/>
      <c r="R31" s="13"/>
      <c r="S31" s="13"/>
      <c r="T31" s="13"/>
      <c r="U31" s="2"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film-1976-l-ombre-des-anges; film-1976-le-roti-de-satan; film-1976-roulette-chinoise; film-1976-je-veux-seulement-que-vous-m-aimiez</v>
      </c>
    </row>
    <row r="32" spans="1:21" ht="409.5" customHeight="1" x14ac:dyDescent="0.2">
      <c r="A32" s="1">
        <v>1977</v>
      </c>
      <c r="B32" s="1" t="s">
        <v>51</v>
      </c>
      <c r="C32" s="1" t="s">
        <v>348</v>
      </c>
      <c r="D32" s="1" t="s">
        <v>346</v>
      </c>
      <c r="E32" s="1" t="s">
        <v>313</v>
      </c>
      <c r="F32" s="13" t="s">
        <v>127</v>
      </c>
      <c r="G32" s="13" t="s">
        <v>128</v>
      </c>
      <c r="H32" s="13"/>
      <c r="I32" s="13"/>
      <c r="J32" s="13"/>
      <c r="K32" s="13" t="s">
        <v>129</v>
      </c>
      <c r="L32" s="13" t="s">
        <v>335</v>
      </c>
      <c r="M32" s="1" t="s">
        <v>361</v>
      </c>
      <c r="N32" s="1" t="s">
        <v>362</v>
      </c>
      <c r="O32" s="13"/>
      <c r="P32" s="13"/>
      <c r="Q32" s="13"/>
      <c r="R32" s="13"/>
      <c r="S32" s="13"/>
      <c r="T32" s="13"/>
      <c r="U32" s="2"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film-1977-femmes-a-new-york; film-1977-la-femme-du-chef-de-gare</v>
      </c>
    </row>
    <row r="33" spans="1:21" ht="336" customHeight="1" x14ac:dyDescent="0.2">
      <c r="A33" s="1">
        <v>1978</v>
      </c>
      <c r="B33" s="1" t="s">
        <v>51</v>
      </c>
      <c r="C33" s="1"/>
      <c r="D33" s="18"/>
      <c r="E33" s="1" t="s">
        <v>314</v>
      </c>
      <c r="F33" s="1" t="s">
        <v>315</v>
      </c>
      <c r="G33" s="13" t="s">
        <v>316</v>
      </c>
      <c r="H33" s="13"/>
      <c r="I33" s="13"/>
      <c r="J33" s="13"/>
      <c r="K33" s="13"/>
      <c r="L33" s="13" t="s">
        <v>336</v>
      </c>
      <c r="M33" s="1" t="s">
        <v>361</v>
      </c>
      <c r="N33" s="1" t="s">
        <v>362</v>
      </c>
      <c r="O33" s="13"/>
      <c r="P33" s="13"/>
      <c r="Q33" s="13"/>
      <c r="R33" s="13"/>
      <c r="S33" s="13"/>
      <c r="T33" s="13"/>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film-1978-l-allemagne-en-automne; film-1978-despair; film-1978-l-annee-des-treize-lunes; film-1978-le-mariage-de-maria-braun</v>
      </c>
    </row>
    <row r="34" spans="1:21" ht="256" customHeight="1" x14ac:dyDescent="0.2">
      <c r="A34" s="1">
        <v>1979</v>
      </c>
      <c r="B34" s="1" t="s">
        <v>51</v>
      </c>
      <c r="C34" s="1" t="s">
        <v>278</v>
      </c>
      <c r="D34" s="1" t="s">
        <v>317</v>
      </c>
      <c r="E34" s="1" t="s">
        <v>318</v>
      </c>
      <c r="F34" s="13" t="s">
        <v>319</v>
      </c>
      <c r="G34" s="13" t="s">
        <v>320</v>
      </c>
      <c r="H34" s="13" t="s">
        <v>130</v>
      </c>
      <c r="I34" s="13"/>
      <c r="J34" s="13"/>
      <c r="K34" s="13"/>
      <c r="L34" s="13"/>
      <c r="M34" s="1" t="s">
        <v>361</v>
      </c>
      <c r="N34" s="1" t="s">
        <v>362</v>
      </c>
      <c r="O34" s="13"/>
      <c r="P34" s="13"/>
      <c r="Q34" s="13"/>
      <c r="R34" s="13"/>
      <c r="S34" s="13"/>
      <c r="T34" s="13"/>
      <c r="U34" s="2"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film-1978-le-mariage-de-maria-braun; film-1979-la-troisieme-generation</v>
      </c>
    </row>
    <row r="35" spans="1:21" ht="304" customHeight="1" x14ac:dyDescent="0.2">
      <c r="A35" s="1">
        <v>1980</v>
      </c>
      <c r="B35" s="1" t="s">
        <v>58</v>
      </c>
      <c r="C35" s="1" t="s">
        <v>279</v>
      </c>
      <c r="D35" s="18" t="s">
        <v>321</v>
      </c>
      <c r="E35" s="1" t="s">
        <v>61</v>
      </c>
      <c r="F35" s="1" t="s">
        <v>322</v>
      </c>
      <c r="G35" s="1" t="s">
        <v>131</v>
      </c>
      <c r="H35" s="13"/>
      <c r="I35" s="13"/>
      <c r="J35" s="13"/>
      <c r="K35" s="13"/>
      <c r="L35" s="13" t="s">
        <v>337</v>
      </c>
      <c r="M35" s="1" t="s">
        <v>361</v>
      </c>
      <c r="N35" s="1" t="s">
        <v>362</v>
      </c>
      <c r="O35" s="13"/>
      <c r="P35" s="13"/>
      <c r="Q35" s="13"/>
      <c r="R35" s="13"/>
      <c r="S35" s="13"/>
      <c r="T35" s="13"/>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film-1980-berlin-alexanderplatz</v>
      </c>
    </row>
    <row r="36" spans="1:21" ht="176" customHeight="1" x14ac:dyDescent="0.2">
      <c r="A36" s="1">
        <v>1981</v>
      </c>
      <c r="B36" s="1" t="s">
        <v>58</v>
      </c>
      <c r="C36" s="1" t="s">
        <v>280</v>
      </c>
      <c r="D36" s="13" t="s">
        <v>323</v>
      </c>
      <c r="E36" s="1"/>
      <c r="F36" s="1" t="s">
        <v>324</v>
      </c>
      <c r="G36" s="1" t="s">
        <v>325</v>
      </c>
      <c r="H36" s="13"/>
      <c r="I36" s="13"/>
      <c r="J36" s="13"/>
      <c r="K36" s="13"/>
      <c r="L36" s="13" t="s">
        <v>338</v>
      </c>
      <c r="M36" s="1" t="s">
        <v>361</v>
      </c>
      <c r="N36" s="1" t="s">
        <v>362</v>
      </c>
      <c r="O36" s="13"/>
      <c r="P36" s="13"/>
      <c r="Q36" s="13"/>
      <c r="R36" s="13"/>
      <c r="S36" s="13"/>
      <c r="T36" s="13"/>
      <c r="U36" s="2"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film-1981-lili-marleen; film-1981-theatre-en-transe; film-1981-lola-une-femme-allemande</v>
      </c>
    </row>
    <row r="37" spans="1:21" ht="176" customHeight="1" x14ac:dyDescent="0.2">
      <c r="A37" s="1">
        <v>1982</v>
      </c>
      <c r="B37" s="1">
        <v>1982</v>
      </c>
      <c r="C37" s="1" t="s">
        <v>281</v>
      </c>
      <c r="D37" s="1" t="s">
        <v>132</v>
      </c>
      <c r="E37" s="1" t="s">
        <v>65</v>
      </c>
      <c r="F37" s="18" t="s">
        <v>326</v>
      </c>
      <c r="G37" s="13"/>
      <c r="H37" s="13"/>
      <c r="I37" s="13"/>
      <c r="J37" s="13"/>
      <c r="K37" s="13"/>
      <c r="L37" s="13" t="s">
        <v>339</v>
      </c>
      <c r="M37" s="13" t="s">
        <v>365</v>
      </c>
      <c r="N37" s="13" t="s">
        <v>366</v>
      </c>
      <c r="O37" s="13"/>
      <c r="P37" s="13"/>
      <c r="Q37" s="13"/>
      <c r="R37" s="13"/>
      <c r="S37" s="13"/>
      <c r="T37" s="13"/>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heetViews>
  <sheetFormatPr baseColWidth="10" defaultColWidth="11.5" defaultRowHeight="13" x14ac:dyDescent="0.15"/>
  <cols>
    <col min="2" max="2" width="37.5" customWidth="1"/>
    <col min="3" max="3" width="37" customWidth="1"/>
    <col min="4" max="4" width="30.83203125" customWidth="1"/>
  </cols>
  <sheetData>
    <row r="15" spans="1:4" x14ac:dyDescent="0.15">
      <c r="A15" s="10" t="s">
        <v>133</v>
      </c>
      <c r="B15" s="10" t="s">
        <v>134</v>
      </c>
      <c r="C15" s="10" t="s">
        <v>135</v>
      </c>
      <c r="D15" s="10" t="s">
        <v>136</v>
      </c>
    </row>
    <row r="16" spans="1:4" ht="409.6" x14ac:dyDescent="0.15">
      <c r="A16" s="11" t="s">
        <v>137</v>
      </c>
      <c r="B16" s="12" t="s">
        <v>138</v>
      </c>
      <c r="C16" s="11" t="s">
        <v>139</v>
      </c>
      <c r="D16" s="11"/>
    </row>
    <row r="17" spans="1:4" ht="409.6" x14ac:dyDescent="0.15">
      <c r="A17" s="11" t="s">
        <v>140</v>
      </c>
      <c r="B17" s="12" t="s">
        <v>141</v>
      </c>
      <c r="C17" s="11" t="s">
        <v>142</v>
      </c>
      <c r="D17" s="11" t="s">
        <v>143</v>
      </c>
    </row>
    <row r="18" spans="1:4" ht="28" x14ac:dyDescent="0.15">
      <c r="A18" s="11" t="s">
        <v>144</v>
      </c>
      <c r="B18" s="11" t="s">
        <v>145</v>
      </c>
      <c r="C18" s="11" t="s">
        <v>146</v>
      </c>
      <c r="D18" s="11" t="s">
        <v>143</v>
      </c>
    </row>
    <row r="19" spans="1:4" ht="28" x14ac:dyDescent="0.15">
      <c r="A19" s="11" t="s">
        <v>147</v>
      </c>
      <c r="B19" s="11" t="s">
        <v>148</v>
      </c>
      <c r="C19" s="11" t="s">
        <v>149</v>
      </c>
      <c r="D19" s="11" t="s">
        <v>150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3" t="s">
        <v>151</v>
      </c>
      <c r="B1" s="3" t="s">
        <v>152</v>
      </c>
    </row>
    <row r="2" spans="1:2" ht="17" x14ac:dyDescent="0.2">
      <c r="A2" s="5" t="s">
        <v>153</v>
      </c>
      <c r="B2" s="5" t="s">
        <v>154</v>
      </c>
    </row>
    <row r="3" spans="1:2" ht="17" x14ac:dyDescent="0.2">
      <c r="A3" s="5" t="s">
        <v>155</v>
      </c>
      <c r="B3" s="5" t="s">
        <v>156</v>
      </c>
    </row>
    <row r="4" spans="1:2" ht="17" x14ac:dyDescent="0.2">
      <c r="A4" s="5" t="s">
        <v>157</v>
      </c>
      <c r="B4" s="5" t="s">
        <v>158</v>
      </c>
    </row>
    <row r="5" spans="1:2" ht="17" x14ac:dyDescent="0.2">
      <c r="A5" s="5" t="s">
        <v>159</v>
      </c>
      <c r="B5" s="5" t="s">
        <v>160</v>
      </c>
    </row>
    <row r="6" spans="1:2" ht="17" x14ac:dyDescent="0.2">
      <c r="A6" s="5" t="s">
        <v>161</v>
      </c>
      <c r="B6" s="5" t="s">
        <v>162</v>
      </c>
    </row>
    <row r="7" spans="1:2" ht="17" x14ac:dyDescent="0.2">
      <c r="A7" s="5" t="s">
        <v>163</v>
      </c>
      <c r="B7" s="5" t="s">
        <v>164</v>
      </c>
    </row>
    <row r="8" spans="1:2" ht="17" x14ac:dyDescent="0.2">
      <c r="A8" s="5" t="s">
        <v>165</v>
      </c>
      <c r="B8" s="5" t="s">
        <v>166</v>
      </c>
    </row>
    <row r="9" spans="1:2" ht="17" x14ac:dyDescent="0.2">
      <c r="A9" s="5" t="s">
        <v>167</v>
      </c>
      <c r="B9" s="5" t="s">
        <v>168</v>
      </c>
    </row>
    <row r="10" spans="1:2" ht="17" x14ac:dyDescent="0.2">
      <c r="A10" s="5" t="s">
        <v>169</v>
      </c>
      <c r="B10" s="5" t="s">
        <v>170</v>
      </c>
    </row>
    <row r="11" spans="1:2" ht="17" x14ac:dyDescent="0.2">
      <c r="A11" s="5" t="s">
        <v>171</v>
      </c>
      <c r="B11" s="5" t="s">
        <v>172</v>
      </c>
    </row>
    <row r="12" spans="1:2" ht="17" x14ac:dyDescent="0.2">
      <c r="A12" s="5" t="s">
        <v>173</v>
      </c>
      <c r="B12" s="5" t="s">
        <v>174</v>
      </c>
    </row>
    <row r="13" spans="1:2" ht="17" x14ac:dyDescent="0.2">
      <c r="A13" s="5" t="s">
        <v>175</v>
      </c>
      <c r="B13" s="5" t="s">
        <v>176</v>
      </c>
    </row>
    <row r="14" spans="1:2" ht="17" x14ac:dyDescent="0.2">
      <c r="A14" s="5" t="s">
        <v>177</v>
      </c>
      <c r="B14" s="5" t="s">
        <v>178</v>
      </c>
    </row>
    <row r="15" spans="1:2" ht="17" x14ac:dyDescent="0.2">
      <c r="A15" s="5" t="s">
        <v>179</v>
      </c>
      <c r="B15" s="5" t="s">
        <v>180</v>
      </c>
    </row>
    <row r="16" spans="1:2" ht="17" x14ac:dyDescent="0.2">
      <c r="A16" s="5" t="s">
        <v>181</v>
      </c>
      <c r="B16" s="5" t="s">
        <v>182</v>
      </c>
    </row>
    <row r="17" spans="1:2" ht="17" x14ac:dyDescent="0.2">
      <c r="A17" s="5" t="s">
        <v>183</v>
      </c>
      <c r="B17" s="5" t="s">
        <v>184</v>
      </c>
    </row>
    <row r="18" spans="1:2" ht="17" x14ac:dyDescent="0.2">
      <c r="A18" s="5" t="s">
        <v>185</v>
      </c>
      <c r="B18" s="5" t="s">
        <v>186</v>
      </c>
    </row>
    <row r="19" spans="1:2" ht="17" x14ac:dyDescent="0.2">
      <c r="A19" s="5" t="s">
        <v>187</v>
      </c>
      <c r="B19" s="5" t="s">
        <v>188</v>
      </c>
    </row>
    <row r="20" spans="1:2" ht="17" x14ac:dyDescent="0.2">
      <c r="A20" s="5" t="s">
        <v>189</v>
      </c>
      <c r="B20" s="5" t="s">
        <v>190</v>
      </c>
    </row>
    <row r="21" spans="1:2" ht="17" x14ac:dyDescent="0.2">
      <c r="A21" s="5" t="s">
        <v>191</v>
      </c>
      <c r="B21" s="5" t="s">
        <v>192</v>
      </c>
    </row>
    <row r="22" spans="1:2" ht="17" x14ac:dyDescent="0.2">
      <c r="A22" s="5" t="s">
        <v>193</v>
      </c>
      <c r="B22" s="5" t="s">
        <v>194</v>
      </c>
    </row>
    <row r="23" spans="1:2" ht="17" x14ac:dyDescent="0.2">
      <c r="A23" s="5" t="s">
        <v>195</v>
      </c>
      <c r="B23" s="5" t="s">
        <v>196</v>
      </c>
    </row>
    <row r="24" spans="1:2" ht="17" x14ac:dyDescent="0.2">
      <c r="A24" s="5" t="s">
        <v>197</v>
      </c>
      <c r="B24" s="5" t="s">
        <v>198</v>
      </c>
    </row>
    <row r="25" spans="1:2" ht="17" x14ac:dyDescent="0.2">
      <c r="A25" s="5" t="s">
        <v>199</v>
      </c>
      <c r="B25" s="5" t="s">
        <v>200</v>
      </c>
    </row>
    <row r="26" spans="1:2" ht="17" x14ac:dyDescent="0.2">
      <c r="A26" s="5" t="s">
        <v>201</v>
      </c>
      <c r="B26" s="5" t="s">
        <v>202</v>
      </c>
    </row>
    <row r="27" spans="1:2" ht="17" x14ac:dyDescent="0.2">
      <c r="A27" s="5" t="s">
        <v>203</v>
      </c>
      <c r="B27" s="5" t="s">
        <v>204</v>
      </c>
    </row>
    <row r="28" spans="1:2" ht="17" x14ac:dyDescent="0.2">
      <c r="A28" s="5" t="s">
        <v>205</v>
      </c>
      <c r="B28" s="5" t="s">
        <v>206</v>
      </c>
    </row>
    <row r="29" spans="1:2" ht="17" x14ac:dyDescent="0.2">
      <c r="A29" s="5" t="s">
        <v>207</v>
      </c>
      <c r="B29" s="5" t="s">
        <v>208</v>
      </c>
    </row>
    <row r="30" spans="1:2" ht="17" x14ac:dyDescent="0.2">
      <c r="A30" s="5" t="s">
        <v>209</v>
      </c>
      <c r="B30" s="5" t="s">
        <v>210</v>
      </c>
    </row>
    <row r="31" spans="1:2" ht="17" x14ac:dyDescent="0.2">
      <c r="A31" s="5" t="s">
        <v>211</v>
      </c>
      <c r="B31" s="5" t="s">
        <v>212</v>
      </c>
    </row>
    <row r="32" spans="1:2" ht="17" x14ac:dyDescent="0.2">
      <c r="A32" s="5" t="s">
        <v>213</v>
      </c>
      <c r="B32" s="5" t="s">
        <v>214</v>
      </c>
    </row>
    <row r="33" spans="1:2" ht="17" x14ac:dyDescent="0.2">
      <c r="A33" s="5" t="s">
        <v>215</v>
      </c>
      <c r="B33" s="5" t="s">
        <v>216</v>
      </c>
    </row>
    <row r="34" spans="1:2" ht="17" x14ac:dyDescent="0.2">
      <c r="A34" s="5" t="s">
        <v>217</v>
      </c>
      <c r="B34" s="5" t="s">
        <v>218</v>
      </c>
    </row>
    <row r="35" spans="1:2" ht="17" x14ac:dyDescent="0.2">
      <c r="A35" s="5" t="s">
        <v>219</v>
      </c>
      <c r="B35" s="5" t="s">
        <v>220</v>
      </c>
    </row>
    <row r="36" spans="1:2" ht="17" x14ac:dyDescent="0.2">
      <c r="A36" s="5" t="s">
        <v>221</v>
      </c>
      <c r="B36" s="5" t="s">
        <v>222</v>
      </c>
    </row>
    <row r="37" spans="1:2" ht="17" x14ac:dyDescent="0.2">
      <c r="A37" s="5" t="s">
        <v>223</v>
      </c>
      <c r="B37" s="5" t="s">
        <v>224</v>
      </c>
    </row>
    <row r="38" spans="1:2" ht="17" x14ac:dyDescent="0.2">
      <c r="A38" s="5" t="s">
        <v>225</v>
      </c>
      <c r="B38" s="5" t="s">
        <v>226</v>
      </c>
    </row>
    <row r="39" spans="1:2" ht="17" x14ac:dyDescent="0.2">
      <c r="A39" s="5" t="s">
        <v>227</v>
      </c>
      <c r="B39" s="5" t="s">
        <v>228</v>
      </c>
    </row>
    <row r="40" spans="1:2" ht="17" x14ac:dyDescent="0.2">
      <c r="A40" s="5" t="s">
        <v>229</v>
      </c>
      <c r="B40" s="5" t="s">
        <v>230</v>
      </c>
    </row>
    <row r="41" spans="1:2" ht="17" x14ac:dyDescent="0.2">
      <c r="A41" s="5" t="s">
        <v>231</v>
      </c>
      <c r="B41" s="5" t="s">
        <v>232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40" customHeight="1" x14ac:dyDescent="0.25">
      <c r="A1" s="6" t="s">
        <v>233</v>
      </c>
      <c r="B1" s="6"/>
    </row>
    <row r="2" spans="1:2" ht="45.25" customHeight="1" x14ac:dyDescent="0.2">
      <c r="A2" s="7" t="s">
        <v>234</v>
      </c>
      <c r="B2" s="3" t="s">
        <v>235</v>
      </c>
    </row>
    <row r="3" spans="1:2" ht="45.25" customHeight="1" x14ac:dyDescent="0.2">
      <c r="A3" s="7" t="s">
        <v>236</v>
      </c>
      <c r="B3" s="3" t="s">
        <v>237</v>
      </c>
    </row>
    <row r="4" spans="1:2" ht="45.25" customHeight="1" x14ac:dyDescent="0.2">
      <c r="A4" s="7" t="s">
        <v>238</v>
      </c>
      <c r="B4" s="3" t="s">
        <v>239</v>
      </c>
    </row>
    <row r="5" spans="1:2" ht="45.25" customHeight="1" x14ac:dyDescent="0.2">
      <c r="A5" s="7" t="s">
        <v>240</v>
      </c>
      <c r="B5" s="3" t="s">
        <v>241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2026-07-31T14:47:57Z</dcterms:modified>
</cp:coreProperties>
</file>