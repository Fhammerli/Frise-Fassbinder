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3.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ériodes" sheetId="1" state="visible" r:id="rId3"/>
    <sheet name="Années" sheetId="2" state="visible" r:id="rId4"/>
    <sheet name="Référentiel films" sheetId="3" state="visible" r:id="rId5"/>
    <sheet name="Mode_emploi" sheetId="4" state="visible" r:id="rId6"/>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<sst xmlns="http://schemas.openxmlformats.org/spreadsheetml/2006/main" count="293" uniqueCount="229">
  <si>
    <t xml:space="preserve">ID période</t>
  </si>
  <si>
    <t xml:space="preserve">Titre période</t>
  </si>
  <si>
    <t xml:space="preserve">question directrice</t>
  </si>
  <si>
    <t xml:space="preserve">Événement histoire et politique</t>
  </si>
  <si>
    <t xml:space="preserve">Contexte culturel</t>
  </si>
  <si>
    <t xml:space="preserve">Biographie de Fassbinder</t>
  </si>
  <si>
    <t xml:space="preserve">Œuvres</t>
  </si>
  <si>
    <t xml:space="preserve">ID films - Œuvres</t>
  </si>
  <si>
    <t xml:space="preserve">Analyse et réception critique</t>
  </si>
  <si>
    <t xml:space="preserve">Lien vidéo</t>
  </si>
  <si>
    <t xml:space="preserve">Citation</t>
  </si>
  <si>
    <t xml:space="preserve">Image</t>
  </si>
  <si>
    <t xml:space="preserve">Legende</t>
  </si>
  <si>
    <t xml:space="preserve">Notion</t>
  </si>
  <si>
    <t xml:space="preserve">1945-1946</t>
  </si>
  <si>
    <t xml:space="preserve">Les ruines</t>
  </si>
  <si>
    <t xml:space="preserve">Le "point zéro" de l'histoire de l'Allemagne d'après-guerre est-il un point zéro pour la vie et l'œuvre de RWF ?</t>
  </si>
  <si>
    <t xml:space="preserve">Capitulation du Troisième Reich (mai). L'Allemagne est en ruines (Année Zéro). Début de l'occupation alliée et de l'amnésie collective sur le passé nazi. Le pays et berlin sont partagés en zone sous contrôle des différentes forces alliées. </t>
  </si>
  <si>
    <t xml:space="preserve">Le cinéma est en ruines. Période des films de décombres ( Trümmerfilme ) comme Les assassins sont parmi nous (Staudte, 1946).</t>
  </si>
  <si>
    <t xml:space="preserve">Naissance de Rainer Werner Fassbinder le 31 mai à Bad Wörishofen, Bavière.</t>
  </si>
  <si>
    <t xml:space="preserve">L'œuvre de Fassbinder proposera plus tard une radiographie critique de ce "point zéro" de la nouvelle Allemagne.</t>
  </si>
  <si>
    <t xml:space="preserve">Les génériques de Fassbinder</t>
  </si>
  <si>
    <t xml:space="preserve">Adenauer.jpeg</t>
  </si>
  <si>
    <t xml:space="preserve">Adénauer</t>
  </si>
  <si>
    <t xml:space="preserve">1947-1960</t>
  </si>
  <si>
    <t xml:space="preserve">Le miracle économique</t>
  </si>
  <si>
    <t xml:space="preserve">Création de la RFA (1949). Ère Adenauer. Miracle économique ( Wirtschaftswunder ) et intégration sociale conservatrice. Réarmement de la RFA (1955).</t>
  </si>
  <si>
    <t xml:space="preserve">Domination du "cinéma de papa" ( Papas Kino ) : films de terroir ( Heimatfilm ) et comédies légères dépolitisées.</t>
  </si>
  <si>
    <t xml:space="preserve">Enfance marquée par le divorce de ses parents (1951) et l'absence du père. Passion précoce pour le cinéma (refuge). Première lecture de Berlin Alexanderplatz vers 14 ans.</t>
  </si>
  <si>
    <t xml:space="preserve">Fassbinder analyse rétrospectivement cette période (mensonges du miracle économique) dans la future Trilogie de la RFA .</t>
  </si>
  <si>
    <t xml:space="preserve">1961-1966</t>
  </si>
  <si>
    <t xml:space="preserve">naissance du Nouveau cinéma allemand</t>
  </si>
  <si>
    <t xml:space="preserve">Construction du Mur de Berlin (1961). Procès d'Auschwitz à Francfort (1963-1965). Démission d'Adenauer. Grande Coalition (1966).</t>
  </si>
  <si>
    <t xml:space="preserve">Manifeste d'Oberhausen (1962) : naissance du Nouveau Cinéma Allemand. Fondation de l'école de cinéma DFFB à Berlin (1966).</t>
  </si>
  <si>
    <t xml:space="preserve">Échec au concours d'entrée de la DFFB. Rencontre Hanna Schygulla et Irm Hermann dans un cours d'art dramatique. Rejoint l'Action-Theater (1967).</t>
  </si>
  <si>
    <t xml:space="preserve">Réalise ses premiers courts métrages : This Night (1966) et Le Clochard (1966). Confrontation de la mémoire de la Shoah.</t>
  </si>
  <si>
    <t xml:space="preserve">Documentaire sur le nouveau cinéma allemand</t>
  </si>
  <si>
    <t xml:space="preserve">"Le cinéma de Papa est mort. Nous croyons au nouveau cinéma " Manifeste d'Oberhausen (1962)</t>
  </si>
  <si>
    <t xml:space="preserve">1967-1970</t>
  </si>
  <si>
    <t xml:space="preserve">Antitheater et politisation</t>
  </si>
  <si>
    <t xml:space="preserve">Mouvements étudiants de 1968. Tentative d'assassinat contre Rudi Dutschke. Victoire de Willy Brandt (SPD, 1969). Abrogation partielle de l'article 175 (homosexualité).</t>
  </si>
  <si>
    <t xml:space="preserve">Émergence de l'Anti-teater à Munich. Influence de la Nouvelle Vague française. Le cinéma devient politique et théorique.</t>
  </si>
  <si>
    <t xml:space="preserve">Fonde l' antiteater (1968). Collaboration intense avec sa "troupe" (Schygulla, Hermann, Raab, Baer, Lommel). Mariage avec Ingrid Caven (1970).</t>
  </si>
  <si>
    <t xml:space="preserve">L'amour est plus froid que la mort (1969),  Le Bouc (1969, succès à Mannheim) : critique de la xénophobie et de l'apathie bourgeoise.</t>
  </si>
  <si>
    <t xml:space="preserve">Premier film accueilli froidement à Berlin. Le second est une critique de la xénophobie et de l'apathie bourgeoise</t>
  </si>
  <si>
    <t xml:space="preserve">1971-1974</t>
  </si>
  <si>
    <t xml:space="preserve">Terrorisme et mélodrame</t>
  </si>
  <si>
    <t xml:space="preserve">Terrorisme de la RAF (arrestations en 1972). Attentat des JO de Munich (1972). Démission de Willy Brandt (1974) suite à l'affaire Guillaume.</t>
  </si>
  <si>
    <t xml:space="preserve">Découverte des mélodrames de Douglas Sirk . Fondation du Filmverlag der Autoren (1971). Accords Film-Télévision (1974) favorisant les coproductions (WDR).</t>
  </si>
  <si>
    <t xml:space="preserve">Liaison avec El Hedi ben Salem. Direction du TAT à Francfort. Collaboration avec le caméraman Michael Ballhaus. Succès international.</t>
  </si>
  <si>
    <t xml:space="preserve">Période Sirkienne : Le Marchand des quatre saisons (1971). Tous les autres s'appellent Ali (1974, succès mondial à Cannes) : critique du racisme ordinaire. Martha (1974).</t>
  </si>
  <si>
    <t xml:space="preserve">1975-1976</t>
  </si>
  <si>
    <t xml:space="preserve">,,,,,,,,,,,,,,,,</t>
  </si>
  <si>
    <t xml:space="preserve">Tensions sociales et crises du logement (Westend). Débats sur la visibilité des minorités. Lois limitant les libertés civiles.</t>
  </si>
  <si>
    <t xml:space="preserve">Développement du "film amphibie" (cinéma/TV). Le cinéma devient un outil de critique sociale directe.</t>
  </si>
  <si>
    <t xml:space="preserve">Scandale théâtral autour de la pièce L'Ordure, la ville et la mort (accusations d'antisémitisme). Liaison avec Armin Meier.</t>
  </si>
  <si>
    <t xml:space="preserve">Maman Küsters s'en va au ciel (1975). Le Droit du plus fort (1975) : </t>
  </si>
  <si>
    <t xml:space="preserve">Fassbinder y joue un rôle principal, assumant une visibilité politique de son homosexualité.</t>
  </si>
  <si>
    <t xml:space="preserve">1977-1979</t>
  </si>
  <si>
    <t xml:space="preserve">Automne Allemand (1977) : enlèvement de Schleyer, détournement du Landshut, morts à Stammheim. Diffusion de la série Holocaust (1979).</t>
  </si>
  <si>
    <t xml:space="preserve">Film collectif L'Allemagne en automne (1978). Le mouvement atteint son apogée thématique et politique.</t>
  </si>
  <si>
    <t xml:space="preserve">Suicide d'Armin Meier (31 mai 1978). Début de la collaboration avec Juliane Lorenz. Fassbinder se filme en crise, exposant son angoisse face à l'État.</t>
  </si>
  <si>
    <t xml:space="preserve">L'Année des treize lunes (1978) : œuvre radicale sur le désespoir. Le Mariage de Maria Braun (1979) : triomphe international, allégorie de la reconstruction.</t>
  </si>
  <si>
    <t xml:space="preserve">mélodrame</t>
  </si>
  <si>
    <t xml:space="preserve">1980-1981</t>
  </si>
  <si>
    <t xml:space="preserve">Fondation des Verts (1980). Manifestations écologistes. Fin de l'ère sociale-libérale.</t>
  </si>
  <si>
    <t xml:space="preserve">Production de séries monumentales pour la télévision. Le Nouveau Cinéma Allemand atteint une maturité formelle extrême.</t>
  </si>
  <si>
    <t xml:space="preserve">Travaille frénétiquement. Réalise son projet de vie : l'adaptation de Döblin. Épuisement physique dû aux excès.</t>
  </si>
  <si>
    <t xml:space="preserve">Monumental Berlin Alexanderplatz (1980, 15h). Suite de la Trilogie de la RFA : Lola, une femme allemande (1981) et Lili Marleen (1981).</t>
  </si>
  <si>
    <t xml:space="preserve">Victoire d'Helmut Kohl (CDU) en octobre. Fin d'une époque artistique et politique radicale.</t>
  </si>
  <si>
    <t xml:space="preserve">Mort de Fassbinder marquant symboliquement la fin du Nouveau Cinéma Allemand.</t>
  </si>
  <si>
    <t xml:space="preserve">Décès de Fassbinder le 10 juin à Munich, à l'âge de 37 ans (épuisement et overdose).</t>
  </si>
  <si>
    <t xml:space="preserve">Le Secret de Veronika Voss (Ours d'Or à Berlin). Querelle (œuvre posthume). Fassbinder laisse un héritage de plus de 40 films.</t>
  </si>
  <si>
    <t xml:space="preserve">Année</t>
  </si>
  <si>
    <t xml:space="preserve">Oeuvre </t>
  </si>
  <si>
    <t xml:space="preserve">Analyse et Réception critique</t>
  </si>
  <si>
    <t xml:space="preserve">Extraits</t>
  </si>
  <si>
    <t xml:space="preserve">Description de l'extrait</t>
  </si>
  <si>
    <t xml:space="preserve">Consigne d'analyse</t>
  </si>
  <si>
    <t xml:space="preserve">Image 1</t>
  </si>
  <si>
    <t xml:space="preserve">Légende 1</t>
  </si>
  <si>
    <t xml:space="preserve">Image 2</t>
  </si>
  <si>
    <t xml:space="preserve">Légende 2</t>
  </si>
  <si>
    <t xml:space="preserve">Image 3</t>
  </si>
  <si>
    <t xml:space="preserve">Légende 3</t>
  </si>
  <si>
    <t xml:space="preserve">Source</t>
  </si>
  <si>
    <t xml:space="preserve">IDs films — Œuvres</t>
  </si>
  <si>
    <t xml:space="preserve">Les alliés aident à la relance de médias d'information et promeuvent une nouvelle politique éducative. </t>
  </si>
  <si>
    <t xml:space="preserve">Le cinéma est en ruines. Premières projection des Moulins de la mort (Todesmühen), un documentaire sur les camps de concentration. </t>
  </si>
  <si>
    <t xml:space="preserve">Naissance de Rainer Werner Fassbinder le 31 mai à Bad Wörishofen, Bavière. Père médecin généraliste, mère traductrice. Première année passée chez son oncle paternel</t>
  </si>
  <si>
    <t xml:space="preserve">Fassbinder.jpeg</t>
  </si>
  <si>
    <t xml:space="preserve">Fassbinder enfant</t>
  </si>
  <si>
    <t xml:space="preserve">Bohm.jpg</t>
  </si>
  <si>
    <t xml:space="preserve">Bohm</t>
  </si>
  <si>
    <t xml:space="preserve">Portrait d'Adenauer</t>
  </si>
  <si>
    <t xml:space="preserve">Premières élections municipales dans la zone américaine. Procès de Nuremberg : 12 des 24 accusés sont condamnés à mort pour crimes de guerre. Vogue de l'évocation mélancolique de la patrie dans la chanson de variété allemande avec "Möwe, di fliegst in die Heimat" de Magda Hein. </t>
  </si>
  <si>
    <t xml:space="preserve">Fondation de la DEFA (Deutsch Film AG) à Berlin Est. Premières productions de films allemands de fiction depuis la fin de la guerre. </t>
  </si>
  <si>
    <t xml:space="preserve">Le couple Fassbinder prend l'enfant avec eux à Munich. Une partie de la famille vit dans le même appartement, notamment la grand-mère de Rainer. </t>
  </si>
  <si>
    <t xml:space="preserve">Le procès de Nuremberg</t>
  </si>
  <si>
    <t xml:space="preserve">Période de disette la plus terrible depuis la fin de la guerre.</t>
  </si>
  <si>
    <t xml:space="preserve">A l'initiative de Hans Werner Richter, fondation du Groupe 47 qui réunit l'avant-garde littéraire allemande qui compte dans ses membres Gunter Grass et Heinrich Boll.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t>
  </si>
  <si>
    <t xml:space="preserve">Elsaesser, Wikipedia</t>
  </si>
  <si>
    <t xml:space="preserve">Réforme monétaire de l'Allemagne de l'Ouest. Blocus de Berlin par les soviétiques, l'une des premières crises de la Guerre Froide. Un pont aérien est mise en place à l'initiative des Etats-Unis et de la Grande-Bretagne</t>
  </si>
  <si>
    <r>
      <rPr>
        <sz val="1000"/>
        <color rgb="FF000000"/>
        <rFont val="Cambria"/>
        <family val="0"/>
        <charset val="1"/>
      </rPr>
      <t xml:space="preserve">Le film de Rossellini </t>
    </r>
    <r>
      <rPr>
        <i val="true"/>
        <sz val="1000"/>
        <color rgb="FF000000"/>
        <rFont val="Arial"/>
        <family val="2"/>
        <charset val="1"/>
      </rPr>
      <t xml:space="preserve">Allemagne année zéro</t>
    </r>
    <r>
      <rPr>
        <sz val="1000"/>
        <color rgb="FF000000"/>
        <rFont val="Arial"/>
        <family val="2"/>
        <charset val="1"/>
      </rPr>
      <t xml:space="preserve"> offre une vision réaliste et critique de l'Allemagne en ruine</t>
    </r>
  </si>
  <si>
    <t xml:space="preserve">Le blocus de Berlin en 3 minutes</t>
  </si>
  <si>
    <t xml:space="preserve">Allemagne_annee_0_Reichstag.m4v</t>
  </si>
  <si>
    <r>
      <rPr>
        <i val="true"/>
        <sz val="1000"/>
        <color rgb="FF000000"/>
        <rFont val="Arial"/>
        <family val="2"/>
        <charset val="1"/>
      </rPr>
      <t xml:space="preserve">Allemagne année zéro </t>
    </r>
    <r>
      <rPr>
        <sz val="1000"/>
        <color rgb="FF000000"/>
        <rFont val="Arial"/>
        <family val="2"/>
        <charset val="1"/>
      </rPr>
      <t xml:space="preserve">de Rossellini (1948) ) Le protagoniste Edmund tente de vendre un enregistrement d'un discours d'Hitler sur disque à des soldats alliés. La voix du Fürher se met à résonner dans les ruines du Reichstag, siège du parlement incendié en 1933</t>
    </r>
  </si>
  <si>
    <t xml:space="preserve">Comment Rossellini traduit-il une relation complexe avec l'Histoire, entre fascination, terreur, et hantise ?</t>
  </si>
  <si>
    <t xml:space="preserve">Création de l'OTAN. Création de la RFA. Konrad Adenauer est élu chancelier fédéral avec une courte majorité. La division de l'Allemande en deux états indépendants est reconnue par la communauté internationale. </t>
  </si>
  <si>
    <r>
      <rPr>
        <sz val="1000"/>
        <color rgb="FF000000"/>
        <rFont val="Cambria"/>
        <family val="0"/>
        <charset val="1"/>
      </rPr>
      <t xml:space="preserve">Brecht et son épouse Hélene Veigel fondent le Berliner ensemble à Berlin-Est. Ils créent </t>
    </r>
    <r>
      <rPr>
        <i val="true"/>
        <sz val="1000"/>
        <color rgb="FF000000"/>
        <rFont val="Arial"/>
        <family val="2"/>
        <charset val="1"/>
      </rPr>
      <t xml:space="preserve">Mère Courage et ses enfants</t>
    </r>
    <r>
      <rPr>
        <sz val="1000"/>
        <color rgb="FF000000"/>
        <rFont val="Arial"/>
        <family val="2"/>
        <charset val="1"/>
      </rPr>
      <t xml:space="preserve">.Thomas Mann donne des conférences en RFA et RDA, sujet du film de Pawlikoski </t>
    </r>
    <r>
      <rPr>
        <i val="true"/>
        <sz val="1000"/>
        <color rgb="FF000000"/>
        <rFont val="Arial"/>
        <family val="2"/>
        <charset val="1"/>
      </rPr>
      <t xml:space="preserve">Fatherland</t>
    </r>
    <r>
      <rPr>
        <sz val="1000"/>
        <color rgb="FF000000"/>
        <rFont val="Arial"/>
        <family val="2"/>
        <charset val="1"/>
      </rPr>
      <t xml:space="preserve"> (2026). </t>
    </r>
  </si>
  <si>
    <t xml:space="preserve">Bande Annonce de Fatherland de Pavel Pawlikoski</t>
  </si>
  <si>
    <t xml:space="preserve">La mère de Fassbinder est hospitalisée pour cause de tuberculose. </t>
  </si>
  <si>
    <t xml:space="preserve">,,,,,,,,,,,,,,,,,,,,,,,,,,,,,,,,,,,,,,,,,,,,,,,,,,,,,,,,,,,,,,,,,,,,,,,,,,,,,,,,,,,,,,,,,,,,,,,,,,,,,,,,,,,,,,,,,,,,,,,,,,,,,,,,,,,,,,,,,,,,,,,,,,,,,,,,,,,,,,,,,,,,,,,,,,,,,,,,,,,,,,,,,,,,,,,,,,,,,,,,,,,,,,,,,,,,,,,,,,,,,</t>
  </si>
  <si>
    <t xml:space="preserve">Création du Traité de "la communauté du charbon et de l'acier", début de la construction européenne autour de 6 pays. </t>
  </si>
  <si>
    <t xml:space="preserve">Divorce des parents. Le père de RWF s'installe à Cologne. RWF reste à Munich avec sa mère. </t>
  </si>
  <si>
    <t xml:space="preserve">Traité de réparation avec Israël signé par Adenauer. </t>
  </si>
  <si>
    <t xml:space="preserve">Première émission de télévision dans le nord et l'ouest de la RFA</t>
  </si>
  <si>
    <t xml:space="preserve">La mère de RWF l'inscrit dans une école Rudolf Steiner. Nbx séjours de la mère à l'hopital ou en sanatorium. RWF est confié à des voisins ou parents. Il commence à fréquenter assidument les salles de cinéma. </t>
  </si>
  <si>
    <t xml:space="preserve">Fassbinder_enfant.jpeg</t>
  </si>
  <si>
    <t xml:space="preserve">Révolte des ouvriers berlinois écrasée par les chars soviétiques. </t>
  </si>
  <si>
    <t xml:space="preserve">Premiers concerts de rock'n'roll en RFA à Hambourg et Francfort.</t>
  </si>
  <si>
    <t xml:space="preserve">La RFA devient un état souverain, doté de sa propre armée. Elle est admise au sein de l'OTAN. Les premiers travailleurs immigrés commencent à arriver de Grèce et d'Italie pour soutenir le "miracle économique. </t>
  </si>
  <si>
    <r>
      <rPr>
        <i val="true"/>
        <sz val="1000"/>
        <color rgb="FF000000"/>
        <rFont val="Arial"/>
        <family val="2"/>
        <charset val="1"/>
      </rPr>
      <t xml:space="preserve">Sissi</t>
    </r>
    <r>
      <rPr>
        <sz val="1000"/>
        <color rgb="FF000000"/>
        <rFont val="Arial"/>
        <family val="2"/>
        <charset val="1"/>
      </rPr>
      <t xml:space="preserve"> d'Ernst Marischka avec Romy Schneider et Karlheinz Böhm, qui deviendra un acteur récurrent du cinéma de Fassbinder </t>
    </r>
  </si>
  <si>
    <t xml:space="preserve">Bande Annonce de Sissi (1955)</t>
  </si>
  <si>
    <t xml:space="preserve">Karlheinz Böhm</t>
  </si>
  <si>
    <t xml:space="preserve">RWF est lycéen à Munich. </t>
  </si>
  <si>
    <t xml:space="preserve">RWF est pensionnaire à Augsbourg, sa mère étant hospitalisée pendant près de deux ans à la suite d'une opération. Il continue à fréquenter les salles obscures. </t>
  </si>
  <si>
    <r>
      <rPr>
        <sz val="1000"/>
        <color rgb="FF000000"/>
        <rFont val="Cambria"/>
        <family val="0"/>
        <charset val="1"/>
      </rPr>
      <t xml:space="preserve">Première lecture de</t>
    </r>
    <r>
      <rPr>
        <i val="true"/>
        <sz val="1000"/>
        <color rgb="FF000000"/>
        <rFont val="Arial"/>
        <family val="2"/>
        <charset val="1"/>
      </rPr>
      <t xml:space="preserve"> Berlin Alexanderplatz</t>
    </r>
    <r>
      <rPr>
        <sz val="1000"/>
        <color rgb="FF000000"/>
        <rFont val="Arial"/>
        <family val="2"/>
        <charset val="1"/>
      </rPr>
      <t xml:space="preserve"> d'Alfred Döblin (1929)vers 14 ans.</t>
    </r>
  </si>
  <si>
    <t xml:space="preserve">RWF commence à écrire des nouvelles et de petites pièces de théâtre</t>
  </si>
  <si>
    <t xml:space="preserve">Échec au concours d'entrée de la DFFB. Rencontre Hanna Schygulla et Irm Hermann dans un cours d'art dramatique. </t>
  </si>
  <si>
    <t xml:space="preserve">Manifeste d'Oberhausen (1962) : naissance du Nouveau Cinéma Allemand ("Le vieux cinéma est mort"). </t>
  </si>
  <si>
    <t xml:space="preserve">Rejoint l'Action-Theater (1967).</t>
  </si>
  <si>
    <t xml:space="preserve">Premier film accueili froidement à Berlin. Le second est une critique de la xénophobie et de l'apathie bourgeoise</t>
  </si>
  <si>
    <t xml:space="preserve">Fondation du Filmverlag der Autoren (1971). Accords Film-Télévision (1974) favorisant les coproductions (WDR).</t>
  </si>
  <si>
    <t xml:space="preserve">Découverte des mélodrames de Douglas Sirk . Période Sirkienne : Le Marchand des quatre saisons (1971). Tous les autres s'appellent Ali (1974, succès mondial à Cannes) : critique du racisme ordinaire. Martha (1974).</t>
  </si>
  <si>
    <t xml:space="preserve">Maria_braun.jpeg</t>
  </si>
  <si>
    <r>
      <rPr>
        <sz val="1000"/>
        <color rgb="FF000000"/>
        <rFont val="Cambria"/>
        <family val="0"/>
        <charset val="1"/>
      </rPr>
      <t xml:space="preserve">Affiche du </t>
    </r>
    <r>
      <rPr>
        <i val="true"/>
        <sz val="1000"/>
        <color rgb="FF000000"/>
        <rFont val="Arial"/>
        <family val="2"/>
        <charset val="1"/>
      </rPr>
      <t xml:space="preserve">Mariage de Maria Braun</t>
    </r>
  </si>
  <si>
    <t xml:space="preserve">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</si>
  <si>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t xml:space="preserve">Titre canonique</t>
  </si>
  <si>
    <t xml:space="preserve">ID canonique</t>
  </si>
  <si>
    <t xml:space="preserve">L’Amour est plus froid que la mort</t>
  </si>
  <si>
    <t xml:space="preserve">film-1969-l-amour-est-plus-froid-que-la-mort</t>
  </si>
  <si>
    <t xml:space="preserve">Le Bouc</t>
  </si>
  <si>
    <t xml:space="preserve">film-1969-le-bouc</t>
  </si>
  <si>
    <t xml:space="preserve">Les Dieux de la peste</t>
  </si>
  <si>
    <t xml:space="preserve">film-1970-les-dieux-de-la-peste</t>
  </si>
  <si>
    <t xml:space="preserve">Pourquoi M. R. est-il atteint de folie meurtrière ?</t>
  </si>
  <si>
    <t xml:space="preserve">film-1970-pourquoi-m-r-est-il-atteint-de-folie-meurtriere</t>
  </si>
  <si>
    <t xml:space="preserve">Le Soldat américain</t>
  </si>
  <si>
    <t xml:space="preserve">film-1970-le-soldat-americain</t>
  </si>
  <si>
    <t xml:space="preserve">Le Voyage à Niklashausen</t>
  </si>
  <si>
    <t xml:space="preserve">film-1970-le-voyage-a-niklashausen</t>
  </si>
  <si>
    <t xml:space="preserve">Whity</t>
  </si>
  <si>
    <t xml:space="preserve">film-1971-whity</t>
  </si>
  <si>
    <t xml:space="preserve">Prenez garde à la sainte putain</t>
  </si>
  <si>
    <t xml:space="preserve">film-1971-prenez-garde-a-la-sainte-putain</t>
  </si>
  <si>
    <t xml:space="preserve">Pionniers à Ingolstadt</t>
  </si>
  <si>
    <t xml:space="preserve">film-1971-pionniers-a-ingolstadt</t>
  </si>
  <si>
    <t xml:space="preserve">Le Marchand des quatre saisons</t>
  </si>
  <si>
    <t xml:space="preserve">film-1972-le-marchand-des-quatre-saisons</t>
  </si>
  <si>
    <t xml:space="preserve">Les Larmes amères de Petra von Kant</t>
  </si>
  <si>
    <t xml:space="preserve">film-1972-les-larmes-ameres-de-petra-von-kant</t>
  </si>
  <si>
    <t xml:space="preserve">Liberté à Brême</t>
  </si>
  <si>
    <t xml:space="preserve">film-1972-liberte-a-breme</t>
  </si>
  <si>
    <t xml:space="preserve">Huit heures ne font pas un jour</t>
  </si>
  <si>
    <t xml:space="preserve">film-1972-huit-heures-ne-font-pas-un-jour</t>
  </si>
  <si>
    <t xml:space="preserve">Gibier de passage</t>
  </si>
  <si>
    <t xml:space="preserve">film-1973-gibier-de-passage</t>
  </si>
  <si>
    <t xml:space="preserve">Le Monde sur un fil</t>
  </si>
  <si>
    <t xml:space="preserve">film-1973-le-monde-sur-un-fil</t>
  </si>
  <si>
    <t xml:space="preserve">Tous les autres s’appellent Ali</t>
  </si>
  <si>
    <t xml:space="preserve">film-1974-tous-les-autres-s-appellent-ali</t>
  </si>
  <si>
    <t xml:space="preserve">Effi Briest</t>
  </si>
  <si>
    <t xml:space="preserve">film-1974-effi-briest</t>
  </si>
  <si>
    <t xml:space="preserve">Nora Helmer</t>
  </si>
  <si>
    <t xml:space="preserve">film-1974-nora-helmer</t>
  </si>
  <si>
    <t xml:space="preserve">Martha</t>
  </si>
  <si>
    <t xml:space="preserve">film-1974-martha</t>
  </si>
  <si>
    <t xml:space="preserve">Le Droit du plus fort</t>
  </si>
  <si>
    <t xml:space="preserve">film-1975-le-droit-du-plus-fort</t>
  </si>
  <si>
    <t xml:space="preserve">Maman Küsters s’en va au ciel</t>
  </si>
  <si>
    <t xml:space="preserve">film-1975-maman-kusters-s-en-va-au-ciel</t>
  </si>
  <si>
    <t xml:space="preserve">Comme un oiseau sur le fil</t>
  </si>
  <si>
    <t xml:space="preserve">film-1975-comme-un-oiseau-sur-le-fil</t>
  </si>
  <si>
    <t xml:space="preserve">Peur de la peur</t>
  </si>
  <si>
    <t xml:space="preserve">film-1975-peur-de-la-peur</t>
  </si>
  <si>
    <t xml:space="preserve">L’Ombre des anges</t>
  </si>
  <si>
    <t xml:space="preserve">film-1976-l-ombre-des-anges</t>
  </si>
  <si>
    <t xml:space="preserve">Le Rôti de Satan</t>
  </si>
  <si>
    <t xml:space="preserve">film-1976-le-roti-de-satan</t>
  </si>
  <si>
    <t xml:space="preserve">Roulette chinoise</t>
  </si>
  <si>
    <t xml:space="preserve">film-1976-roulette-chinoise</t>
  </si>
  <si>
    <t xml:space="preserve">Je veux seulement que vous m’aimiez</t>
  </si>
  <si>
    <t xml:space="preserve">film-1976-je-veux-seulement-que-vous-m-aimiez</t>
  </si>
  <si>
    <t xml:space="preserve">Femmes à New York</t>
  </si>
  <si>
    <t xml:space="preserve">film-1977-femmes-a-new-york</t>
  </si>
  <si>
    <t xml:space="preserve">La Femme du chef de gare</t>
  </si>
  <si>
    <t xml:space="preserve">film-1977-la-femme-du-chef-de-gare</t>
  </si>
  <si>
    <t xml:space="preserve">L’Allemagne en automne</t>
  </si>
  <si>
    <t xml:space="preserve">film-1978-l-allemagne-en-automne</t>
  </si>
  <si>
    <t xml:space="preserve">Despair</t>
  </si>
  <si>
    <t xml:space="preserve">film-1978-despair</t>
  </si>
  <si>
    <t xml:space="preserve">L’Année des treize lunes</t>
  </si>
  <si>
    <t xml:space="preserve">film-1978-l-annee-des-treize-lunes</t>
  </si>
  <si>
    <t xml:space="preserve">Le Mariage de Maria Braun</t>
  </si>
  <si>
    <t xml:space="preserve">film-1979-le-mariage-de-maria-braun</t>
  </si>
  <si>
    <t xml:space="preserve">La Troisième génération</t>
  </si>
  <si>
    <t xml:space="preserve">film-1979-la-troisieme-generation</t>
  </si>
  <si>
    <t xml:space="preserve">Berlin Alexanderplatz</t>
  </si>
  <si>
    <t xml:space="preserve">film-1980-berlin-alexanderplatz</t>
  </si>
  <si>
    <t xml:space="preserve">Lili Marleen</t>
  </si>
  <si>
    <t xml:space="preserve">film-1981-lili-marleen</t>
  </si>
  <si>
    <t xml:space="preserve">Théâtre en transe</t>
  </si>
  <si>
    <t xml:space="preserve">film-1981-theatre-en-transe</t>
  </si>
  <si>
    <t xml:space="preserve">Lola, une femme allemande</t>
  </si>
  <si>
    <t xml:space="preserve">film-1981-lola-une-femme-allemande</t>
  </si>
  <si>
    <t xml:space="preserve">Le Secret de Veronika Voss</t>
  </si>
  <si>
    <t xml:space="preserve">film-1981-le-secret-de-veronika-voss</t>
  </si>
  <si>
    <t xml:space="preserve">Querelle</t>
  </si>
  <si>
    <t xml:space="preserve">film-1982-querelle</t>
  </si>
  <si>
    <t xml:space="preserve">RWF_Frise — IDs automatiques</t>
  </si>
  <si>
    <t xml:space="preserve">Principe</t>
  </si>
  <si>
    <t xml:space="preserve">Les colonnes IDs films — Œuvres sont calculées à partir des titres canoniques présents dans Œuvres.</t>
  </si>
  <si>
    <t xml:space="preserve">Saisie</t>
  </si>
  <si>
    <t xml:space="preserve">Employer les titres français canoniques du référentiel. Plusieurs titres peuvent figurer dans la même cellule.</t>
  </si>
  <si>
    <t xml:space="preserve">Absence d’ID</t>
  </si>
  <si>
    <t xml:space="preserve">Une œuvre absente du référentiel Films reste sans ID : aucun identifiant n’est inventé.</t>
  </si>
  <si>
    <t xml:space="preserve">Mise à jour</t>
  </si>
  <si>
    <t xml:space="preserve">Lorsqu’une nouvelle fiche Film est créée, ajouter son titre et son ID dans Référentiel films.</t>
  </si>
</sst>
</file>

<file path=xl/styles.xml><?xml version="1.0" encoding="utf-8"?>
<styleSheet xmlns="http://schemas.openxmlformats.org/spreadsheetml/2006/main">
  <numFmts count="1">
    <numFmt numFmtId="164" formatCode="General"/>
  </numFmts>
  <fonts count="15">
    <font>
      <sz val="10"/>
      <name val="Arial"/>
      <family val="2"/>
    </font>
    <font>
      <sz val="10"/>
      <name val="Arial"/>
      <family val="0"/>
    </font>
    <font>
      <sz val="10"/>
      <name val="Arial"/>
      <family val="0"/>
    </font>
    <font>
      <sz val="10"/>
      <name val="Arial"/>
      <family val="0"/>
    </font>
    <font>
      <sz val="12"/>
      <color theme="10"/>
      <name val="Aptos Narrow"/>
      <family val="0"/>
      <charset val="1"/>
    </font>
    <font>
      <sz val="12"/>
      <color theme="1"/>
      <name val="Aptos Narrow"/>
      <family val="0"/>
      <charset val="1"/>
    </font>
    <font>
      <sz val="10"/>
      <color theme="1"/>
      <name val="Arial"/>
      <family val="0"/>
      <charset val="1"/>
    </font>
    <font>
      <sz val="12"/>
      <color rgb="FF1F4E78"/>
      <name val="Aptos Narrow"/>
      <family val="0"/>
      <charset val="1"/>
    </font>
    <font>
      <sz val="10"/>
      <color rgb="FF1F4E78"/>
      <name val="Arial"/>
      <family val="0"/>
      <charset val="1"/>
    </font>
    <font>
      <sz val="10"/>
      <color theme="0"/>
      <name val="Arial"/>
      <family val="0"/>
      <charset val="1"/>
    </font>
    <font>
      <sz val="10"/>
      <color rgb="FF000000"/>
      <name val="Cambria"/>
      <family val="0"/>
      <charset val="1"/>
    </font>
    <font>
      <i val="true"/>
      <sz val="10"/>
      <color rgb="FF000000"/>
      <name val="Arial"/>
      <family val="2"/>
      <charset val="1"/>
    </font>
    <font>
      <sz val="10"/>
      <color rgb="FF000000"/>
      <name val="Arial"/>
      <family val="2"/>
      <charset val="1"/>
    </font>
    <font>
      <b val="true"/>
      <sz val="15"/>
      <color rgb="FFFFFFFF"/>
      <name val="Aptos Narrow"/>
      <family val="0"/>
      <charset val="1"/>
    </font>
    <font>
      <b val="true"/>
      <sz val="12"/>
      <color rgb="FF1F4E78"/>
      <name val="Aptos Narrow"/>
      <family val="0"/>
      <charset val="1"/>
    </font>
  </fonts>
  <fills count="6">
    <fill>
      <patternFill patternType="none"/>
    </fill>
    <fill>
      <patternFill patternType="gray125"/>
    </fill>
    <fill>
      <patternFill patternType="solid">
        <fgColor rgb="FFEEF5FA"/>
        <bgColor rgb="FFF2F7FB"/>
      </patternFill>
    </fill>
    <fill>
      <patternFill patternType="solid">
        <fgColor rgb="FFF2F7FB"/>
        <bgColor rgb="FFEEF5FA"/>
      </patternFill>
    </fill>
    <fill>
      <patternFill patternType="solid">
        <fgColor rgb="FF1F4E78"/>
        <bgColor rgb="FF003366"/>
      </patternFill>
    </fill>
    <fill>
      <patternFill patternType="solid">
        <fgColor rgb="FFD9EAF4"/>
        <bgColor rgb="FFEEF5FA"/>
      </patternFill>
    </fill>
  </fills>
  <borders count="1">
    <border diagonalUp="false" diagonalDown="false">
      <left/>
      <right/>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21" applyFont="true" applyBorder="false" applyAlignment="true" applyProtection="false">
      <alignment horizontal="general" vertical="top" textRotation="0" wrapText="true" indent="0" shrinkToFit="false"/>
      <protection locked="true" hidden="false"/>
    </xf>
    <xf numFmtId="164" fontId="7" fillId="2" borderId="0" xfId="21" applyFont="true" applyBorder="true" applyAlignment="true" applyProtection="false">
      <alignment horizontal="general" vertical="bottom" textRotation="0" wrapText="true" indent="0" shrinkToFit="false"/>
      <protection locked="true" hidden="false"/>
    </xf>
    <xf numFmtId="164" fontId="4" fillId="0" borderId="0" xfId="20" applyFont="true" applyBorder="false" applyAlignment="true" applyProtection="false">
      <alignment horizontal="general" vertical="bottom" textRotation="0" wrapText="true" indent="0" shrinkToFit="false"/>
      <protection locked="true" hidden="false"/>
    </xf>
    <xf numFmtId="164" fontId="8" fillId="2" borderId="0" xfId="21" applyFont="true" applyBorder="true" applyAlignment="true" applyProtection="false">
      <alignment horizontal="general" vertical="top" textRotation="0" wrapText="true" indent="0" shrinkToFit="false"/>
      <protection locked="true" hidden="false"/>
    </xf>
    <xf numFmtId="164" fontId="5" fillId="0" borderId="0" xfId="21" applyFont="true" applyBorder="false" applyAlignment="true" applyProtection="false">
      <alignment horizontal="general" vertical="top" textRotation="0" wrapText="true" indent="0" shrinkToFit="false"/>
      <protection locked="true" hidden="false"/>
    </xf>
    <xf numFmtId="164" fontId="5" fillId="0" borderId="0" xfId="21" applyFont="true" applyBorder="false" applyAlignment="true" applyProtection="false">
      <alignment horizontal="left" vertical="top" textRotation="0" wrapText="true" indent="0" shrinkToFit="false"/>
      <protection locked="true" hidden="false"/>
    </xf>
    <xf numFmtId="164" fontId="5" fillId="0" borderId="0" xfId="21" applyFont="true" applyBorder="false" applyAlignment="true" applyProtection="false">
      <alignment horizontal="general" vertical="bottom" textRotation="0" wrapText="true" indent="0" shrinkToFit="false"/>
      <protection locked="true" hidden="false"/>
    </xf>
    <xf numFmtId="164" fontId="9" fillId="0" borderId="0" xfId="21" applyFont="true" applyBorder="false" applyAlignment="true" applyProtection="false">
      <alignment horizontal="general" vertical="top" textRotation="0" wrapText="true" indent="0" shrinkToFit="false"/>
      <protection locked="true" hidden="false"/>
    </xf>
    <xf numFmtId="164" fontId="5" fillId="0" borderId="0" xfId="21" applyFont="false" applyBorder="false" applyAlignment="true" applyProtection="false">
      <alignment horizontal="general" vertical="top" textRotation="0" wrapText="false" indent="0" shrinkToFit="false"/>
      <protection locked="true" hidden="false"/>
    </xf>
    <xf numFmtId="164" fontId="10" fillId="0" borderId="0" xfId="21" applyFont="true" applyBorder="false" applyAlignment="true" applyProtection="false">
      <alignment horizontal="general" vertical="top" textRotation="0" wrapText="true" indent="0" shrinkToFit="false"/>
      <protection locked="true" hidden="false"/>
    </xf>
    <xf numFmtId="164" fontId="11" fillId="0" borderId="0" xfId="21" applyFont="true" applyBorder="false" applyAlignment="true" applyProtection="false">
      <alignment horizontal="general" vertical="top" textRotation="0" wrapText="true" indent="0" shrinkToFit="false"/>
      <protection locked="true" hidden="false"/>
    </xf>
    <xf numFmtId="164" fontId="6" fillId="0" borderId="0" xfId="21" applyFont="true" applyBorder="false" applyAlignment="true" applyProtection="false">
      <alignment horizontal="general" vertical="bottom" textRotation="0" wrapText="true" indent="0" shrinkToFit="false"/>
      <protection locked="true" hidden="false"/>
    </xf>
    <xf numFmtId="164" fontId="5" fillId="0" borderId="0" xfId="21" applyFont="true" applyBorder="true" applyAlignment="true" applyProtection="false">
      <alignment horizontal="general" vertical="bottom" textRotation="0" wrapText="true" indent="0" shrinkToFit="false"/>
      <protection locked="true" hidden="false"/>
    </xf>
    <xf numFmtId="164" fontId="5" fillId="3" borderId="0" xfId="21" applyFont="true" applyBorder="true" applyAlignment="true" applyProtection="false">
      <alignment horizontal="general" vertical="bottom" textRotation="0" wrapText="true" indent="0" shrinkToFit="false"/>
      <protection locked="true" hidden="false"/>
    </xf>
    <xf numFmtId="164" fontId="13" fillId="4" borderId="0" xfId="21" applyFont="true" applyBorder="true" applyAlignment="true" applyProtection="false">
      <alignment horizontal="general" vertical="bottom" textRotation="0" wrapText="true" indent="0" shrinkToFit="false"/>
      <protection locked="true" hidden="false"/>
    </xf>
    <xf numFmtId="164" fontId="14" fillId="5" borderId="0" xfId="21" applyFont="true" applyBorder="true" applyAlignment="true" applyProtection="false">
      <alignment horizontal="general" vertical="bottom" textRotation="0" wrapText="tru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Lien hypertexte" xfId="20"/>
    <cellStyle name="Normal" xfId="21"/>
  </cellStyles>
  <dxfs count="14">
    <dxf>
      <fill>
        <patternFill patternType="solid">
          <bgColor rgb="FF000000"/>
        </patternFill>
      </fill>
    </dxf>
    <dxf>
      <fill>
        <patternFill patternType="solid">
          <fgColor rgb="FF000000"/>
          <bgColor rgb="FF000000"/>
        </patternFill>
      </fill>
    </dxf>
    <dxf>
      <fill>
        <patternFill patternType="solid">
          <fgColor rgb="FFEEF5FA"/>
          <bgColor rgb="FF000000"/>
        </patternFill>
      </fill>
    </dxf>
    <dxf>
      <fill>
        <patternFill patternType="solid">
          <fgColor rgb="FF1F4E78"/>
          <bgColor rgb="FF000000"/>
        </patternFill>
      </fill>
    </dxf>
    <dxf>
      <fill>
        <patternFill patternType="solid">
          <fgColor rgb="FF467886"/>
          <bgColor rgb="FF000000"/>
        </patternFill>
      </fill>
    </dxf>
    <dxf>
      <fill>
        <patternFill patternType="solid">
          <fgColor rgb="FFFFFFFF"/>
          <bgColor rgb="FF000000"/>
        </patternFill>
      </fill>
    </dxf>
    <dxf>
      <fill>
        <patternFill patternType="solid">
          <fgColor rgb="FFF2F7FB"/>
          <bgColor rgb="FF000000"/>
        </patternFill>
      </fill>
    </dxf>
    <dxf>
      <font>
        <color rgb="FF000000"/>
      </font>
      <border diagonalUp="false" diagonalDown="false">
        <left style="thin">
          <color theme="1"/>
        </left>
        <right style="thin">
          <color theme="1"/>
        </right>
        <top style="thin">
          <color theme="1"/>
        </top>
        <bottom style="thin">
          <color theme="1"/>
        </bottom>
        <diagonal/>
      </border>
    </dxf>
    <dxf>
      <fill>
        <patternFill>
          <bgColor theme="0" tint="-0.15"/>
        </patternFill>
      </fill>
    </dxf>
    <dxf>
      <fill>
        <patternFill>
          <bgColor theme="0" tint="-0.15"/>
        </patternFill>
      </fill>
    </dxf>
    <dxf>
      <font>
        <b val="1"/>
        <color rgb="FF000000"/>
      </font>
    </dxf>
    <dxf>
      <font>
        <b val="1"/>
        <color rgb="FF000000"/>
      </font>
    </dxf>
    <dxf>
      <font>
        <b val="1"/>
        <color rgb="FFFFFFFF"/>
      </font>
      <fill>
        <patternFill>
          <bgColor theme="1"/>
        </patternFill>
      </fill>
    </dxf>
    <dxf>
      <font>
        <b val="1"/>
        <color rgb="FF000000"/>
      </font>
      <border diagonalUp="false" diagonalDown="false">
        <left/>
        <right/>
        <top style="double">
          <color theme="1"/>
        </top>
        <bottom/>
        <diagonal/>
      </border>
    </dxf>
  </dxfs>
  <tableStyles count="1">
    <tableStyle count="7" name="TableStyleMedium1">
      <tableStyleElement dxfId="7" type="wholeTable"/>
      <tableStyleElement dxfId="8" type="firstColumnStripe"/>
      <tableStyleElement dxfId="9" type="firstRowStripe"/>
      <tableStyleElement dxfId="10" type="lastColumn"/>
      <tableStyleElement dxfId="11" type="firstColumn"/>
      <tableStyleElement dxfId="12" type="headerRow"/>
      <tableStyleElement dxfId="13" type="totalRow"/>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ReferentielFilmsFrise" displayName="ReferentielFilmsFrise" ref="A1:B41" headerRowCount="1" totalsRowCount="0" totalsRowShown="0">
  <tableColumns count="2">
    <tableColumn id="1" name="Titre canonique"/>
    <tableColumn id="2" name="ID canonique"/>
  </tableColumns>
  <tableStyleInfo name="TableStyleMedium1" showFirstColumn="0" showLastColumn="0" showRowStripes="1" showColumnStripes="0"/>
</table>
</file>

<file path=xl/tables/table2.xml><?xml version="1.0" encoding="utf-8"?>
<table xmlns="http://schemas.openxmlformats.org/spreadsheetml/2006/main" id="2" name="Tableau1" displayName="Tableau1" ref="A1:T25" headerRowCount="1" totalsRowCount="0" totalsRowShown="0">
  <autoFilter ref="A1:T25"/>
  <tableColumns count="20">
    <tableColumn id="1" name="Année"/>
    <tableColumn id="2" name="ID période"/>
    <tableColumn id="3" name="Événement histoire et politique"/>
    <tableColumn id="4" name="Contexte culturel"/>
    <tableColumn id="5" name="Biographie de Fassbinder"/>
    <tableColumn id="6" name="Oeuvre "/>
    <tableColumn id="7" name="Analyse et Réception critique"/>
    <tableColumn id="8" name="Lien vidéo"/>
    <tableColumn id="9" name="Extraits"/>
    <tableColumn id="10" name="Description de l'extrait"/>
    <tableColumn id="11" name="Consigne d'analyse"/>
    <tableColumn id="12" name="Citation"/>
    <tableColumn id="13" name="Image 1"/>
    <tableColumn id="14" name="Légende 1"/>
    <tableColumn id="15" name="Image 2"/>
    <tableColumn id="16" name="Légende 2"/>
    <tableColumn id="17" name="Image 3"/>
    <tableColumn id="18" name="Légende 3"/>
    <tableColumn id="19" name="Notion"/>
    <tableColumn id="20" name="Source"/>
  </tableColumns>
  <tableStyleInfo name="TableStyleMedium1" showFirstColumn="0" showLastColumn="0" showRowStripes="1" showColumnStripes="0"/>
</table>
</file>

<file path=xl/tables/table3.xml><?xml version="1.0" encoding="utf-8"?>
<table xmlns="http://schemas.openxmlformats.org/spreadsheetml/2006/main" id="3" name="Tableau2" displayName="Tableau2" ref="A1:N10" headerRowCount="1" totalsRowCount="0" totalsRowShown="0">
  <autoFilter ref="A1:N10"/>
  <tableColumns count="14">
    <tableColumn id="1" name="ID période"/>
    <tableColumn id="2" name="Titre période"/>
    <tableColumn id="3" name="question directrice"/>
    <tableColumn id="4" name="Événement histoire et politique"/>
    <tableColumn id="5" name="Contexte culturel"/>
    <tableColumn id="6" name="Biographie de Fassbinder"/>
    <tableColumn id="7" name="Œuvres"/>
    <tableColumn id="8" name="ID films - Œuvres"/>
    <tableColumn id="9" name="Analyse et réception critique"/>
    <tableColumn id="10" name="Lien vidéo"/>
    <tableColumn id="11" name="Citation"/>
    <tableColumn id="12" name="Image"/>
    <tableColumn id="13" name="Legende"/>
    <tableColumn id="14" name="Notion"/>
  </tableColumns>
  <tableStyleInfo name="TableStyleMedium1" showFirstColumn="0" showLastColumn="0" showRowStripes="1" showColumnStripes="0"/>
</table>
</file>

<file path=xl/theme/theme1.xml><?xml version="1.0" encoding="utf-8"?>
<a:theme xmlns:a="http://schemas.openxmlformats.org/drawingml/2006/main" xmlns:r="http://schemas.openxmlformats.org/officeDocument/2006/relationships"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youtu.be/kp-fpPFhwyU?si=I3f1RY_wqNXN_k0l" TargetMode="External"/><Relationship Id="rId2" Type="http://schemas.openxmlformats.org/officeDocument/2006/relationships/hyperlink" Target="https://www.youtube.com/watch?v=XOEZi6eGT60" TargetMode="External"/><Relationship Id="rId3" Type="http://schemas.openxmlformats.org/officeDocument/2006/relationships/table" Target="../tables/table3.xml"/>
</Relationships>
</file>

<file path=xl/worksheets/_rels/sheet2.xml.rels><?xml version="1.0" encoding="UTF-8"?>
<Relationships xmlns="http://schemas.openxmlformats.org/package/2006/relationships"><Relationship Id="rId1" Type="http://schemas.openxmlformats.org/officeDocument/2006/relationships/hyperlink" Target="https://youtu.be/kp-fpPFhwyU?si=C1WL9vXZBQ2rRfql" TargetMode="External"/><Relationship Id="rId2" Type="http://schemas.openxmlformats.org/officeDocument/2006/relationships/hyperlink" Target="https://youtu.be/Fl7QGI6R0PU?si=dJe7Hw-LQki1uquU" TargetMode="External"/><Relationship Id="rId3" Type="http://schemas.openxmlformats.org/officeDocument/2006/relationships/hyperlink" Target="https://www.youtube.com/watch?v=n94PjCv9HHI" TargetMode="External"/><Relationship Id="rId4" Type="http://schemas.openxmlformats.org/officeDocument/2006/relationships/hyperlink" Target="https://youtu.be/SOWsLVl7zG4?si=HJ-3Bd1iMfxALCeK" TargetMode="External"/><Relationship Id="rId5" Type="http://schemas.openxmlformats.org/officeDocument/2006/relationships/hyperlink" Target="https://youtu.be/Re2pxEMbZtA?si=l6bk_kzEIePjcE5M" TargetMode="External"/><Relationship Id="rId6"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3.01953125" defaultRowHeight="16" customHeight="false" zeroHeight="false" outlineLevelRow="0" outlineLevelCol="0"/>
  <cols>
    <col collapsed="false" customWidth="true" hidden="false" outlineLevel="0" max="3" min="1" style="0" width="31.88"/>
    <col collapsed="false" customWidth="true" hidden="false" outlineLevel="0" max="4" min="4" style="0" width="35.58"/>
    <col collapsed="false" customWidth="true" hidden="false" outlineLevel="0" max="5" min="5" style="0" width="42.37"/>
    <col collapsed="false" customWidth="true" hidden="false" outlineLevel="0" max="8" min="6" style="0" width="31.88"/>
    <col collapsed="false" customWidth="true" hidden="false" outlineLevel="0" max="9" min="9" style="0" width="33.33"/>
    <col collapsed="false" customWidth="true" hidden="false" outlineLevel="0" max="10" min="10" style="0" width="24.88"/>
    <col collapsed="false" customWidth="true" hidden="false" outlineLevel="0" max="11" min="11" style="0" width="37.03"/>
    <col collapsed="false" customWidth="true" hidden="false" outlineLevel="0" max="14" min="12" style="0" width="27.15"/>
  </cols>
  <sheetData>
    <row r="1" customFormat="false" ht="28"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84" hidden="false" customHeight="true" outlineLevel="0" collapsed="false">
      <c r="A2" s="1" t="s">
        <v>14</v>
      </c>
      <c r="B2" s="1" t="s">
        <v>15</v>
      </c>
      <c r="C2" s="1" t="s">
        <v>16</v>
      </c>
      <c r="D2" s="1" t="s">
        <v>17</v>
      </c>
      <c r="E2" s="1" t="s">
        <v>18</v>
      </c>
      <c r="F2" s="1" t="s">
        <v>19</v>
      </c>
      <c r="H2" s="2" t="str">
        <f aca="false">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 t="s">
        <v>20</v>
      </c>
      <c r="J2" s="3" t="s">
        <v>21</v>
      </c>
      <c r="L2" s="0" t="s">
        <v>22</v>
      </c>
      <c r="M2" s="0" t="s">
        <v>23</v>
      </c>
    </row>
    <row r="3" customFormat="false" ht="98" hidden="false" customHeight="true" outlineLevel="0" collapsed="false">
      <c r="A3" s="1" t="s">
        <v>24</v>
      </c>
      <c r="B3" s="1" t="s">
        <v>25</v>
      </c>
      <c r="C3" s="1"/>
      <c r="D3" s="1" t="s">
        <v>26</v>
      </c>
      <c r="E3" s="1" t="s">
        <v>27</v>
      </c>
      <c r="F3" s="1" t="s">
        <v>28</v>
      </c>
      <c r="G3" s="1"/>
      <c r="H3" s="4" t="str">
        <f aca="false">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29</v>
      </c>
    </row>
    <row r="4" customFormat="false" ht="84" hidden="false" customHeight="true" outlineLevel="0" collapsed="false">
      <c r="A4" s="1" t="s">
        <v>30</v>
      </c>
      <c r="B4" s="1" t="s">
        <v>31</v>
      </c>
      <c r="C4" s="1"/>
      <c r="D4" s="1" t="s">
        <v>32</v>
      </c>
      <c r="E4" s="1" t="s">
        <v>33</v>
      </c>
      <c r="F4" s="1" t="s">
        <v>34</v>
      </c>
      <c r="G4" s="1" t="s">
        <v>35</v>
      </c>
      <c r="H4" s="4" t="str">
        <f aca="false">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J4" s="3" t="s">
        <v>36</v>
      </c>
      <c r="K4" s="5" t="s">
        <v>37</v>
      </c>
    </row>
    <row r="5" customFormat="false" ht="85" hidden="false" customHeight="true" outlineLevel="0" collapsed="false">
      <c r="A5" s="1" t="s">
        <v>38</v>
      </c>
      <c r="B5" s="1" t="s">
        <v>39</v>
      </c>
      <c r="C5" s="1"/>
      <c r="D5" s="1" t="s">
        <v>40</v>
      </c>
      <c r="E5" s="1" t="s">
        <v>41</v>
      </c>
      <c r="F5" s="1" t="s">
        <v>42</v>
      </c>
      <c r="G5" s="1" t="s">
        <v>43</v>
      </c>
      <c r="H5" s="4" t="str">
        <f aca="false">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v>
      </c>
      <c r="I5" s="6" t="s">
        <v>44</v>
      </c>
    </row>
    <row r="6" customFormat="false" ht="98" hidden="false" customHeight="true" outlineLevel="0" collapsed="false">
      <c r="A6" s="1" t="s">
        <v>45</v>
      </c>
      <c r="B6" s="1" t="s">
        <v>46</v>
      </c>
      <c r="C6" s="1"/>
      <c r="D6" s="1" t="s">
        <v>47</v>
      </c>
      <c r="E6" s="1" t="s">
        <v>48</v>
      </c>
      <c r="F6" s="1" t="s">
        <v>49</v>
      </c>
      <c r="G6" s="1" t="s">
        <v>50</v>
      </c>
      <c r="H6" s="4" t="str">
        <f aca="false">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film-1972-le-marchand-des-quatre-saisons; film-1974-tous-les-autres-s-appellent-ali; film-1974-martha</v>
      </c>
      <c r="I6" s="1"/>
    </row>
    <row r="7" customFormat="false" ht="70" hidden="false" customHeight="true" outlineLevel="0" collapsed="false">
      <c r="A7" s="1" t="s">
        <v>51</v>
      </c>
      <c r="B7" s="1" t="s">
        <v>52</v>
      </c>
      <c r="C7" s="1"/>
      <c r="D7" s="1" t="s">
        <v>53</v>
      </c>
      <c r="E7" s="1" t="s">
        <v>54</v>
      </c>
      <c r="F7" s="1" t="s">
        <v>55</v>
      </c>
      <c r="G7" s="1" t="s">
        <v>56</v>
      </c>
      <c r="H7" s="4" t="str">
        <f aca="false">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film-1975-le-droit-du-plus-fort; film-1975-maman-kusters-s-en-va-au-ciel</v>
      </c>
      <c r="I7" s="7" t="s">
        <v>57</v>
      </c>
    </row>
    <row r="8" customFormat="false" ht="84" hidden="false" customHeight="true" outlineLevel="0" collapsed="false">
      <c r="A8" s="1" t="s">
        <v>58</v>
      </c>
      <c r="B8" s="1"/>
      <c r="C8" s="1"/>
      <c r="D8" s="1" t="s">
        <v>59</v>
      </c>
      <c r="E8" s="1" t="s">
        <v>60</v>
      </c>
      <c r="F8" s="1" t="s">
        <v>61</v>
      </c>
      <c r="G8" s="1" t="s">
        <v>62</v>
      </c>
      <c r="H8" s="4" t="str">
        <f aca="false">IF(G8="","",_xlfn.TEXTJOIN("; ",TRUE(),IF(ISNUMBER(SEARCH(SUBSTITUTE('Référentiel films'!$A$2,"’","'"),SUBSTITUTE(G8,"’","'"))),'Référentiel films'!$B$2,""),IF(ISNUMBER(SEARCH(SUBSTITUTE('Référentiel films'!$A$3,"’","'"),SUBSTITUTE(G8,"’","'"))),'Référentiel films'!$B$3,""),IF(ISNUMBER(SEARCH(SUBSTITUTE('Référentiel films'!$A$4,"’","'"),SUBSTITUTE(G8,"’","'"))),'Référentiel films'!$B$4,""),IF(ISNUMBER(SEARCH(SUBSTITUTE('Référentiel films'!$A$5,"’","'"),SUBSTITUTE(G8,"’","'"))),'Référentiel films'!$B$5,""),IF(ISNUMBER(SEARCH(SUBSTITUTE('Référentiel films'!$A$6,"’","'"),SUBSTITUTE(G8,"’","'"))),'Référentiel films'!$B$6,""),IF(ISNUMBER(SEARCH(SUBSTITUTE('Référentiel films'!$A$7,"’","'"),SUBSTITUTE(G8,"’","'"))),'Référentiel films'!$B$7,""),IF(ISNUMBER(SEARCH(SUBSTITUTE('Référentiel films'!$A$8,"’","'"),SUBSTITUTE(G8,"’","'"))),'Référentiel films'!$B$8,""),IF(ISNUMBER(SEARCH(SUBSTITUTE('Référentiel films'!$A$9,"’","'"),SUBSTITUTE(G8,"’","'"))),'Référentiel films'!$B$9,""),IF(ISNUMBER(SEARCH(SUBSTITUTE('Référentiel films'!$A$10,"’","'"),SUBSTITUTE(G8,"’","'"))),'Référentiel films'!$B$10,""),IF(ISNUMBER(SEARCH(SUBSTITUTE('Référentiel films'!$A$11,"’","'"),SUBSTITUTE(G8,"’","'"))),'Référentiel films'!$B$11,""),IF(ISNUMBER(SEARCH(SUBSTITUTE('Référentiel films'!$A$12,"’","'"),SUBSTITUTE(G8,"’","'"))),'Référentiel films'!$B$12,""),IF(ISNUMBER(SEARCH(SUBSTITUTE('Référentiel films'!$A$13,"’","'"),SUBSTITUTE(G8,"’","'"))),'Référentiel films'!$B$13,""),IF(ISNUMBER(SEARCH(SUBSTITUTE('Référentiel films'!$A$14,"’","'"),SUBSTITUTE(G8,"’","'"))),'Référentiel films'!$B$14,""),IF(ISNUMBER(SEARCH(SUBSTITUTE('Référentiel films'!$A$15,"’","'"),SUBSTITUTE(G8,"’","'"))),'Référentiel films'!$B$15,""),IF(ISNUMBER(SEARCH(SUBSTITUTE('Référentiel films'!$A$16,"’","'"),SUBSTITUTE(G8,"’","'"))),'Référentiel films'!$B$16,""),IF(ISNUMBER(SEARCH(SUBSTITUTE('Référentiel films'!$A$17,"’","'"),SUBSTITUTE(G8,"’","'"))),'Référentiel films'!$B$17,""),IF(ISNUMBER(SEARCH(SUBSTITUTE('Référentiel films'!$A$18,"’","'"),SUBSTITUTE(G8,"’","'"))),'Référentiel films'!$B$18,""),IF(ISNUMBER(SEARCH(SUBSTITUTE('Référentiel films'!$A$19,"’","'"),SUBSTITUTE(G8,"’","'"))),'Référentiel films'!$B$19,""),IF(ISNUMBER(SEARCH(SUBSTITUTE('Référentiel films'!$A$20,"’","'"),SUBSTITUTE(G8,"’","'"))),'Référentiel films'!$B$20,""),IF(ISNUMBER(SEARCH(SUBSTITUTE('Référentiel films'!$A$21,"’","'"),SUBSTITUTE(G8,"’","'"))),'Référentiel films'!$B$21,""),IF(ISNUMBER(SEARCH(SUBSTITUTE('Référentiel films'!$A$22,"’","'"),SUBSTITUTE(G8,"’","'"))),'Référentiel films'!$B$22,""),IF(ISNUMBER(SEARCH(SUBSTITUTE('Référentiel films'!$A$23,"’","'"),SUBSTITUTE(G8,"’","'"))),'Référentiel films'!$B$23,""),IF(ISNUMBER(SEARCH(SUBSTITUTE('Référentiel films'!$A$24,"’","'"),SUBSTITUTE(G8,"’","'"))),'Référentiel films'!$B$24,""),IF(ISNUMBER(SEARCH(SUBSTITUTE('Référentiel films'!$A$25,"’","'"),SUBSTITUTE(G8,"’","'"))),'Référentiel films'!$B$25,""),IF(ISNUMBER(SEARCH(SUBSTITUTE('Référentiel films'!$A$26,"’","'"),SUBSTITUTE(G8,"’","'"))),'Référentiel films'!$B$26,""),IF(ISNUMBER(SEARCH(SUBSTITUTE('Référentiel films'!$A$27,"’","'"),SUBSTITUTE(G8,"’","'"))),'Référentiel films'!$B$27,""),IF(ISNUMBER(SEARCH(SUBSTITUTE('Référentiel films'!$A$28,"’","'"),SUBSTITUTE(G8,"’","'"))),'Référentiel films'!$B$28,""),IF(ISNUMBER(SEARCH(SUBSTITUTE('Référentiel films'!$A$29,"’","'"),SUBSTITUTE(G8,"’","'"))),'Référentiel films'!$B$29,""),IF(ISNUMBER(SEARCH(SUBSTITUTE('Référentiel films'!$A$30,"’","'"),SUBSTITUTE(G8,"’","'"))),'Référentiel films'!$B$30,""),IF(ISNUMBER(SEARCH(SUBSTITUTE('Référentiel films'!$A$31,"’","'"),SUBSTITUTE(G8,"’","'"))),'Référentiel films'!$B$31,""),IF(ISNUMBER(SEARCH(SUBSTITUTE('Référentiel films'!$A$32,"’","'"),SUBSTITUTE(G8,"’","'"))),'Référentiel films'!$B$32,""),IF(ISNUMBER(SEARCH(SUBSTITUTE('Référentiel films'!$A$33,"’","'"),SUBSTITUTE(G8,"’","'"))),'Référentiel films'!$B$33,""),IF(ISNUMBER(SEARCH(SUBSTITUTE('Référentiel films'!$A$34,"’","'"),SUBSTITUTE(G8,"’","'"))),'Référentiel films'!$B$34,""),IF(ISNUMBER(SEARCH(SUBSTITUTE('Référentiel films'!$A$35,"’","'"),SUBSTITUTE(G8,"’","'"))),'Référentiel films'!$B$35,""),IF(ISNUMBER(SEARCH(SUBSTITUTE('Référentiel films'!$A$36,"’","'"),SUBSTITUTE(G8,"’","'"))),'Référentiel films'!$B$36,""),IF(ISNUMBER(SEARCH(SUBSTITUTE('Référentiel films'!$A$37,"’","'"),SUBSTITUTE(G8,"’","'"))),'Référentiel films'!$B$37,""),IF(ISNUMBER(SEARCH(SUBSTITUTE('Référentiel films'!$A$38,"’","'"),SUBSTITUTE(G8,"’","'"))),'Référentiel films'!$B$38,""),IF(ISNUMBER(SEARCH(SUBSTITUTE('Référentiel films'!$A$39,"’","'"),SUBSTITUTE(G8,"’","'"))),'Référentiel films'!$B$39,""),IF(ISNUMBER(SEARCH(SUBSTITUTE('Référentiel films'!$A$40,"’","'"),SUBSTITUTE(G8,"’","'"))),'Référentiel films'!$B$40,""),IF(ISNUMBER(SEARCH(SUBSTITUTE('Référentiel films'!$A$41,"’","'"),SUBSTITUTE(G8,"’","'"))),'Référentiel films'!$B$41,"")))</f>
        <v>film-1978-l-annee-des-treize-lunes; film-1979-le-mariage-de-maria-braun</v>
      </c>
      <c r="N8" s="0" t="s">
        <v>63</v>
      </c>
    </row>
    <row r="9" customFormat="false" ht="70" hidden="false" customHeight="true" outlineLevel="0" collapsed="false">
      <c r="A9" s="1" t="s">
        <v>64</v>
      </c>
      <c r="B9" s="1"/>
      <c r="C9" s="1"/>
      <c r="D9" s="1" t="s">
        <v>65</v>
      </c>
      <c r="E9" s="1" t="s">
        <v>66</v>
      </c>
      <c r="F9" s="1" t="s">
        <v>67</v>
      </c>
      <c r="G9" s="1" t="s">
        <v>68</v>
      </c>
      <c r="H9" s="4" t="str">
        <f aca="false">IF(G9="","",_xlfn.TEXTJOIN("; ",TRUE(),IF(ISNUMBER(SEARCH(SUBSTITUTE('Référentiel films'!$A$2,"’","'"),SUBSTITUTE(G9,"’","'"))),'Référentiel films'!$B$2,""),IF(ISNUMBER(SEARCH(SUBSTITUTE('Référentiel films'!$A$3,"’","'"),SUBSTITUTE(G9,"’","'"))),'Référentiel films'!$B$3,""),IF(ISNUMBER(SEARCH(SUBSTITUTE('Référentiel films'!$A$4,"’","'"),SUBSTITUTE(G9,"’","'"))),'Référentiel films'!$B$4,""),IF(ISNUMBER(SEARCH(SUBSTITUTE('Référentiel films'!$A$5,"’","'"),SUBSTITUTE(G9,"’","'"))),'Référentiel films'!$B$5,""),IF(ISNUMBER(SEARCH(SUBSTITUTE('Référentiel films'!$A$6,"’","'"),SUBSTITUTE(G9,"’","'"))),'Référentiel films'!$B$6,""),IF(ISNUMBER(SEARCH(SUBSTITUTE('Référentiel films'!$A$7,"’","'"),SUBSTITUTE(G9,"’","'"))),'Référentiel films'!$B$7,""),IF(ISNUMBER(SEARCH(SUBSTITUTE('Référentiel films'!$A$8,"’","'"),SUBSTITUTE(G9,"’","'"))),'Référentiel films'!$B$8,""),IF(ISNUMBER(SEARCH(SUBSTITUTE('Référentiel films'!$A$9,"’","'"),SUBSTITUTE(G9,"’","'"))),'Référentiel films'!$B$9,""),IF(ISNUMBER(SEARCH(SUBSTITUTE('Référentiel films'!$A$10,"’","'"),SUBSTITUTE(G9,"’","'"))),'Référentiel films'!$B$10,""),IF(ISNUMBER(SEARCH(SUBSTITUTE('Référentiel films'!$A$11,"’","'"),SUBSTITUTE(G9,"’","'"))),'Référentiel films'!$B$11,""),IF(ISNUMBER(SEARCH(SUBSTITUTE('Référentiel films'!$A$12,"’","'"),SUBSTITUTE(G9,"’","'"))),'Référentiel films'!$B$12,""),IF(ISNUMBER(SEARCH(SUBSTITUTE('Référentiel films'!$A$13,"’","'"),SUBSTITUTE(G9,"’","'"))),'Référentiel films'!$B$13,""),IF(ISNUMBER(SEARCH(SUBSTITUTE('Référentiel films'!$A$14,"’","'"),SUBSTITUTE(G9,"’","'"))),'Référentiel films'!$B$14,""),IF(ISNUMBER(SEARCH(SUBSTITUTE('Référentiel films'!$A$15,"’","'"),SUBSTITUTE(G9,"’","'"))),'Référentiel films'!$B$15,""),IF(ISNUMBER(SEARCH(SUBSTITUTE('Référentiel films'!$A$16,"’","'"),SUBSTITUTE(G9,"’","'"))),'Référentiel films'!$B$16,""),IF(ISNUMBER(SEARCH(SUBSTITUTE('Référentiel films'!$A$17,"’","'"),SUBSTITUTE(G9,"’","'"))),'Référentiel films'!$B$17,""),IF(ISNUMBER(SEARCH(SUBSTITUTE('Référentiel films'!$A$18,"’","'"),SUBSTITUTE(G9,"’","'"))),'Référentiel films'!$B$18,""),IF(ISNUMBER(SEARCH(SUBSTITUTE('Référentiel films'!$A$19,"’","'"),SUBSTITUTE(G9,"’","'"))),'Référentiel films'!$B$19,""),IF(ISNUMBER(SEARCH(SUBSTITUTE('Référentiel films'!$A$20,"’","'"),SUBSTITUTE(G9,"’","'"))),'Référentiel films'!$B$20,""),IF(ISNUMBER(SEARCH(SUBSTITUTE('Référentiel films'!$A$21,"’","'"),SUBSTITUTE(G9,"’","'"))),'Référentiel films'!$B$21,""),IF(ISNUMBER(SEARCH(SUBSTITUTE('Référentiel films'!$A$22,"’","'"),SUBSTITUTE(G9,"’","'"))),'Référentiel films'!$B$22,""),IF(ISNUMBER(SEARCH(SUBSTITUTE('Référentiel films'!$A$23,"’","'"),SUBSTITUTE(G9,"’","'"))),'Référentiel films'!$B$23,""),IF(ISNUMBER(SEARCH(SUBSTITUTE('Référentiel films'!$A$24,"’","'"),SUBSTITUTE(G9,"’","'"))),'Référentiel films'!$B$24,""),IF(ISNUMBER(SEARCH(SUBSTITUTE('Référentiel films'!$A$25,"’","'"),SUBSTITUTE(G9,"’","'"))),'Référentiel films'!$B$25,""),IF(ISNUMBER(SEARCH(SUBSTITUTE('Référentiel films'!$A$26,"’","'"),SUBSTITUTE(G9,"’","'"))),'Référentiel films'!$B$26,""),IF(ISNUMBER(SEARCH(SUBSTITUTE('Référentiel films'!$A$27,"’","'"),SUBSTITUTE(G9,"’","'"))),'Référentiel films'!$B$27,""),IF(ISNUMBER(SEARCH(SUBSTITUTE('Référentiel films'!$A$28,"’","'"),SUBSTITUTE(G9,"’","'"))),'Référentiel films'!$B$28,""),IF(ISNUMBER(SEARCH(SUBSTITUTE('Référentiel films'!$A$29,"’","'"),SUBSTITUTE(G9,"’","'"))),'Référentiel films'!$B$29,""),IF(ISNUMBER(SEARCH(SUBSTITUTE('Référentiel films'!$A$30,"’","'"),SUBSTITUTE(G9,"’","'"))),'Référentiel films'!$B$30,""),IF(ISNUMBER(SEARCH(SUBSTITUTE('Référentiel films'!$A$31,"’","'"),SUBSTITUTE(G9,"’","'"))),'Référentiel films'!$B$31,""),IF(ISNUMBER(SEARCH(SUBSTITUTE('Référentiel films'!$A$32,"’","'"),SUBSTITUTE(G9,"’","'"))),'Référentiel films'!$B$32,""),IF(ISNUMBER(SEARCH(SUBSTITUTE('Référentiel films'!$A$33,"’","'"),SUBSTITUTE(G9,"’","'"))),'Référentiel films'!$B$33,""),IF(ISNUMBER(SEARCH(SUBSTITUTE('Référentiel films'!$A$34,"’","'"),SUBSTITUTE(G9,"’","'"))),'Référentiel films'!$B$34,""),IF(ISNUMBER(SEARCH(SUBSTITUTE('Référentiel films'!$A$35,"’","'"),SUBSTITUTE(G9,"’","'"))),'Référentiel films'!$B$35,""),IF(ISNUMBER(SEARCH(SUBSTITUTE('Référentiel films'!$A$36,"’","'"),SUBSTITUTE(G9,"’","'"))),'Référentiel films'!$B$36,""),IF(ISNUMBER(SEARCH(SUBSTITUTE('Référentiel films'!$A$37,"’","'"),SUBSTITUTE(G9,"’","'"))),'Référentiel films'!$B$37,""),IF(ISNUMBER(SEARCH(SUBSTITUTE('Référentiel films'!$A$38,"’","'"),SUBSTITUTE(G9,"’","'"))),'Référentiel films'!$B$38,""),IF(ISNUMBER(SEARCH(SUBSTITUTE('Référentiel films'!$A$39,"’","'"),SUBSTITUTE(G9,"’","'"))),'Référentiel films'!$B$39,""),IF(ISNUMBER(SEARCH(SUBSTITUTE('Référentiel films'!$A$40,"’","'"),SUBSTITUTE(G9,"’","'"))),'Référentiel films'!$B$40,""),IF(ISNUMBER(SEARCH(SUBSTITUTE('Référentiel films'!$A$41,"’","'"),SUBSTITUTE(G9,"’","'"))),'Référentiel films'!$B$41,"")))</f>
        <v>film-1980-berlin-alexanderplatz; film-1981-lili-marleen; film-1981-lola-une-femme-allemande</v>
      </c>
    </row>
    <row r="10" customFormat="false" ht="70" hidden="false" customHeight="true" outlineLevel="0" collapsed="false">
      <c r="A10" s="1" t="n">
        <v>1982</v>
      </c>
      <c r="B10" s="1"/>
      <c r="C10" s="1"/>
      <c r="D10" s="1" t="s">
        <v>69</v>
      </c>
      <c r="E10" s="1" t="s">
        <v>70</v>
      </c>
      <c r="F10" s="1" t="s">
        <v>71</v>
      </c>
      <c r="G10" s="1" t="s">
        <v>72</v>
      </c>
      <c r="H10" s="4" t="str">
        <f aca="false">IF(G10="","",_xlfn.TEXTJOIN("; ",TRUE(),IF(ISNUMBER(SEARCH(SUBSTITUTE('Référentiel films'!$A$2,"’","'"),SUBSTITUTE(G10,"’","'"))),'Référentiel films'!$B$2,""),IF(ISNUMBER(SEARCH(SUBSTITUTE('Référentiel films'!$A$3,"’","'"),SUBSTITUTE(G10,"’","'"))),'Référentiel films'!$B$3,""),IF(ISNUMBER(SEARCH(SUBSTITUTE('Référentiel films'!$A$4,"’","'"),SUBSTITUTE(G10,"’","'"))),'Référentiel films'!$B$4,""),IF(ISNUMBER(SEARCH(SUBSTITUTE('Référentiel films'!$A$5,"’","'"),SUBSTITUTE(G10,"’","'"))),'Référentiel films'!$B$5,""),IF(ISNUMBER(SEARCH(SUBSTITUTE('Référentiel films'!$A$6,"’","'"),SUBSTITUTE(G10,"’","'"))),'Référentiel films'!$B$6,""),IF(ISNUMBER(SEARCH(SUBSTITUTE('Référentiel films'!$A$7,"’","'"),SUBSTITUTE(G10,"’","'"))),'Référentiel films'!$B$7,""),IF(ISNUMBER(SEARCH(SUBSTITUTE('Référentiel films'!$A$8,"’","'"),SUBSTITUTE(G10,"’","'"))),'Référentiel films'!$B$8,""),IF(ISNUMBER(SEARCH(SUBSTITUTE('Référentiel films'!$A$9,"’","'"),SUBSTITUTE(G10,"’","'"))),'Référentiel films'!$B$9,""),IF(ISNUMBER(SEARCH(SUBSTITUTE('Référentiel films'!$A$10,"’","'"),SUBSTITUTE(G10,"’","'"))),'Référentiel films'!$B$10,""),IF(ISNUMBER(SEARCH(SUBSTITUTE('Référentiel films'!$A$11,"’","'"),SUBSTITUTE(G10,"’","'"))),'Référentiel films'!$B$11,""),IF(ISNUMBER(SEARCH(SUBSTITUTE('Référentiel films'!$A$12,"’","'"),SUBSTITUTE(G10,"’","'"))),'Référentiel films'!$B$12,""),IF(ISNUMBER(SEARCH(SUBSTITUTE('Référentiel films'!$A$13,"’","'"),SUBSTITUTE(G10,"’","'"))),'Référentiel films'!$B$13,""),IF(ISNUMBER(SEARCH(SUBSTITUTE('Référentiel films'!$A$14,"’","'"),SUBSTITUTE(G10,"’","'"))),'Référentiel films'!$B$14,""),IF(ISNUMBER(SEARCH(SUBSTITUTE('Référentiel films'!$A$15,"’","'"),SUBSTITUTE(G10,"’","'"))),'Référentiel films'!$B$15,""),IF(ISNUMBER(SEARCH(SUBSTITUTE('Référentiel films'!$A$16,"’","'"),SUBSTITUTE(G10,"’","'"))),'Référentiel films'!$B$16,""),IF(ISNUMBER(SEARCH(SUBSTITUTE('Référentiel films'!$A$17,"’","'"),SUBSTITUTE(G10,"’","'"))),'Référentiel films'!$B$17,""),IF(ISNUMBER(SEARCH(SUBSTITUTE('Référentiel films'!$A$18,"’","'"),SUBSTITUTE(G10,"’","'"))),'Référentiel films'!$B$18,""),IF(ISNUMBER(SEARCH(SUBSTITUTE('Référentiel films'!$A$19,"’","'"),SUBSTITUTE(G10,"’","'"))),'Référentiel films'!$B$19,""),IF(ISNUMBER(SEARCH(SUBSTITUTE('Référentiel films'!$A$20,"’","'"),SUBSTITUTE(G10,"’","'"))),'Référentiel films'!$B$20,""),IF(ISNUMBER(SEARCH(SUBSTITUTE('Référentiel films'!$A$21,"’","'"),SUBSTITUTE(G10,"’","'"))),'Référentiel films'!$B$21,""),IF(ISNUMBER(SEARCH(SUBSTITUTE('Référentiel films'!$A$22,"’","'"),SUBSTITUTE(G10,"’","'"))),'Référentiel films'!$B$22,""),IF(ISNUMBER(SEARCH(SUBSTITUTE('Référentiel films'!$A$23,"’","'"),SUBSTITUTE(G10,"’","'"))),'Référentiel films'!$B$23,""),IF(ISNUMBER(SEARCH(SUBSTITUTE('Référentiel films'!$A$24,"’","'"),SUBSTITUTE(G10,"’","'"))),'Référentiel films'!$B$24,""),IF(ISNUMBER(SEARCH(SUBSTITUTE('Référentiel films'!$A$25,"’","'"),SUBSTITUTE(G10,"’","'"))),'Référentiel films'!$B$25,""),IF(ISNUMBER(SEARCH(SUBSTITUTE('Référentiel films'!$A$26,"’","'"),SUBSTITUTE(G10,"’","'"))),'Référentiel films'!$B$26,""),IF(ISNUMBER(SEARCH(SUBSTITUTE('Référentiel films'!$A$27,"’","'"),SUBSTITUTE(G10,"’","'"))),'Référentiel films'!$B$27,""),IF(ISNUMBER(SEARCH(SUBSTITUTE('Référentiel films'!$A$28,"’","'"),SUBSTITUTE(G10,"’","'"))),'Référentiel films'!$B$28,""),IF(ISNUMBER(SEARCH(SUBSTITUTE('Référentiel films'!$A$29,"’","'"),SUBSTITUTE(G10,"’","'"))),'Référentiel films'!$B$29,""),IF(ISNUMBER(SEARCH(SUBSTITUTE('Référentiel films'!$A$30,"’","'"),SUBSTITUTE(G10,"’","'"))),'Référentiel films'!$B$30,""),IF(ISNUMBER(SEARCH(SUBSTITUTE('Référentiel films'!$A$31,"’","'"),SUBSTITUTE(G10,"’","'"))),'Référentiel films'!$B$31,""),IF(ISNUMBER(SEARCH(SUBSTITUTE('Référentiel films'!$A$32,"’","'"),SUBSTITUTE(G10,"’","'"))),'Référentiel films'!$B$32,""),IF(ISNUMBER(SEARCH(SUBSTITUTE('Référentiel films'!$A$33,"’","'"),SUBSTITUTE(G10,"’","'"))),'Référentiel films'!$B$33,""),IF(ISNUMBER(SEARCH(SUBSTITUTE('Référentiel films'!$A$34,"’","'"),SUBSTITUTE(G10,"’","'"))),'Référentiel films'!$B$34,""),IF(ISNUMBER(SEARCH(SUBSTITUTE('Référentiel films'!$A$35,"’","'"),SUBSTITUTE(G10,"’","'"))),'Référentiel films'!$B$35,""),IF(ISNUMBER(SEARCH(SUBSTITUTE('Référentiel films'!$A$36,"’","'"),SUBSTITUTE(G10,"’","'"))),'Référentiel films'!$B$36,""),IF(ISNUMBER(SEARCH(SUBSTITUTE('Référentiel films'!$A$37,"’","'"),SUBSTITUTE(G10,"’","'"))),'Référentiel films'!$B$37,""),IF(ISNUMBER(SEARCH(SUBSTITUTE('Référentiel films'!$A$38,"’","'"),SUBSTITUTE(G10,"’","'"))),'Référentiel films'!$B$38,""),IF(ISNUMBER(SEARCH(SUBSTITUTE('Référentiel films'!$A$39,"’","'"),SUBSTITUTE(G10,"’","'"))),'Référentiel films'!$B$39,""),IF(ISNUMBER(SEARCH(SUBSTITUTE('Référentiel films'!$A$40,"’","'"),SUBSTITUTE(G10,"’","'"))),'Référentiel films'!$B$40,""),IF(ISNUMBER(SEARCH(SUBSTITUTE('Référentiel films'!$A$41,"’","'"),SUBSTITUTE(G10,"’","'"))),'Référentiel films'!$B$41,"")))</f>
        <v>film-1981-le-secret-de-veronika-voss; film-1982-querelle</v>
      </c>
    </row>
  </sheetData>
  <hyperlinks>
    <hyperlink ref="J2" r:id="rId1" display="Les génériques de Fassbinder"/>
    <hyperlink ref="J4" r:id="rId2" display="Documentaire sur le nouveau cinéma allemand"/>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3.01953125" defaultRowHeight="16" customHeight="false" zeroHeight="false" outlineLevelRow="0" outlineLevelCol="0"/>
  <cols>
    <col collapsed="false" customWidth="true" hidden="false" outlineLevel="0" max="2" min="1" style="0" width="31.88"/>
    <col collapsed="false" customWidth="true" hidden="false" outlineLevel="0" max="3" min="3" style="0" width="32.71"/>
    <col collapsed="false" customWidth="true" hidden="false" outlineLevel="0" max="6" min="4" style="0" width="31.88"/>
    <col collapsed="false" customWidth="true" hidden="false" outlineLevel="0" max="7" min="7" style="0" width="31.05"/>
    <col collapsed="false" customWidth="true" hidden="false" outlineLevel="0" max="8" min="8" style="0" width="16.24"/>
    <col collapsed="false" customWidth="true" hidden="false" outlineLevel="0" max="11" min="9" style="0" width="37.85"/>
    <col collapsed="false" customWidth="true" hidden="false" outlineLevel="0" max="12" min="12" style="0" width="37.03"/>
    <col collapsed="false" customWidth="true" hidden="false" outlineLevel="0" max="19" min="13" style="0" width="27.15"/>
    <col collapsed="false" customWidth="true" hidden="false" outlineLevel="0" max="21" min="21" style="0" width="56.77"/>
  </cols>
  <sheetData>
    <row r="1" customFormat="false" ht="28" hidden="false" customHeight="true" outlineLevel="0" collapsed="false">
      <c r="A1" s="1" t="s">
        <v>73</v>
      </c>
      <c r="B1" s="1" t="s">
        <v>0</v>
      </c>
      <c r="C1" s="1" t="s">
        <v>3</v>
      </c>
      <c r="D1" s="1" t="s">
        <v>4</v>
      </c>
      <c r="E1" s="1" t="s">
        <v>5</v>
      </c>
      <c r="F1" s="1" t="s">
        <v>74</v>
      </c>
      <c r="G1" s="1" t="s">
        <v>75</v>
      </c>
      <c r="H1" s="1" t="s">
        <v>9</v>
      </c>
      <c r="I1" s="8" t="s">
        <v>76</v>
      </c>
      <c r="J1" s="8" t="s">
        <v>77</v>
      </c>
      <c r="K1" s="8" t="s">
        <v>78</v>
      </c>
      <c r="L1" s="1" t="s">
        <v>10</v>
      </c>
      <c r="M1" s="1" t="s">
        <v>79</v>
      </c>
      <c r="N1" s="1" t="s">
        <v>80</v>
      </c>
      <c r="O1" s="1" t="s">
        <v>81</v>
      </c>
      <c r="P1" s="1" t="s">
        <v>82</v>
      </c>
      <c r="Q1" s="1" t="s">
        <v>83</v>
      </c>
      <c r="R1" s="1" t="s">
        <v>84</v>
      </c>
      <c r="S1" s="1" t="s">
        <v>13</v>
      </c>
      <c r="T1" s="1" t="s">
        <v>85</v>
      </c>
      <c r="U1" s="0" t="s">
        <v>86</v>
      </c>
    </row>
    <row r="2" customFormat="false" ht="95" hidden="false" customHeight="true" outlineLevel="0" collapsed="false">
      <c r="A2" s="1" t="n">
        <v>1945</v>
      </c>
      <c r="B2" s="1" t="s">
        <v>14</v>
      </c>
      <c r="C2" s="1" t="s">
        <v>87</v>
      </c>
      <c r="D2" s="1" t="s">
        <v>88</v>
      </c>
      <c r="E2" s="1" t="s">
        <v>89</v>
      </c>
      <c r="F2" s="9"/>
      <c r="G2" s="1"/>
      <c r="H2" s="3" t="s">
        <v>21</v>
      </c>
      <c r="I2" s="3"/>
      <c r="J2" s="3"/>
      <c r="K2" s="3"/>
      <c r="L2" s="1"/>
      <c r="M2" s="0" t="s">
        <v>90</v>
      </c>
      <c r="N2" s="0" t="s">
        <v>91</v>
      </c>
      <c r="O2" s="0" t="s">
        <v>92</v>
      </c>
      <c r="P2" s="0" t="s">
        <v>93</v>
      </c>
      <c r="Q2" s="0" t="s">
        <v>22</v>
      </c>
      <c r="R2" s="0" t="s">
        <v>94</v>
      </c>
      <c r="U2" s="2" t="str">
        <f aca="false">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customFormat="false" ht="121" hidden="false" customHeight="true" outlineLevel="0" collapsed="false">
      <c r="A3" s="1" t="n">
        <v>1946</v>
      </c>
      <c r="B3" s="1" t="s">
        <v>14</v>
      </c>
      <c r="C3" s="1" t="s">
        <v>95</v>
      </c>
      <c r="D3" s="1" t="s">
        <v>96</v>
      </c>
      <c r="E3" s="1" t="s">
        <v>97</v>
      </c>
      <c r="G3" s="1"/>
      <c r="H3" s="3" t="s">
        <v>98</v>
      </c>
      <c r="I3" s="3"/>
      <c r="J3" s="3"/>
      <c r="K3" s="3"/>
      <c r="L3" s="1"/>
      <c r="U3" s="2" t="str">
        <f aca="false">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customFormat="false" ht="244" hidden="false" customHeight="true" outlineLevel="0" collapsed="false">
      <c r="A4" s="1" t="n">
        <v>1947</v>
      </c>
      <c r="B4" s="1" t="s">
        <v>24</v>
      </c>
      <c r="C4" s="1" t="s">
        <v>99</v>
      </c>
      <c r="D4" s="1" t="s">
        <v>100</v>
      </c>
      <c r="E4" s="1"/>
      <c r="G4" s="1"/>
      <c r="H4" s="3"/>
      <c r="L4" s="1"/>
      <c r="T4" s="7" t="s">
        <v>101</v>
      </c>
      <c r="U4" s="2" t="str">
        <f aca="false">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customFormat="false" ht="84" hidden="false" customHeight="true" outlineLevel="0" collapsed="false">
      <c r="A5" s="1" t="n">
        <v>1948</v>
      </c>
      <c r="B5" s="1" t="s">
        <v>24</v>
      </c>
      <c r="C5" s="1" t="s">
        <v>102</v>
      </c>
      <c r="D5" s="10" t="s">
        <v>103</v>
      </c>
      <c r="E5" s="1"/>
      <c r="G5" s="1"/>
      <c r="H5" s="3" t="s">
        <v>104</v>
      </c>
      <c r="I5" s="1" t="s">
        <v>105</v>
      </c>
      <c r="J5" s="11" t="s">
        <v>106</v>
      </c>
      <c r="K5" s="1" t="s">
        <v>107</v>
      </c>
      <c r="L5" s="1"/>
      <c r="U5" s="2" t="str">
        <f aca="false">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customFormat="false" ht="118" hidden="false" customHeight="true" outlineLevel="0" collapsed="false">
      <c r="A6" s="1" t="n">
        <v>1949</v>
      </c>
      <c r="B6" s="1" t="s">
        <v>24</v>
      </c>
      <c r="C6" s="1" t="s">
        <v>108</v>
      </c>
      <c r="D6" s="10" t="s">
        <v>109</v>
      </c>
      <c r="E6" s="1"/>
      <c r="G6" s="1"/>
      <c r="H6" s="3" t="s">
        <v>110</v>
      </c>
      <c r="I6" s="3"/>
      <c r="J6" s="3"/>
      <c r="K6" s="3"/>
      <c r="L6" s="1"/>
      <c r="M6" s="0" t="s">
        <v>22</v>
      </c>
      <c r="N6" s="0" t="s">
        <v>94</v>
      </c>
      <c r="O6" s="0" t="s">
        <v>92</v>
      </c>
      <c r="P6" s="0" t="s">
        <v>92</v>
      </c>
      <c r="U6" s="2" t="str">
        <f aca="false">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customFormat="false" ht="84" hidden="false" customHeight="true" outlineLevel="0" collapsed="false">
      <c r="A7" s="1" t="n">
        <v>1950</v>
      </c>
      <c r="B7" s="1" t="s">
        <v>24</v>
      </c>
      <c r="C7" s="1"/>
      <c r="D7" s="1"/>
      <c r="E7" s="1" t="s">
        <v>111</v>
      </c>
      <c r="G7" s="1"/>
      <c r="H7" s="3"/>
      <c r="I7" s="3"/>
      <c r="J7" s="3"/>
      <c r="K7" s="3"/>
      <c r="L7" s="1"/>
      <c r="R7" s="0" t="s">
        <v>112</v>
      </c>
      <c r="U7" s="2" t="str">
        <f aca="false">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customFormat="false" ht="70" hidden="false" customHeight="true" outlineLevel="0" collapsed="false">
      <c r="A8" s="1" t="n">
        <v>1951</v>
      </c>
      <c r="B8" s="1" t="s">
        <v>24</v>
      </c>
      <c r="C8" s="1" t="s">
        <v>113</v>
      </c>
      <c r="D8" s="1"/>
      <c r="E8" s="1" t="s">
        <v>114</v>
      </c>
      <c r="F8" s="1"/>
      <c r="U8" s="2" t="str">
        <f aca="false">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customFormat="false" ht="68.65" hidden="false" customHeight="false" outlineLevel="0" collapsed="false">
      <c r="A9" s="1" t="n">
        <v>1952</v>
      </c>
      <c r="B9" s="1" t="s">
        <v>24</v>
      </c>
      <c r="C9" s="1" t="s">
        <v>115</v>
      </c>
      <c r="D9" s="1" t="s">
        <v>116</v>
      </c>
      <c r="E9" s="1" t="s">
        <v>117</v>
      </c>
      <c r="F9" s="1"/>
      <c r="M9" s="1" t="s">
        <v>118</v>
      </c>
      <c r="N9" s="1" t="s">
        <v>91</v>
      </c>
      <c r="O9" s="1"/>
      <c r="P9" s="1"/>
      <c r="Q9" s="1"/>
      <c r="R9" s="1"/>
      <c r="S9" s="1"/>
      <c r="U9" s="2" t="str">
        <f aca="false">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customFormat="false" ht="23.85" hidden="false" customHeight="false" outlineLevel="0" collapsed="false">
      <c r="A10" s="1" t="n">
        <v>1953</v>
      </c>
      <c r="B10" s="1" t="s">
        <v>24</v>
      </c>
      <c r="C10" s="1" t="s">
        <v>119</v>
      </c>
      <c r="D10" s="1" t="s">
        <v>120</v>
      </c>
      <c r="E10" s="1"/>
      <c r="F10" s="1"/>
      <c r="U10" s="2" t="str">
        <f aca="false">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customFormat="false" ht="3276.75" hidden="false" customHeight="false" outlineLevel="0" collapsed="false">
      <c r="A11" s="1" t="n">
        <v>1954</v>
      </c>
      <c r="B11" s="1" t="s">
        <v>24</v>
      </c>
      <c r="C11" s="1" t="s">
        <v>121</v>
      </c>
      <c r="D11" s="11" t="s">
        <v>122</v>
      </c>
      <c r="E11" s="1"/>
      <c r="F11" s="1"/>
      <c r="H11" s="3" t="s">
        <v>123</v>
      </c>
      <c r="I11" s="3"/>
      <c r="J11" s="3"/>
      <c r="K11" s="3"/>
      <c r="M11" s="0" t="s">
        <v>92</v>
      </c>
      <c r="N11" s="0" t="s">
        <v>124</v>
      </c>
      <c r="U11" s="2" t="str">
        <f aca="false">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customFormat="false" ht="16" hidden="false" customHeight="false" outlineLevel="0" collapsed="false">
      <c r="A12" s="1" t="n">
        <v>1955</v>
      </c>
      <c r="B12" s="1" t="s">
        <v>24</v>
      </c>
      <c r="C12" s="1"/>
      <c r="D12" s="1"/>
      <c r="E12" s="1" t="s">
        <v>125</v>
      </c>
      <c r="F12" s="1"/>
      <c r="U12" s="2" t="str">
        <f aca="false">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customFormat="false" ht="57.45" hidden="false" customHeight="false" outlineLevel="0" collapsed="false">
      <c r="A13" s="1" t="n">
        <v>1956</v>
      </c>
      <c r="B13" s="1" t="s">
        <v>24</v>
      </c>
      <c r="C13" s="1"/>
      <c r="D13" s="1"/>
      <c r="E13" s="1" t="s">
        <v>126</v>
      </c>
      <c r="F13" s="1"/>
      <c r="U13" s="2" t="str">
        <f aca="false">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customFormat="false" ht="28" hidden="false" customHeight="true" outlineLevel="0" collapsed="false">
      <c r="A14" s="1" t="n">
        <v>1959</v>
      </c>
      <c r="B14" s="1" t="s">
        <v>24</v>
      </c>
      <c r="C14" s="1"/>
      <c r="D14" s="1"/>
      <c r="E14" s="10" t="s">
        <v>127</v>
      </c>
      <c r="F14" s="1"/>
      <c r="U14" s="2" t="str">
        <f aca="false">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customFormat="false" ht="28" hidden="false" customHeight="true" outlineLevel="0" collapsed="false">
      <c r="A15" s="1" t="n">
        <v>1960</v>
      </c>
      <c r="B15" s="1" t="s">
        <v>24</v>
      </c>
      <c r="C15" s="1"/>
      <c r="D15" s="1"/>
      <c r="E15" s="1" t="s">
        <v>128</v>
      </c>
      <c r="F15" s="1"/>
      <c r="U15" s="2" t="str">
        <f aca="false">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customFormat="false" ht="70" hidden="false" customHeight="true" outlineLevel="0" collapsed="false">
      <c r="A16" s="1" t="n">
        <v>1961</v>
      </c>
      <c r="B16" s="1" t="s">
        <v>30</v>
      </c>
      <c r="C16" s="1" t="s">
        <v>32</v>
      </c>
      <c r="E16" s="1" t="s">
        <v>129</v>
      </c>
      <c r="U16" s="2" t="str">
        <f aca="false">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customFormat="false" ht="56" hidden="false" customHeight="true" outlineLevel="0" collapsed="false">
      <c r="A17" s="1" t="n">
        <v>1962</v>
      </c>
      <c r="B17" s="1" t="s">
        <v>30</v>
      </c>
      <c r="C17" s="1"/>
      <c r="D17" s="1" t="s">
        <v>130</v>
      </c>
      <c r="E17" s="1"/>
      <c r="F17" s="1"/>
      <c r="U17" s="2" t="str">
        <f aca="false">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customFormat="false" ht="70" hidden="false" customHeight="true" outlineLevel="0" collapsed="false">
      <c r="A18" s="1" t="n">
        <v>1966</v>
      </c>
      <c r="B18" s="1" t="s">
        <v>30</v>
      </c>
      <c r="C18" s="1"/>
      <c r="D18" s="1"/>
      <c r="E18" s="1"/>
      <c r="F18" s="1" t="s">
        <v>35</v>
      </c>
      <c r="U18" s="2" t="str">
        <f aca="false">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customFormat="false" ht="16" hidden="false" customHeight="false" outlineLevel="0" collapsed="false">
      <c r="A19" s="1" t="n">
        <v>1967</v>
      </c>
      <c r="B19" s="1" t="s">
        <v>38</v>
      </c>
      <c r="C19" s="1"/>
      <c r="D19" s="1"/>
      <c r="E19" s="1" t="s">
        <v>131</v>
      </c>
      <c r="F19" s="1"/>
      <c r="U19" s="2" t="str">
        <f aca="false">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customFormat="false" ht="85" hidden="false" customHeight="true" outlineLevel="0" collapsed="false">
      <c r="A20" s="1" t="n">
        <v>1968</v>
      </c>
      <c r="B20" s="1" t="s">
        <v>38</v>
      </c>
      <c r="C20" s="1" t="s">
        <v>40</v>
      </c>
      <c r="D20" s="1" t="s">
        <v>41</v>
      </c>
      <c r="E20" s="1" t="s">
        <v>42</v>
      </c>
      <c r="F20" s="1" t="s">
        <v>43</v>
      </c>
      <c r="G20" s="6" t="s">
        <v>132</v>
      </c>
      <c r="U20" s="2" t="str">
        <f aca="false">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film-1969-l-amour-est-plus-froid-que-la-mort; film-1969-le-bouc</v>
      </c>
    </row>
    <row r="21" customFormat="false" ht="98" hidden="false" customHeight="true" outlineLevel="0" collapsed="false">
      <c r="A21" s="1" t="n">
        <v>1971</v>
      </c>
      <c r="B21" s="1" t="s">
        <v>45</v>
      </c>
      <c r="C21" s="1" t="s">
        <v>47</v>
      </c>
      <c r="D21" s="1" t="s">
        <v>133</v>
      </c>
      <c r="E21" s="1" t="s">
        <v>49</v>
      </c>
      <c r="F21" s="1" t="s">
        <v>134</v>
      </c>
      <c r="G21" s="1"/>
      <c r="M21" s="1" t="s">
        <v>135</v>
      </c>
      <c r="N21" s="10" t="s">
        <v>136</v>
      </c>
      <c r="O21" s="1"/>
      <c r="P21" s="1"/>
      <c r="Q21" s="1"/>
      <c r="R21" s="1"/>
      <c r="S21" s="1" t="s">
        <v>63</v>
      </c>
      <c r="U21" s="2" t="str">
        <f aca="false">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f>
        <v>film-1972-le-marchand-des-quatre-saisons; film-1974-tous-les-autres-s-appellent-ali; film-1974-martha</v>
      </c>
    </row>
    <row r="22" customFormat="false" ht="70" hidden="false" customHeight="true" outlineLevel="0" collapsed="false">
      <c r="A22" s="1" t="n">
        <v>1975</v>
      </c>
      <c r="B22" s="1" t="s">
        <v>51</v>
      </c>
      <c r="C22" s="1" t="s">
        <v>53</v>
      </c>
      <c r="D22" s="1" t="s">
        <v>54</v>
      </c>
      <c r="E22" s="1" t="s">
        <v>55</v>
      </c>
      <c r="F22" s="1" t="s">
        <v>56</v>
      </c>
      <c r="G22" s="7" t="s">
        <v>57</v>
      </c>
      <c r="U22" s="2" t="str">
        <f aca="false">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film-1975-le-droit-du-plus-fort; film-1975-maman-kusters-s-en-va-au-ciel</v>
      </c>
    </row>
    <row r="23" customFormat="false" ht="84" hidden="false" customHeight="true" outlineLevel="0" collapsed="false">
      <c r="A23" s="1" t="n">
        <v>1977</v>
      </c>
      <c r="B23" s="1" t="s">
        <v>58</v>
      </c>
      <c r="C23" s="1" t="s">
        <v>59</v>
      </c>
      <c r="D23" s="1" t="s">
        <v>60</v>
      </c>
      <c r="E23" s="1" t="s">
        <v>61</v>
      </c>
      <c r="F23" s="1" t="s">
        <v>62</v>
      </c>
      <c r="U23" s="2" t="str">
        <f aca="false">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film-1978-l-annee-des-treize-lunes; film-1979-le-mariage-de-maria-braun</v>
      </c>
    </row>
    <row r="24" customFormat="false" ht="70" hidden="false" customHeight="true" outlineLevel="0" collapsed="false">
      <c r="A24" s="1" t="n">
        <v>1980</v>
      </c>
      <c r="B24" s="1" t="s">
        <v>64</v>
      </c>
      <c r="C24" s="1" t="s">
        <v>65</v>
      </c>
      <c r="D24" s="1" t="s">
        <v>66</v>
      </c>
      <c r="E24" s="1" t="s">
        <v>67</v>
      </c>
      <c r="F24" s="1" t="s">
        <v>68</v>
      </c>
      <c r="G24" s="12" t="s">
        <v>137</v>
      </c>
      <c r="U24" s="2" t="str">
        <f aca="false">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film-1980-berlin-alexanderplatz; film-1981-lili-marleen; film-1981-lola-une-femme-allemande</v>
      </c>
    </row>
    <row r="25" customFormat="false" ht="70" hidden="false" customHeight="true" outlineLevel="0" collapsed="false">
      <c r="A25" s="1" t="n">
        <v>1982</v>
      </c>
      <c r="B25" s="1" t="n">
        <v>1982</v>
      </c>
      <c r="C25" s="1" t="s">
        <v>69</v>
      </c>
      <c r="D25" s="1" t="s">
        <v>70</v>
      </c>
      <c r="E25" s="1" t="s">
        <v>71</v>
      </c>
      <c r="F25" s="1" t="s">
        <v>72</v>
      </c>
      <c r="U25" s="2" t="str">
        <f aca="false">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film-1981-le-secret-de-veronika-voss; film-1982-querelle</v>
      </c>
    </row>
  </sheetData>
  <hyperlinks>
    <hyperlink ref="H2" r:id="rId1" display="Les génériques de Fassbinder"/>
    <hyperlink ref="H3" r:id="rId2" display="Le procès de Nuremberg"/>
    <hyperlink ref="H5" r:id="rId3" display="Le blocus de Berlin en 3 minutes"/>
    <hyperlink ref="H6" r:id="rId4" display="Bande Annonce de Fatherland de Pavel Pawlikoski"/>
    <hyperlink ref="H11" r:id="rId5" display="Bande Annonce de Sissi (1955)"/>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55078125" defaultRowHeight="15" customHeight="false" zeroHeight="false" outlineLevelRow="0" outlineLevelCol="0"/>
  <cols>
    <col collapsed="false" customWidth="true" hidden="false" outlineLevel="0" max="1" min="1" style="0" width="46.9"/>
    <col collapsed="false" customWidth="true" hidden="false" outlineLevel="0" max="2" min="2" style="0" width="59.24"/>
  </cols>
  <sheetData>
    <row r="1" customFormat="false" ht="17.9" hidden="false" customHeight="false" outlineLevel="0" collapsed="false">
      <c r="A1" s="13" t="s">
        <v>138</v>
      </c>
      <c r="B1" s="13" t="s">
        <v>139</v>
      </c>
    </row>
    <row r="2" customFormat="false" ht="17.9" hidden="false" customHeight="false" outlineLevel="0" collapsed="false">
      <c r="A2" s="14" t="s">
        <v>140</v>
      </c>
      <c r="B2" s="14" t="s">
        <v>141</v>
      </c>
    </row>
    <row r="3" customFormat="false" ht="17.9" hidden="false" customHeight="false" outlineLevel="0" collapsed="false">
      <c r="A3" s="14" t="s">
        <v>142</v>
      </c>
      <c r="B3" s="14" t="s">
        <v>143</v>
      </c>
    </row>
    <row r="4" customFormat="false" ht="17.9" hidden="false" customHeight="false" outlineLevel="0" collapsed="false">
      <c r="A4" s="14" t="s">
        <v>144</v>
      </c>
      <c r="B4" s="14" t="s">
        <v>145</v>
      </c>
    </row>
    <row r="5" customFormat="false" ht="34.3" hidden="false" customHeight="false" outlineLevel="0" collapsed="false">
      <c r="A5" s="14" t="s">
        <v>146</v>
      </c>
      <c r="B5" s="14" t="s">
        <v>147</v>
      </c>
    </row>
    <row r="6" customFormat="false" ht="17.9" hidden="false" customHeight="false" outlineLevel="0" collapsed="false">
      <c r="A6" s="14" t="s">
        <v>148</v>
      </c>
      <c r="B6" s="14" t="s">
        <v>149</v>
      </c>
    </row>
    <row r="7" customFormat="false" ht="17.9" hidden="false" customHeight="false" outlineLevel="0" collapsed="false">
      <c r="A7" s="14" t="s">
        <v>150</v>
      </c>
      <c r="B7" s="14" t="s">
        <v>151</v>
      </c>
    </row>
    <row r="8" customFormat="false" ht="17.9" hidden="false" customHeight="false" outlineLevel="0" collapsed="false">
      <c r="A8" s="14" t="s">
        <v>152</v>
      </c>
      <c r="B8" s="14" t="s">
        <v>153</v>
      </c>
    </row>
    <row r="9" customFormat="false" ht="17.9" hidden="false" customHeight="false" outlineLevel="0" collapsed="false">
      <c r="A9" s="14" t="s">
        <v>154</v>
      </c>
      <c r="B9" s="14" t="s">
        <v>155</v>
      </c>
    </row>
    <row r="10" customFormat="false" ht="17.9" hidden="false" customHeight="false" outlineLevel="0" collapsed="false">
      <c r="A10" s="14" t="s">
        <v>156</v>
      </c>
      <c r="B10" s="14" t="s">
        <v>157</v>
      </c>
    </row>
    <row r="11" customFormat="false" ht="17.9" hidden="false" customHeight="false" outlineLevel="0" collapsed="false">
      <c r="A11" s="14" t="s">
        <v>158</v>
      </c>
      <c r="B11" s="14" t="s">
        <v>159</v>
      </c>
    </row>
    <row r="12" customFormat="false" ht="17.9" hidden="false" customHeight="false" outlineLevel="0" collapsed="false">
      <c r="A12" s="14" t="s">
        <v>160</v>
      </c>
      <c r="B12" s="14" t="s">
        <v>161</v>
      </c>
    </row>
    <row r="13" customFormat="false" ht="17.9" hidden="false" customHeight="false" outlineLevel="0" collapsed="false">
      <c r="A13" s="14" t="s">
        <v>162</v>
      </c>
      <c r="B13" s="14" t="s">
        <v>163</v>
      </c>
    </row>
    <row r="14" customFormat="false" ht="17.9" hidden="false" customHeight="false" outlineLevel="0" collapsed="false">
      <c r="A14" s="14" t="s">
        <v>164</v>
      </c>
      <c r="B14" s="14" t="s">
        <v>165</v>
      </c>
    </row>
    <row r="15" customFormat="false" ht="17.9" hidden="false" customHeight="false" outlineLevel="0" collapsed="false">
      <c r="A15" s="14" t="s">
        <v>166</v>
      </c>
      <c r="B15" s="14" t="s">
        <v>167</v>
      </c>
    </row>
    <row r="16" customFormat="false" ht="17.9" hidden="false" customHeight="false" outlineLevel="0" collapsed="false">
      <c r="A16" s="14" t="s">
        <v>168</v>
      </c>
      <c r="B16" s="14" t="s">
        <v>169</v>
      </c>
    </row>
    <row r="17" customFormat="false" ht="17.9" hidden="false" customHeight="false" outlineLevel="0" collapsed="false">
      <c r="A17" s="14" t="s">
        <v>170</v>
      </c>
      <c r="B17" s="14" t="s">
        <v>171</v>
      </c>
    </row>
    <row r="18" customFormat="false" ht="17.9" hidden="false" customHeight="false" outlineLevel="0" collapsed="false">
      <c r="A18" s="14" t="s">
        <v>172</v>
      </c>
      <c r="B18" s="14" t="s">
        <v>173</v>
      </c>
    </row>
    <row r="19" customFormat="false" ht="17.9" hidden="false" customHeight="false" outlineLevel="0" collapsed="false">
      <c r="A19" s="14" t="s">
        <v>174</v>
      </c>
      <c r="B19" s="14" t="s">
        <v>175</v>
      </c>
    </row>
    <row r="20" customFormat="false" ht="17.9" hidden="false" customHeight="false" outlineLevel="0" collapsed="false">
      <c r="A20" s="14" t="s">
        <v>176</v>
      </c>
      <c r="B20" s="14" t="s">
        <v>177</v>
      </c>
    </row>
    <row r="21" customFormat="false" ht="17.9" hidden="false" customHeight="false" outlineLevel="0" collapsed="false">
      <c r="A21" s="14" t="s">
        <v>178</v>
      </c>
      <c r="B21" s="14" t="s">
        <v>179</v>
      </c>
    </row>
    <row r="22" customFormat="false" ht="17.9" hidden="false" customHeight="false" outlineLevel="0" collapsed="false">
      <c r="A22" s="14" t="s">
        <v>180</v>
      </c>
      <c r="B22" s="14" t="s">
        <v>181</v>
      </c>
    </row>
    <row r="23" customFormat="false" ht="17.9" hidden="false" customHeight="false" outlineLevel="0" collapsed="false">
      <c r="A23" s="14" t="s">
        <v>182</v>
      </c>
      <c r="B23" s="14" t="s">
        <v>183</v>
      </c>
    </row>
    <row r="24" customFormat="false" ht="17.9" hidden="false" customHeight="false" outlineLevel="0" collapsed="false">
      <c r="A24" s="14" t="s">
        <v>184</v>
      </c>
      <c r="B24" s="14" t="s">
        <v>185</v>
      </c>
    </row>
    <row r="25" customFormat="false" ht="17.9" hidden="false" customHeight="false" outlineLevel="0" collapsed="false">
      <c r="A25" s="14" t="s">
        <v>186</v>
      </c>
      <c r="B25" s="14" t="s">
        <v>187</v>
      </c>
    </row>
    <row r="26" customFormat="false" ht="17.9" hidden="false" customHeight="false" outlineLevel="0" collapsed="false">
      <c r="A26" s="14" t="s">
        <v>188</v>
      </c>
      <c r="B26" s="14" t="s">
        <v>189</v>
      </c>
    </row>
    <row r="27" customFormat="false" ht="17.9" hidden="false" customHeight="false" outlineLevel="0" collapsed="false">
      <c r="A27" s="14" t="s">
        <v>190</v>
      </c>
      <c r="B27" s="14" t="s">
        <v>191</v>
      </c>
    </row>
    <row r="28" customFormat="false" ht="17.9" hidden="false" customHeight="false" outlineLevel="0" collapsed="false">
      <c r="A28" s="14" t="s">
        <v>192</v>
      </c>
      <c r="B28" s="14" t="s">
        <v>193</v>
      </c>
    </row>
    <row r="29" customFormat="false" ht="17.9" hidden="false" customHeight="false" outlineLevel="0" collapsed="false">
      <c r="A29" s="14" t="s">
        <v>194</v>
      </c>
      <c r="B29" s="14" t="s">
        <v>195</v>
      </c>
    </row>
    <row r="30" customFormat="false" ht="17.9" hidden="false" customHeight="false" outlineLevel="0" collapsed="false">
      <c r="A30" s="14" t="s">
        <v>196</v>
      </c>
      <c r="B30" s="14" t="s">
        <v>197</v>
      </c>
    </row>
    <row r="31" customFormat="false" ht="17.9" hidden="false" customHeight="false" outlineLevel="0" collapsed="false">
      <c r="A31" s="14" t="s">
        <v>198</v>
      </c>
      <c r="B31" s="14" t="s">
        <v>199</v>
      </c>
    </row>
    <row r="32" customFormat="false" ht="17.9" hidden="false" customHeight="false" outlineLevel="0" collapsed="false">
      <c r="A32" s="14" t="s">
        <v>200</v>
      </c>
      <c r="B32" s="14" t="s">
        <v>201</v>
      </c>
    </row>
    <row r="33" customFormat="false" ht="17.9" hidden="false" customHeight="false" outlineLevel="0" collapsed="false">
      <c r="A33" s="14" t="s">
        <v>202</v>
      </c>
      <c r="B33" s="14" t="s">
        <v>203</v>
      </c>
    </row>
    <row r="34" customFormat="false" ht="17.9" hidden="false" customHeight="false" outlineLevel="0" collapsed="false">
      <c r="A34" s="14" t="s">
        <v>204</v>
      </c>
      <c r="B34" s="14" t="s">
        <v>205</v>
      </c>
    </row>
    <row r="35" customFormat="false" ht="17.9" hidden="false" customHeight="false" outlineLevel="0" collapsed="false">
      <c r="A35" s="14" t="s">
        <v>206</v>
      </c>
      <c r="B35" s="14" t="s">
        <v>207</v>
      </c>
    </row>
    <row r="36" customFormat="false" ht="17.9" hidden="false" customHeight="false" outlineLevel="0" collapsed="false">
      <c r="A36" s="14" t="s">
        <v>208</v>
      </c>
      <c r="B36" s="14" t="s">
        <v>209</v>
      </c>
    </row>
    <row r="37" customFormat="false" ht="17.9" hidden="false" customHeight="false" outlineLevel="0" collapsed="false">
      <c r="A37" s="14" t="s">
        <v>210</v>
      </c>
      <c r="B37" s="14" t="s">
        <v>211</v>
      </c>
    </row>
    <row r="38" customFormat="false" ht="17.9" hidden="false" customHeight="false" outlineLevel="0" collapsed="false">
      <c r="A38" s="14" t="s">
        <v>212</v>
      </c>
      <c r="B38" s="14" t="s">
        <v>213</v>
      </c>
    </row>
    <row r="39" customFormat="false" ht="17.9" hidden="false" customHeight="false" outlineLevel="0" collapsed="false">
      <c r="A39" s="14" t="s">
        <v>214</v>
      </c>
      <c r="B39" s="14" t="s">
        <v>215</v>
      </c>
    </row>
    <row r="40" customFormat="false" ht="17.9" hidden="false" customHeight="false" outlineLevel="0" collapsed="false">
      <c r="A40" s="14" t="s">
        <v>216</v>
      </c>
      <c r="B40" s="14" t="s">
        <v>217</v>
      </c>
    </row>
    <row r="41" customFormat="false" ht="17.9" hidden="false" customHeight="false" outlineLevel="0" collapsed="false">
      <c r="A41" s="14" t="s">
        <v>218</v>
      </c>
      <c r="B41" s="14" t="s">
        <v>219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55078125" defaultRowHeight="15" customHeight="false" zeroHeight="false" outlineLevelRow="0" outlineLevelCol="0"/>
  <cols>
    <col collapsed="false" customWidth="true" hidden="false" outlineLevel="0" max="1" min="1" style="0" width="29.62"/>
    <col collapsed="false" customWidth="true" hidden="false" outlineLevel="0" max="2" min="2" style="0" width="101.21"/>
  </cols>
  <sheetData>
    <row r="1" customFormat="false" ht="30" hidden="false" customHeight="true" outlineLevel="0" collapsed="false">
      <c r="A1" s="15" t="s">
        <v>220</v>
      </c>
      <c r="B1" s="15"/>
    </row>
    <row r="2" customFormat="false" ht="34" hidden="false" customHeight="true" outlineLevel="0" collapsed="false">
      <c r="A2" s="16" t="s">
        <v>221</v>
      </c>
      <c r="B2" s="13" t="s">
        <v>222</v>
      </c>
    </row>
    <row r="3" customFormat="false" ht="34" hidden="false" customHeight="true" outlineLevel="0" collapsed="false">
      <c r="A3" s="16" t="s">
        <v>223</v>
      </c>
      <c r="B3" s="13" t="s">
        <v>224</v>
      </c>
    </row>
    <row r="4" customFormat="false" ht="34" hidden="false" customHeight="true" outlineLevel="0" collapsed="false">
      <c r="A4" s="16" t="s">
        <v>225</v>
      </c>
      <c r="B4" s="13" t="s">
        <v>226</v>
      </c>
    </row>
    <row r="5" customFormat="false" ht="34" hidden="false" customHeight="true" outlineLevel="0" collapsed="false">
      <c r="A5" s="16" t="s">
        <v>227</v>
      </c>
      <c r="B5" s="13" t="s">
        <v>228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LibreOfficeDev/26.8.0.0.alpha0$Linux_X86_64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revision>0</cp:revision>
  <dc:subject/>
  <dc:title/>
</cp:coreProperties>
</file>