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702" documentId="11_6BE08DF89F0657832A60AF55EF513509DE63B29B" xr6:coauthVersionLast="47" xr6:coauthVersionMax="47" xr10:uidLastSave="{5A139AEF-2092-EB45-9C09-9E8DB9663B2E}"/>
  <bookViews>
    <workbookView xWindow="9560" yWindow="2960" windowWidth="39280" windowHeight="24500" tabRatio="5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U32" i="2" l="1"/>
  <c r="U34" i="2"/>
  <c r="U33" i="2"/>
  <c r="U31" i="2"/>
  <c r="U29" i="2"/>
  <c r="U28" i="2"/>
  <c r="U27" i="2"/>
  <c r="U25" i="2"/>
  <c r="U24" i="2"/>
  <c r="U20" i="2"/>
  <c r="U14" i="2"/>
  <c r="U19" i="2"/>
  <c r="U13" i="2"/>
  <c r="U36" i="2"/>
  <c r="U37" i="2"/>
  <c r="U35" i="2"/>
  <c r="U30" i="2"/>
  <c r="U26" i="2"/>
  <c r="U23" i="2"/>
  <c r="U22" i="2"/>
  <c r="U21" i="2"/>
  <c r="U18" i="2"/>
  <c r="U17" i="2"/>
  <c r="U16" i="2"/>
  <c r="U15" i="2"/>
  <c r="U12" i="2"/>
  <c r="U11" i="2"/>
  <c r="U10" i="2"/>
  <c r="U9" i="2"/>
  <c r="U8" i="2"/>
  <c r="U7" i="2"/>
  <c r="U6" i="2"/>
  <c r="U5" i="2"/>
  <c r="U4" i="2"/>
  <c r="U3" i="2"/>
  <c r="U2" i="2"/>
  <c r="H10" i="1"/>
  <c r="H9" i="1"/>
  <c r="H8" i="1"/>
  <c r="H7" i="1"/>
  <c r="H6" i="1"/>
  <c r="H5" i="1"/>
  <c r="H4" i="1"/>
  <c r="H3" i="1"/>
  <c r="H2" i="1"/>
</calcChain>
</file>

<file path=xl/sharedStrings.xml><?xml version="1.0" encoding="utf-8"?>
<sst xmlns="http://schemas.openxmlformats.org/spreadsheetml/2006/main" count="409" uniqueCount="340">
  <si>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</si>
  <si>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</si>
  <si>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</si>
  <si>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</si>
  <si>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</si>
  <si>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</si>
  <si>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</si>
  <si>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</si>
  <si>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</si>
  <si>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</si>
  <si>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</si>
  <si>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</si>
  <si>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</si>
  <si>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</si>
  <si>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1945-1946</t>
  </si>
  <si>
    <t>Les ruines l'Heure zéro</t>
  </si>
  <si>
    <t>Le "point zéro" de l'histoire de l'Allemagne d'après-guerre est-il un point zéro pour la vie et l'œuvre de RWF ?</t>
  </si>
  <si>
    <t xml:space="preserve">Capitulation du Troisième Reich (mai). L'Allemagne est en ruines (Année Zéro). Début de l'occupation alliée et de l'amnésie collective sur le passé nazi. Le pays et berlin sont partagés en zone sous contrôle des différentes forces alliées. </t>
  </si>
  <si>
    <r>
      <t xml:space="preserve">Le cinéma est en ruines. Période des films de décombres ( Trümmerfilme ) comme </t>
    </r>
    <r>
      <rPr>
        <i/>
        <sz val="10"/>
        <color theme="1"/>
        <rFont val="Arial"/>
        <family val="2"/>
      </rPr>
      <t xml:space="preserve">Les assassins sont parmi nous </t>
    </r>
    <r>
      <rPr>
        <sz val="10"/>
        <color theme="1"/>
        <rFont val="Arial"/>
        <family val="2"/>
      </rPr>
      <t>(Staudte, 1946).</t>
    </r>
  </si>
  <si>
    <t>Naissance de Rainer Werner Fassbinder le 31 mai à Bad Wörishofen, Bavière.</t>
  </si>
  <si>
    <t>Les génériques de Fassbinder</t>
  </si>
  <si>
    <t>"Nous devons nous débarrasser du passé pour construire l'avenir". Konrad Adenauer</t>
  </si>
  <si>
    <t>Adenauer.jpeg</t>
  </si>
  <si>
    <t>1947-1960</t>
  </si>
  <si>
    <t>Le miracle économique</t>
  </si>
  <si>
    <t>Enfance marquée par le divorce de ses parents (1951) et l'absence du père. Passion précoce pour le cinéma (refuge). Première lecture de Berlin Alexanderplatz vers 14 ans.</t>
  </si>
  <si>
    <t>l-industrie-de-l-industrie-automobile-l-usine-volkswagen-vue-de-l-interieur-usine-wolfsburg-vers-1950.jpg</t>
  </si>
  <si>
    <t>1961-1966</t>
  </si>
  <si>
    <t>naissance du Nouveau cinéma allemand</t>
  </si>
  <si>
    <t>Construction du Mur de Berlin (1961). Procès d'Auschwitz à Francfort (1963-1965). Démission d'Adenauer. Grande Coalition (1966).</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</si>
  <si>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</si>
  <si>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</si>
  <si>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</si>
  <si>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1967-1970</t>
  </si>
  <si>
    <t>Antitheater et politisation</t>
  </si>
  <si>
    <t>Mouvements étudiants de 1968. Tentative d'assassinat contre Rudi Dutschke. Victoire de Willy Brandt (SPD, 1969). Abrogation partielle de l'article 175 (homosexualité).</t>
  </si>
  <si>
    <t>Émergence de l'Anti-teater à Munich. Influence de la Nouvelle Vague française. Le cinéma devient politique et théorique.</t>
  </si>
  <si>
    <t>Fonde l' antiteater (1968). Collaboration intense avec sa "troupe" (Schygulla, Hermann, Raab, Baer, Lommel). Mariage avec Ingrid Caven (1970).</t>
  </si>
  <si>
    <t>1971-1974</t>
  </si>
  <si>
    <t>Terrorisme et mélodrame</t>
  </si>
  <si>
    <t>Terrorisme de la RAF (arrestations en 1972). Attentat des JO de Munich (1972). Démission de Willy Brandt (1974) suite à l'affaire Guillaume.</t>
  </si>
  <si>
    <t>Période Sirkienne : Le Marchand des quatre saisons (1971). Tous les autres s'appellent Ali (1974, succès mondial à Cannes) : critique du racisme ordinaire. Martha (1974).</t>
  </si>
  <si>
    <t>1975-1976</t>
  </si>
  <si>
    <t>Tensions sociales et crises du logement (Westend). Débats sur la visibilité des minorités. Lois limitant les libertés civiles.</t>
  </si>
  <si>
    <t>Développement du "film amphibie" (cinéma/TV). Le cinéma devient un outil de critique sociale directe.</t>
  </si>
  <si>
    <t>Scandale théâtral autour de la pièce L'Ordure, la ville et la mort (accusations d'antisémitisme). Liaison avec Armin Meier.</t>
  </si>
  <si>
    <t xml:space="preserve">Maman Küsters s'en va au ciel (1975). Le Droit du plus fort (1975) : </t>
  </si>
  <si>
    <t>Fassbinder y joue un rôle principal, assumant une visibilité politique de son homosexualité.</t>
  </si>
  <si>
    <t>1977-1979</t>
  </si>
  <si>
    <t>Suicide d'Armin Meier (31 mai 1978). Début de la collaboration avec Juliane Lorenz. Fassbinder se filme en crise, exposant son angoisse face à l'État.</t>
  </si>
  <si>
    <t>L'Année des treize lunes (1978) : œuvre radicale sur le désespoir. Le Mariage de Maria Braun (1979) : triomphe international, allégorie de la reconstruction.</t>
  </si>
  <si>
    <t>mélodrame</t>
  </si>
  <si>
    <t>1980-1981</t>
  </si>
  <si>
    <t>Fondation des Verts (1980). Manifestations écologistes. Fin de l'ère sociale-libérale.</t>
  </si>
  <si>
    <t>Travaille frénétiquement. Réalise son projet de vie : l'adaptation de Döblin. Épuisement physique dû aux excès.</t>
  </si>
  <si>
    <t>Monumental Berlin Alexanderplatz (1980, 15h). Suite de la Trilogie de la RFA : Lola, une femme allemande (1981) et Lili Marleen (1981).</t>
  </si>
  <si>
    <t>Mort de Fassbinder marquant symboliquement la fin du Nouveau Cinéma Allemand.</t>
  </si>
  <si>
    <t>Décès de Fassbinder le 10 juin à Munich, à l'âge de 37 ans (épuisement et overdose).</t>
  </si>
  <si>
    <t>Le Secret de Veronika Voss (Ours d'Or à Berlin). Querelle (œuvre posthume). Fassbinder laisse un héritage de plus de 40 films.</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</si>
  <si>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</si>
  <si>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</si>
  <si>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</si>
  <si>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</si>
  <si>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</si>
  <si>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</si>
  <si>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</si>
  <si>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</si>
  <si>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</si>
  <si>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</si>
  <si>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</si>
  <si>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</si>
  <si>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</si>
  <si>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démilatarisation et dénazification</t>
  </si>
  <si>
    <t xml:space="preserve">Le cinéma est en ruines. Premières projection des Moulins de la mort (Todesmühen), un documentaire sur les camps de concentration. </t>
  </si>
  <si>
    <t>Naissance de Rainer Werner Fassbinder le 31 mai à Bad Wörishofen, Bavière. Père médecin généraliste, mère traductrice. Première année passée chez son oncle paternel</t>
  </si>
  <si>
    <t xml:space="preserve">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t>
  </si>
  <si>
    <t xml:space="preserve">Fondation de la DEFA (Deutsch Film AG) à Berlin Est. Premières productions de films allemands de fiction depuis la fin de la guerre. 
Vogue de l'évocation mélancolique de la patrie dans la chanson de variété allemande avec "Möwe, di fliegst in die Heimat" de Magda Hein. </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</si>
  <si>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</si>
  <si>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</si>
  <si>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</si>
  <si>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</si>
  <si>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</si>
  <si>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t>
  </si>
  <si>
    <r>
      <t xml:space="preserve">Le film de Rossellini </t>
    </r>
    <r>
      <rPr>
        <i/>
        <sz val="10"/>
        <color rgb="FF000000"/>
        <rFont val="Arial"/>
        <family val="2"/>
      </rPr>
      <t>Allemagne année zéro</t>
    </r>
    <r>
      <rPr>
        <sz val="10"/>
        <color rgb="FF000000"/>
        <rFont val="Arial"/>
        <family val="2"/>
      </rPr>
      <t xml:space="preserve"> offre une vision réaliste et critique de l'Allemagne en ruine</t>
    </r>
  </si>
  <si>
    <t>Le blocus de Berlin en 3 minutes</t>
  </si>
  <si>
    <t>Allemagne_annee_0_Reichstag.mp4</t>
  </si>
  <si>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</si>
  <si>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t>Comment Rossellini traduit-il une relation complexe avec l'Histoire, entre fascination, terreur, et hantise ?</t>
  </si>
  <si>
    <t xml:space="preserve">Création de l'OTAN. Création de la RFA. Konrad Adenauer est élu chancelier fédéral avec une courte majorité. La division de l'Allemande en deux états indépendants est reconnue par la communauté internationale. </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</si>
  <si>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Thomas Mann donne des conférences  en Allemagne de l'ouest et en République démocratique (voir le film de Pavec Pwalikoscki Fatherland (2026))</t>
    </r>
  </si>
  <si>
    <t>Bande Annonce de Fatherland de Pavel Pawlikoski</t>
  </si>
  <si>
    <t>Portrait d'Adenauer</t>
  </si>
  <si>
    <t xml:space="preserve">La mère de Fassbinder Lisolette Eder, née Pempeit, dite aussi Lilo Pempeit, est hospitalisée pour cause de tuberculose. </t>
  </si>
  <si>
    <t>,,,,,,,,,,,,,,,,,,,,,,,,,,,,,,,,,,,,,,,,,,,,,,,,,,,,,,,,,,,,,,,,,,,,,,,,,,,,,,,,,,,,,,,,,,,,,,,,,,,,,,,,,,,,,,,,,,,,,,,,,,,,,,,,,,,,,,,,,,,,,,,,,,,,,,,,,,,,,,,,,,,,,,,,,,,,,,,,,,,,,,,,,,,,,,,,,,,,,,,,,,,,,,,,,,,,,,,,,,,,,</t>
  </si>
  <si>
    <t xml:space="preserve">Création du Traité de "la communauté du charbon et de l'acier", début de la construction européenne autour de 6 pays. </t>
  </si>
  <si>
    <t xml:space="preserve">Divorce des parents. Le père de RWF, Helmut Fassbinder, s'installe à Cologne. RWF reste à Munich avec sa mère. </t>
  </si>
  <si>
    <t xml:space="preserve">Traité de réparation avec Israël signé par Adenauer. </t>
  </si>
  <si>
    <t>Première émission de télévision dans le nord et l'ouest de la RFA</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</si>
  <si>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</si>
  <si>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</si>
  <si>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</si>
  <si>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Révolte des ouvriers berlinois est-allemands écrasée par les chars soviétiques. 
Adenauer est réélu chancelier avec une coalition de centre droit</t>
  </si>
  <si>
    <t>Premiers concerts de rock'n'roll en RFA à Hambourg et Francfort.</t>
  </si>
  <si>
    <t>La révolte des ouvriers est-allemands</t>
  </si>
  <si>
    <r>
      <t>Sissi</t>
    </r>
    <r>
      <rPr>
        <sz val="10"/>
        <color rgb="FF000000"/>
        <rFont val="Arial"/>
        <family val="2"/>
      </rPr>
      <t xml:space="preserve"> d'Ernst Marischka avec Romy Schneider et Karlheinz Böhm, qui deviendra un acteur récurrent du cinéma de Fassbinder </t>
    </r>
  </si>
  <si>
    <t>Bande Annonce de Sissi (1955)</t>
  </si>
  <si>
    <t>Bohm.jpg</t>
  </si>
  <si>
    <t>Karlheinz Böhm</t>
  </si>
  <si>
    <t xml:space="preserve">RWF est lycéen à Munich. </t>
  </si>
  <si>
    <t xml:space="preserve">Adenauer fête ses 80 ans. 
Le KDP, parti communiste ouest-allemand, est interdit. </t>
  </si>
  <si>
    <t>découvrir Brecht avec l'INA</t>
  </si>
  <si>
    <t>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t>
  </si>
  <si>
    <r>
      <rPr>
        <i/>
        <sz val="10"/>
        <color theme="1"/>
        <rFont val="Arial"/>
        <family val="2"/>
      </rPr>
      <t>L'opéra de quat'sous</t>
    </r>
    <r>
      <rPr>
        <sz val="10"/>
        <color theme="1"/>
        <rFont val="Arial"/>
        <family val="2"/>
      </rPr>
      <t xml:space="preserve"> de Brecht (1928) est diffusé à la télévision est obient un taux d'audience de 81,2%. 
L'appel à boycotter les pièces de Brecht est refusé par la plupart des théâtres ouest-allemands. </t>
    </r>
  </si>
  <si>
    <t xml:space="preserve">Le SPD (parti social-démocrate allemand), adopte le programme de Bad-Godesberg : pour la première fois, le SPD abandonne formellement les idées d'inspiration marxiste. Il reconnaît l'économie de marché et se dit lié au peuple entier, non aux seuls travailleurs.
</t>
  </si>
  <si>
    <r>
      <t xml:space="preserve">La vogue du </t>
    </r>
    <r>
      <rPr>
        <i/>
        <sz val="10"/>
        <color theme="1"/>
        <rFont val="Arial"/>
        <family val="2"/>
      </rPr>
      <t xml:space="preserve">hula-hoop </t>
    </r>
    <r>
      <rPr>
        <sz val="10"/>
        <color theme="1"/>
        <rFont val="Arial"/>
        <family val="2"/>
      </rPr>
      <t>déferle sur l'Allemagne</t>
    </r>
  </si>
  <si>
    <r>
      <t xml:space="preserve">Les œuvres de Fassbinder témoignent de l'influence du Rock'nRoll sur la culture populaire ouest-allemande, notamment dans </t>
    </r>
    <r>
      <rPr>
        <i/>
        <sz val="10"/>
        <rFont val="Arial"/>
        <family val="2"/>
      </rPr>
      <t xml:space="preserve">huit heures ne font pas un jour. </t>
    </r>
  </si>
  <si>
    <t xml:space="preserve">Le constructeur automobile Volkswagen est privatisé à hauteur de 60% de son capital. 78% des ménages ouest-allemands disposent d'un réfrigérateur contre 25% en France. 42% mossèdent une voiture. La société de consommation de masse est une réalité en RFA.
Adolf Eichamnn est extradé en Israel. </t>
  </si>
  <si>
    <r>
      <t xml:space="preserve">Fin de la série télévisée </t>
    </r>
    <r>
      <rPr>
        <i/>
        <sz val="10"/>
        <color theme="1"/>
        <rFont val="Arial"/>
        <family val="2"/>
      </rPr>
      <t xml:space="preserve">Die familie Schölermann </t>
    </r>
    <r>
      <rPr>
        <sz val="10"/>
        <color theme="1"/>
        <rFont val="Arial"/>
        <family val="2"/>
      </rPr>
      <t xml:space="preserve">(111 épisodes depuis 1954), extrêmement populaire (70% à 90% d'audience). Elle est remplacée par un nouveau feuilleton </t>
    </r>
    <r>
      <rPr>
        <i/>
        <sz val="10"/>
        <color theme="1"/>
        <rFont val="Arial"/>
        <family val="2"/>
      </rPr>
      <t>Die Firma Hesselbach</t>
    </r>
  </si>
  <si>
    <t>RWF commence à écrire des nouvelles et de petites pièces de théâtre</t>
  </si>
  <si>
    <t>Construction du Mur de Berlin (1961). Adenauer est rééel chancelier fédéral.
Procès d'Eichmann en Israel.</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</si>
  <si>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</si>
  <si>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</si>
  <si>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r>
      <t xml:space="preserve">"Représenter l'Allemagne, ce n'est pas seulement adopter une position critique, c'est inventer une nouvelle manière". </t>
    </r>
    <r>
      <rPr>
        <i/>
        <sz val="10"/>
        <rFont val="Arial"/>
        <family val="2"/>
      </rPr>
      <t>R. W. Fassbinder, cinéaste d’Allemagne</t>
    </r>
    <r>
      <rPr>
        <sz val="10"/>
        <rFont val="Arial"/>
        <family val="2"/>
      </rPr>
      <t>, de Thomas Elsaesser, Centre Pompidou, 2005, p.26</t>
    </r>
  </si>
  <si>
    <t>Visite de J.F Kennedy à Berlin-ouest : "ich bin ein Berliner". 
Procès d'Auschwitz à Francfort (1963-1965)
Démission d'Adenauer à 87 ans. Ludwijg Ehrard, père du "miracle économique", devient Chancelier de la RFA.</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</si>
  <si>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</si>
  <si>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</si>
  <si>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</si>
  <si>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</si>
  <si>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</si>
  <si>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</si>
  <si>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</si>
  <si>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</si>
  <si>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 xml:space="preserve">Une majorité sociale-libérale place Willy Brandt au pouvoir. </t>
  </si>
  <si>
    <t>Terrorisme de la RAF (arrestations en 1972). Attentat des JO de Munich (1972). Démission de Willy Brandt (1974) suite à l'affaire Guillaume. Un virage conservateur s'opère.</t>
  </si>
  <si>
    <t>Liaison avec El Hedi ben Salem. Direction du TAT à Francfort. Collaboration avec le caméraman Michael Ballhaus. Succès international.</t>
  </si>
  <si>
    <t>Maria_braun.jpeg</t>
  </si>
  <si>
    <r>
      <t xml:space="preserve">Affiche du </t>
    </r>
    <r>
      <rPr>
        <i/>
        <sz val="10"/>
        <color rgb="FF000000"/>
        <rFont val="Arial"/>
        <family val="2"/>
      </rPr>
      <t>Mariage de Maria Braun</t>
    </r>
  </si>
  <si>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</si>
  <si>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</si>
  <si>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rFont val="Arial"/>
        <family val="2"/>
      </rPr>
      <t xml:space="preserve">La troisième génération, </t>
    </r>
    <r>
      <rPr>
        <sz val="10"/>
        <rFont val="Arial"/>
        <family val="2"/>
      </rPr>
      <t xml:space="preserve">film inspiré par les actions de la RAF et la violence d'Etat, est compliqué à produire. </t>
    </r>
    <r>
      <rPr>
        <i/>
        <sz val="10"/>
        <rFont val="Arial"/>
        <family val="2"/>
      </rPr>
      <t xml:space="preserve">Le Mariage de Maria Braun </t>
    </r>
    <r>
      <rPr>
        <sz val="10"/>
        <rFont val="Arial"/>
        <family val="2"/>
      </rPr>
      <t xml:space="preserve">allégorie de la reconstruction allemande, connaît un triomphe international.  </t>
    </r>
  </si>
  <si>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</si>
  <si>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Schapuspieler, Filmemacher, </t>
    </r>
    <r>
      <rPr>
        <sz val="10"/>
        <rFont val="Arial"/>
        <family val="2"/>
      </rPr>
      <t>Argon, 1992, p.77</t>
    </r>
  </si>
  <si>
    <t>Victoire de la CDU en octobre : Helmut Kohl devient chancelier. Fin d'une époque artistique et politique radicale.</t>
  </si>
  <si>
    <r>
      <t xml:space="preserve">"Je ne pense pas qu'il fait fait un seul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</si>
  <si>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Catégorie</t>
  </si>
  <si>
    <t>Référence bibliographique</t>
  </si>
  <si>
    <t>Usage dans la frise</t>
  </si>
  <si>
    <t>Lien</t>
  </si>
  <si>
    <t>Histoire allemande</t>
  </si>
  <si>
    <r>
      <t>R. W. Fassbinder, cinéaste d’Allemagne</t>
    </r>
    <r>
      <rPr>
        <sz val="12"/>
        <rFont val="Aptos"/>
      </rPr>
      <t>, de Thomas Elsaesser, Centre Pompidou, 2005</t>
    </r>
    <r>
      <rPr>
        <i/>
        <sz val="12"/>
        <rFont val="Aptos"/>
      </rPr>
      <t>, pp. 490-507</t>
    </r>
  </si>
  <si>
    <t>Repères historiques, chronologie politique</t>
  </si>
  <si>
    <t>Fassbinder</t>
  </si>
  <si>
    <r>
      <t>R. W. Fassbinder, cinéaste d’Allemagne</t>
    </r>
    <r>
      <rPr>
        <sz val="12"/>
        <rFont val="Aptos"/>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</si>
  <si>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</si>
  <si>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</si>
  <si>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</si>
  <si>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</si>
  <si>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</si>
  <si>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</si>
  <si>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</si>
  <si>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</si>
  <si>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</si>
  <si>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</si>
  <si>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</si>
  <si>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</si>
  <si>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</si>
  <si>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</si>
  <si>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</si>
  <si>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</si>
  <si>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</si>
  <si>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</si>
  <si>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</si>
  <si>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</si>
  <si>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</si>
  <si>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</si>
  <si>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</si>
  <si>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</si>
  <si>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</si>
  <si>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</si>
  <si>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</si>
  <si>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</si>
  <si>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</si>
  <si>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</si>
  <si>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</si>
  <si>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</si>
  <si>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</si>
  <si>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</si>
  <si>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</si>
  <si>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</si>
  <si>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</si>
  <si>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</si>
  <si>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</si>
  <si>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</si>
  <si>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</si>
  <si>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</si>
  <si>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</si>
  <si>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</si>
  <si>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</si>
  <si>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</si>
  <si>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</si>
  <si>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</si>
  <si>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</si>
  <si>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</si>
  <si>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</si>
  <si>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</si>
  <si>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</si>
  <si>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</si>
  <si>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</si>
  <si>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</si>
  <si>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</si>
  <si>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</si>
  <si>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</si>
  <si>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</si>
  <si>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</si>
  <si>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</si>
  <si>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</si>
  <si>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</si>
  <si>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</si>
  <si>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</si>
  <si>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</si>
  <si>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</si>
  <si>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</si>
  <si>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</si>
  <si>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</si>
  <si>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</si>
  <si>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</si>
  <si>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</si>
  <si>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</si>
  <si>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</si>
  <si>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</si>
  <si>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</si>
  <si>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</si>
  <si>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</si>
  <si>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</si>
  <si>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</si>
  <si>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</si>
  <si>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</si>
  <si>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</si>
  <si>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</si>
  <si>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</si>
  <si>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</si>
  <si>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</si>
  <si>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</si>
  <si>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</si>
  <si>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</si>
  <si>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</si>
  <si>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</si>
  <si>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</si>
  <si>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</si>
  <si>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</si>
  <si>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</si>
  <si>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</si>
  <si>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</si>
  <si>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L'amour est plus froid que la mort (1969),  Le Bouc (1969)</t>
  </si>
  <si>
    <r>
      <rPr>
        <i/>
        <sz val="12"/>
        <color theme="1"/>
        <rFont val="Aptos Narrow"/>
      </rPr>
      <t>Le bouc</t>
    </r>
    <r>
      <rPr>
        <sz val="12"/>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</si>
  <si>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r>
      <t xml:space="preserve">La pièce </t>
    </r>
    <r>
      <rPr>
        <i/>
        <sz val="10"/>
        <color theme="1"/>
        <rFont val="Arial"/>
        <family val="2"/>
      </rPr>
      <t xml:space="preserve">outrage au public </t>
    </r>
    <r>
      <rPr>
        <sz val="10"/>
        <color theme="1"/>
        <rFont val="Arial"/>
        <family val="2"/>
      </rPr>
      <t xml:space="preserve">du dramaturge allemand Peter Handke témoigne du goût de l'avant-garde  artistique subentionnée pour une forme de provocation à l'égard du public, manière paradoxale de s'affranchir de la tutelle culturelle dont ils bénéficient. </t>
    </r>
  </si>
  <si>
    <t>"Il m'est impossible de comprende qu'on puisse travailler avec un outil comme la caméra en ne se souciant pas du spectateur", interview avec Norbert Sparrow, in Cinéste, WIII/2 automne 1977</t>
  </si>
  <si>
    <t>Remariage de Lilo avec un journaliste, Wolff Eder. Relations difficiles entre RWF et son beau-père. 
RWF revient à Munich mais vit dans un pensionnat.
RWF commence à assumer ouvertement son homosexualité, fait rare pour l'époque.</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</si>
  <si>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</si>
  <si>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</si>
  <si>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Effi Briest permet à RWF d'obtenir une reconnaissance plus large en Allemagne, qui tempère sa réputation d'enfant terrible du cinéma</t>
  </si>
  <si>
    <t>De l’année zéro au miracle économique|https://youtu.be/BC4BffkWyY8?si=e80MWCLF0K9Fgiub; Jalousie de Catharina Valente|https://youtu.be/-ugDTj7UFtU?si=vzGNySrsaYGKZW0k</t>
  </si>
  <si>
    <t>Fondation du Filmverlag der Autoren (1971), une société indépendante, par quelques cinéastes dont RWF. La société est d'abord autogérée.
Accords Film-Télévision (1974) favorisant les coproductions (WDR).</t>
  </si>
  <si>
    <t>RWF parvient à évincer Werner Schroeter qui souhaitait réaliser une adaptation de Querelle de Jean Genet.  Mort de Fassbinder marquant symboliquement la fin du Nouveau Cinéma Allemand.</t>
  </si>
  <si>
    <t xml:space="preserve">Découverte des mélodrames de Douglas Sirk grâce à Peer Raben .Liaison avec El Hedi ben Salem. Direction du TAT à Francfort. Collaboration avec le caméraman Michael Ballhaus. Succès international. Les films de RWF deviennent incontournables dans les grands festivals internationaux (Cannes, Venise, Berlin). </t>
  </si>
  <si>
    <t xml:space="preserve">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t>
  </si>
  <si>
    <r>
      <rPr>
        <i/>
        <sz val="10"/>
        <color theme="1"/>
        <rFont val="Arial"/>
        <family val="2"/>
      </rPr>
      <t>Lola, une femme allemande</t>
    </r>
    <r>
      <rPr>
        <sz val="10"/>
        <color theme="1"/>
        <rFont val="Arial"/>
        <family val="2"/>
      </rPr>
      <t xml:space="preserve"> est d'abord conçu comme un remake de L</t>
    </r>
    <r>
      <rPr>
        <i/>
        <sz val="10"/>
        <color theme="1"/>
        <rFont val="Arial"/>
        <family val="2"/>
      </rPr>
      <t xml:space="preserve">'ange bleu </t>
    </r>
    <r>
      <rPr>
        <sz val="10"/>
        <color theme="1"/>
        <rFont val="Arial"/>
        <family val="2"/>
      </rPr>
      <t>de Josphe von Sternberg (1930).</t>
    </r>
  </si>
  <si>
    <t xml:space="preserve">Comment l'Allemagne de l'ouest a-t-elle pu devenir une des premières nations industrielles capitalistes et une démocratie alors même qu'elle était marquée par le provincialisme, l'absence de morale et l'hypocrisie ? </t>
  </si>
  <si>
    <t xml:space="preserve">Que serait un cinéma nouveau prenant à bras le corps l'histoire de l'Allemagne et du cinéma, tout en s'en détachant ? </t>
  </si>
  <si>
    <t xml:space="preserve">Qu'-est-ce qu'un cinéaste engagé ? </t>
  </si>
  <si>
    <t xml:space="preserve">Comment faire du cinéma allemand hollywoodien, qui attire et séduise le public le plus large tout en l'amenant à l'analyse et à la réflexion, sans didactisme ? </t>
  </si>
  <si>
    <t xml:space="preserve">Comment le rapport dominant/dominé structure-t-il toute relation, affective ou sociale ? </t>
  </si>
  <si>
    <t>Quelles ambitions pour la série télévisuelle ?</t>
  </si>
  <si>
    <t>Création de la RFA (1949). Ère Adenauer. Miracle économique ( Wirtschaftswunder )  entre 1950 et 1965 l'économie ouest-allemande croît de 8,2% en moyenne (contre 5% en France pendant les 30 glorieuses). La coccinelle de Wolkswagen devient l'emblème du "miracle économique". Les entreprise de taille moyenne constituent la colonne vertébrale de la puissance économique allemande en fournissant les outils spécialisés nécessaires à l'industrie. 
Parallèmement, l'état  développe une politique sociale conservatrice. Réarmement de la RFA (1955).</t>
  </si>
  <si>
    <r>
      <t xml:space="preserve">L'œuvre de Fassbinder proposera plus tard une radiographie critique de ce "point zéro" de la nouvelle Allemagne, notamment dans </t>
    </r>
    <r>
      <rPr>
        <i/>
        <sz val="10"/>
        <color theme="1"/>
        <rFont val="Arial"/>
        <family val="2"/>
      </rPr>
      <t>Le mariage de Maria Braun</t>
    </r>
  </si>
  <si>
    <t>"Le cinéma de Papa est mort. Nous croyons au nouveau cinéma " Manifeste d'Oberhausen (1962)
«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</si>
  <si>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t>Manifeste d'Oberhausen (1962) : naissance du Nouveau Cinéma Allemand. Une nouvelle génération de cinéastes s'affirme et conquiert son indépendance notamment par la création de structures de production indépendantes. Fondation de l'école de cinéma DFFB à Berlin (1966).
Cette génération incarne le phénomène de la "société sans père" et "la crise du patriarcat". L'absence ou la défaillance des pères devient un thème récurrent du Nouveau Cinéma allemand.</t>
  </si>
  <si>
    <r>
      <t xml:space="preserve">Jochen et ses collègues, dans </t>
    </r>
    <r>
      <rPr>
        <i/>
        <sz val="10"/>
        <color theme="1"/>
        <rFont val="Arial"/>
        <family val="2"/>
      </rPr>
      <t xml:space="preserve">Huit heures ne font pas un jour, </t>
    </r>
    <r>
      <rPr>
        <sz val="10"/>
        <color theme="1"/>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theme="1"/>
        <rFont val="Arial"/>
        <family val="2"/>
      </rPr>
      <t>Huit heures ne font pas un jour</t>
    </r>
    <r>
      <rPr>
        <sz val="10"/>
        <color theme="1"/>
        <rFont val="Arial"/>
        <family val="2"/>
      </rPr>
      <t xml:space="preserve">, l'ascension de </t>
    </r>
    <r>
      <rPr>
        <i/>
        <sz val="10"/>
        <color theme="1"/>
        <rFont val="Arial"/>
        <family val="2"/>
      </rPr>
      <t>Maria Braun)</t>
    </r>
  </si>
  <si>
    <t xml:space="preserve">Le chancelier Willy Brandt se rend en Pologne et s'agenouille devant le mémorial du ghetto de Varsovie. </t>
  </si>
  <si>
    <r>
      <t xml:space="preserve">Décès de Bertold Brecht
</t>
    </r>
    <r>
      <rPr>
        <i/>
        <sz val="10"/>
        <color theme="1"/>
        <rFont val="Arial"/>
        <family val="2"/>
      </rPr>
      <t xml:space="preserve">Nuit et brouillard </t>
    </r>
    <r>
      <rPr>
        <sz val="10"/>
        <color theme="1"/>
        <rFont val="Arial"/>
        <family val="2"/>
      </rPr>
      <t xml:space="preserve">d'Alain Resnais. </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</si>
  <si>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rFont val="Arial"/>
        <family val="2"/>
      </rPr>
      <t>, 1992, p.178</t>
    </r>
  </si>
  <si>
    <t xml:space="preserve">Domination du "cinéma de papa" ( Papas Kino ) : films de terroir ( Heimatfilm ), comédies légères dépolitisées, films en costumes , comédies musicales obitennent toujours les faveurs du public. Ces genres nés dans les années 10 et 20 ont été très exploités par les nazis.
Freddy Quinn, Rocco Granata ou Catharina Valente sont les stars de la culture populaire allemande. 
Il n'existe presque aucun film allemand des années 50 et 60 qui traite des camps de concentration nazis. Le cinéma allemand de la période s'intéresse peu à l'histoire. </t>
  </si>
  <si>
    <t>le cinéaste Edgar Reitz affirme la nécessité " de films, de livres, d'images qui nous fassent reprendre connaissance et rétablissent nos réflexes", Medium, 5/1979, p.21</t>
  </si>
  <si>
    <r>
      <t xml:space="preserve">"Mein Herr", numéro de </t>
    </r>
    <r>
      <rPr>
        <i/>
        <sz val="10"/>
        <rFont val="Arial"/>
        <family val="2"/>
      </rPr>
      <t>Cabaret |</t>
    </r>
    <r>
      <rPr>
        <sz val="10"/>
        <rFont val="Arial"/>
        <family val="2"/>
      </rPr>
      <t>https://www.youtube.com/watch?v=qBjiQ5oDHBc</t>
    </r>
  </si>
  <si>
    <r>
      <rPr>
        <i/>
        <sz val="10"/>
        <color theme="1"/>
        <rFont val="Arial"/>
        <family val="2"/>
      </rPr>
      <t xml:space="preserve">Aguirre, la colère de Dieu </t>
    </r>
    <r>
      <rPr>
        <sz val="10"/>
        <color theme="1"/>
        <rFont val="Arial"/>
        <family val="2"/>
      </rPr>
      <t>de Werner Herzog (1972)
Cabaret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transfressions culturelles qui bouleversent l'histoire des représentations.</t>
    </r>
  </si>
  <si>
    <r>
      <rPr>
        <i/>
        <sz val="10"/>
        <color rgb="FF000000"/>
        <rFont val="Arial"/>
        <family val="2"/>
      </rPr>
      <t>Portier de nuit</t>
    </r>
    <r>
      <rPr>
        <sz val="10"/>
        <color rgb="FF000000"/>
        <rFont val="Arial"/>
        <family val="2"/>
      </rPr>
      <t xml:space="preserve"> de Liliana Cavani</t>
    </r>
  </si>
  <si>
    <t>M. Klein de Joseph Losey</t>
  </si>
  <si>
    <r>
      <t xml:space="preserve">Jean-Marie Straub sort son premier court-métrage, </t>
    </r>
    <r>
      <rPr>
        <i/>
        <sz val="10"/>
        <color theme="1"/>
        <rFont val="Arial"/>
        <family val="2"/>
      </rPr>
      <t>Machorka Muff,</t>
    </r>
    <r>
      <rPr>
        <sz val="10"/>
        <color theme="1"/>
        <rFont val="Arial"/>
        <family val="2"/>
      </rPr>
      <t xml:space="preserve"> d'après un roman d'Heinrich Böll.
Création de la deuxième chaîne de télévision ouest-allemande, la ZDF.
Hannah Arendt, qui a suivi le procès d'Eichmann pour la revue Le New-Yorke</t>
    </r>
    <r>
      <rPr>
        <i/>
        <sz val="10"/>
        <color theme="1"/>
        <rFont val="Arial"/>
        <family val="2"/>
      </rPr>
      <t>r</t>
    </r>
    <r>
      <rPr>
        <sz val="10"/>
        <color theme="1"/>
        <rFont val="Arial"/>
        <family val="2"/>
      </rPr>
      <t xml:space="preserve">,  publie </t>
    </r>
    <r>
      <rPr>
        <i/>
        <sz val="10"/>
        <color theme="1"/>
        <rFont val="Arial"/>
        <family val="2"/>
      </rPr>
      <t>Eichmann à Jérusalem : Rapport sur la banalité du mal</t>
    </r>
    <r>
      <rPr>
        <sz val="10"/>
        <color theme="1"/>
        <rFont val="Arial"/>
        <family val="2"/>
      </rPr>
      <t xml:space="preserve">
Alexander Mitscherlich publie</t>
    </r>
    <r>
      <rPr>
        <i/>
        <sz val="10"/>
        <color theme="1"/>
        <rFont val="Arial"/>
        <family val="2"/>
      </rPr>
      <t xml:space="preserve"> La société sans père </t>
    </r>
    <r>
      <rPr>
        <sz val="10"/>
        <color theme="1"/>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</si>
  <si>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t xml:space="preserve">La parution du </t>
    </r>
    <r>
      <rPr>
        <i/>
        <sz val="10"/>
        <color theme="1"/>
        <rFont val="Arial"/>
        <family val="2"/>
      </rPr>
      <t>Deuil impossible</t>
    </r>
    <r>
      <rPr>
        <sz val="10"/>
        <color theme="1"/>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règnent RFA, le refoulement dedu passé. L'ouvrage exercce une influence sur les artistes allemands de l'époque. 
Une réflexion sur la mémoire et l'oubli qui n'a rien perdu de son actualité</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</si>
  <si>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</si>
  <si>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Jusqu'à quel point les femmes de la trilogie RFA sont-elles une allégorie de la nation allemande ? Quelle distance RWF prend-il avec la critique historique de son pays ? </t>
  </si>
  <si>
    <r>
      <rPr>
        <i/>
        <sz val="10"/>
        <color theme="1"/>
        <rFont val="Arial"/>
        <family val="2"/>
      </rPr>
      <t>Automne Allemand</t>
    </r>
    <r>
      <rPr>
        <sz val="10"/>
        <color theme="1"/>
        <rFont val="Arial"/>
        <family val="2"/>
      </rPr>
      <t xml:space="preserve"> (1977) : enlèvement de Schleyer, détournement du Landshut, morts à Stammheim. </t>
    </r>
  </si>
  <si>
    <r>
      <rPr>
        <i/>
        <sz val="10"/>
        <color theme="1"/>
        <rFont val="Arial"/>
        <family val="2"/>
      </rPr>
      <t xml:space="preserve">Despair, </t>
    </r>
    <r>
      <rPr>
        <sz val="10"/>
        <color theme="1"/>
        <rFont val="Arial"/>
        <family val="2"/>
      </rPr>
      <t xml:space="preserve">deuxième coproduction internationale de RWF avec Dirk Bogarde et Andra Ferreol, deux acteurs importants du cinéma moderne européen, en compétition à Cannes en 1978
</t>
    </r>
    <r>
      <rPr>
        <i/>
        <sz val="10"/>
        <color theme="1"/>
        <rFont val="Arial"/>
        <family val="2"/>
      </rPr>
      <t>Le mariage de Maria Braun</t>
    </r>
    <r>
      <rPr>
        <sz val="10"/>
        <color theme="1"/>
        <rFont val="Arial"/>
        <family val="2"/>
      </rPr>
      <t xml:space="preserve">, en compétition officielle à Berlin en 1979
</t>
    </r>
    <r>
      <rPr>
        <i/>
        <sz val="10"/>
        <color theme="1"/>
        <rFont val="Arial"/>
        <family val="2"/>
      </rPr>
      <t>L'Année des treize lune</t>
    </r>
    <r>
      <rPr>
        <sz val="10"/>
        <color theme="1"/>
        <rFont val="Arial"/>
        <family val="2"/>
      </rPr>
      <t xml:space="preserve">s poursuit la réflexion entamée   sur le désespoir. 
L'épisode réalisé par RWF dans </t>
    </r>
    <r>
      <rPr>
        <i/>
        <sz val="10"/>
        <color theme="1"/>
        <rFont val="Arial"/>
        <family val="2"/>
      </rPr>
      <t>L'Allemagne en automne</t>
    </r>
    <r>
      <rPr>
        <sz val="10"/>
        <color theme="1"/>
        <rFont val="Arial"/>
        <family val="2"/>
      </rPr>
      <t xml:space="preserve"> offre une relecture des actions commises par la RAF sur le mode de l'autofiction.</t>
    </r>
  </si>
  <si>
    <t>film-1978-le-mariage-de-maria-braun</t>
  </si>
  <si>
    <r>
      <rPr>
        <i/>
        <sz val="10"/>
        <color theme="1"/>
        <rFont val="Arial"/>
        <family val="2"/>
      </rPr>
      <t>Les damnés</t>
    </r>
    <r>
      <rPr>
        <sz val="10"/>
        <color theme="1"/>
        <rFont val="Arial"/>
        <family val="2"/>
      </rPr>
      <t>, mélodrame de Visconti, travaille à interroger le régime nazi et sla manière dont l'imagerie nazie, qui érotise de manière spectaculaire le pouvoir, contamine moralement les esprits. L'éloignement du néoréalisme est maximal.</t>
    </r>
  </si>
  <si>
    <r>
      <t xml:space="preserve"> Fondation du </t>
    </r>
    <r>
      <rPr>
        <i/>
        <sz val="10"/>
        <color theme="1"/>
        <rFont val="Arial"/>
        <family val="2"/>
      </rPr>
      <t>Filmverlag der Autoren</t>
    </r>
    <r>
      <rPr>
        <sz val="10"/>
        <color theme="1"/>
        <rFont val="Arial"/>
        <family val="2"/>
      </rPr>
      <t xml:space="preserve"> (1971). Accords Film-Télévision (1974) favorisant les coproductions (WDR).
Plusieurs cinéastes allemands ( Schlöndorff, Herzog notamment) réalisent des charges politiques violentes contre la politique et la société allemande. Pourtant l'amnnésie historique se poursuit dans le cinéma allemand de fiction. Seuls des documentaires s'emparent de l'histoire du nazisme.
A parti de 1968 l'industrie du cinéma commercial allemand agonise</t>
    </r>
  </si>
  <si>
    <t xml:space="preserve">RWF, figure du collectif  politique des années 60 et 70 ou d'héritier de la figure du génie romantique et du poète maudit ? Auteur ou cinéaste populaire ? </t>
  </si>
  <si>
    <t>Le retour de l'histoire</t>
  </si>
  <si>
    <t>La fin d'un ère</t>
  </si>
  <si>
    <t>La mort du Maître</t>
  </si>
  <si>
    <r>
      <rPr>
        <i/>
        <sz val="10"/>
        <rFont val="Arial"/>
        <family val="2"/>
      </rPr>
      <t xml:space="preserve">Le mariage de Maria Braun </t>
    </r>
    <r>
      <rPr>
        <sz val="10"/>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</si>
  <si>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theme="1"/>
        <rFont val="Arial"/>
        <family val="2"/>
      </rPr>
      <t>de Helma Sanders-Brahms. 
Début du tournage d'</t>
    </r>
    <r>
      <rPr>
        <i/>
        <sz val="10"/>
        <color theme="1"/>
        <rFont val="Arial"/>
        <family val="2"/>
      </rPr>
      <t>Heima</t>
    </r>
    <r>
      <rPr>
        <sz val="10"/>
        <color theme="1"/>
        <rFont val="Arial"/>
        <family val="2"/>
      </rPr>
      <t>t</t>
    </r>
    <r>
      <rPr>
        <i/>
        <sz val="10"/>
        <color theme="1"/>
        <rFont val="Arial"/>
        <family val="2"/>
      </rPr>
      <t xml:space="preserve"> de Karl Reitz qui sera diffusé en 1984</t>
    </r>
  </si>
  <si>
    <r>
      <t xml:space="preserve">Le cinéma allemand s'empare de son histoire passée et récente et réfléchit aux problèmes de représentation qu'elle pose. Film collectif </t>
    </r>
    <r>
      <rPr>
        <i/>
        <sz val="10"/>
        <color theme="1"/>
        <rFont val="Arial"/>
        <family val="2"/>
      </rPr>
      <t>L'Allemagne en automne</t>
    </r>
    <r>
      <rPr>
        <sz val="10"/>
        <color theme="1"/>
        <rFont val="Arial"/>
        <family val="2"/>
      </rPr>
      <t xml:space="preserve"> (1978). La diffusion de la série</t>
    </r>
    <r>
      <rPr>
        <i/>
        <sz val="10"/>
        <color theme="1"/>
        <rFont val="Arial"/>
        <family val="2"/>
      </rPr>
      <t xml:space="preserve"> Holocaust</t>
    </r>
    <r>
      <rPr>
        <sz val="10"/>
        <color theme="1"/>
        <rFont val="Arial"/>
        <family val="2"/>
      </rPr>
      <t xml:space="preserve"> de Marvin J. Chomsky (1979) à la télévision allemande suscite des débats importants, auxquels participent des cinéastes comme Syberberg ou Edgard Reitz. Le mouvement du Nouveau Cinéma allemand atteint son apogée thématique et politique.</t>
    </r>
  </si>
  <si>
    <r>
      <t xml:space="preserve">Hanna Schygulla doit interpréter </t>
    </r>
    <r>
      <rPr>
        <i/>
        <sz val="10"/>
        <rFont val="Arial"/>
        <family val="2"/>
      </rPr>
      <t>Lola une femme allemande</t>
    </r>
    <r>
      <rPr>
        <sz val="10"/>
        <rFont val="Arial"/>
        <family val="2"/>
      </rPr>
      <t>, mais Fassbinder lui retire le rôle furieux que l'actrice ait déclaré qu'elle s'était elle-même distribuée dans le film.</t>
    </r>
  </si>
  <si>
    <r>
      <t xml:space="preserve">Le succès du </t>
    </r>
    <r>
      <rPr>
        <i/>
        <sz val="10"/>
        <color theme="1"/>
        <rFont val="Arial"/>
        <family val="2"/>
      </rPr>
      <t>Mariage de Maria Braun</t>
    </r>
    <r>
      <rPr>
        <sz val="10"/>
        <color theme="1"/>
        <rFont val="Arial"/>
        <family val="2"/>
      </rPr>
      <t xml:space="preserve"> amène RWF à espérer pour voir réaliser </t>
    </r>
    <r>
      <rPr>
        <i/>
        <sz val="10"/>
        <color theme="1"/>
        <rFont val="Arial"/>
        <family val="2"/>
      </rPr>
      <t>Cocaïne</t>
    </r>
    <r>
      <rPr>
        <sz val="10"/>
        <color theme="1"/>
        <rFont val="Arial"/>
        <family val="2"/>
      </rPr>
      <t xml:space="preserve">, l'adaptation d'un roman de Pitigrilli. Il lui permet aussi de renégocier à la hausse le budget de production de </t>
    </r>
    <r>
      <rPr>
        <i/>
        <sz val="10"/>
        <color theme="1"/>
        <rFont val="Arial"/>
        <family val="2"/>
      </rPr>
      <t>Berlin Alexanderplatz</t>
    </r>
    <r>
      <rPr>
        <sz val="10"/>
        <color theme="1"/>
        <rFont val="Arial"/>
        <family val="2"/>
      </rPr>
      <t xml:space="preserve"> : le projet devient le le plus coûteux de l'histoire de la télévision allemande. </t>
    </r>
  </si>
  <si>
    <r>
      <t xml:space="preserve"> Le mouvement atteint son apogée thématique et politique.
</t>
    </r>
    <r>
      <rPr>
        <i/>
        <sz val="10"/>
        <color theme="1"/>
        <rFont val="Arial"/>
        <family val="2"/>
      </rPr>
      <t>Hitler</t>
    </r>
    <r>
      <rPr>
        <sz val="10"/>
        <color theme="1"/>
        <rFont val="Arial"/>
        <family val="2"/>
      </rPr>
      <t xml:space="preserve">, un film d'Allemagne de Syberberg interroge le nazisme à travers son usage des médias (radio et cinéma) et sa mise en spectacle du politique.  Le film révèle commentl Le show business moderne présente une dimension fasciste. 
</t>
    </r>
  </si>
  <si>
    <r>
      <rPr>
        <i/>
        <sz val="10"/>
        <color theme="1"/>
        <rFont val="Arial"/>
        <family val="2"/>
      </rPr>
      <t xml:space="preserve">Automne Allemand </t>
    </r>
    <r>
      <rPr>
        <sz val="10"/>
        <color theme="1"/>
        <rFont val="Arial"/>
        <family val="2"/>
      </rPr>
      <t xml:space="preserve">(1977) : enlèvement de Schleyer, détournement du Landshut, morts à Stammheim. </t>
    </r>
  </si>
  <si>
    <r>
      <t xml:space="preserve">Réalise ses premiers courts métrages : </t>
    </r>
    <r>
      <rPr>
        <i/>
        <sz val="10"/>
        <color theme="1"/>
        <rFont val="Arial"/>
        <family val="2"/>
      </rPr>
      <t>This Night</t>
    </r>
    <r>
      <rPr>
        <sz val="10"/>
        <color theme="1"/>
        <rFont val="Arial"/>
        <family val="2"/>
      </rPr>
      <t xml:space="preserve"> (1966) et </t>
    </r>
    <r>
      <rPr>
        <i/>
        <sz val="10"/>
        <color theme="1"/>
        <rFont val="Arial"/>
        <family val="2"/>
      </rPr>
      <t xml:space="preserve">Le Clochard </t>
    </r>
    <r>
      <rPr>
        <sz val="10"/>
        <color theme="1"/>
        <rFont val="Arial"/>
        <family val="2"/>
      </rPr>
      <t>(1966). Confrontation de la mémoire de la Shoah.</t>
    </r>
  </si>
  <si>
    <t>Petit chaos, court-métrage</t>
  </si>
  <si>
    <t>Whity
Prenez garde à la sainte putain
Pionniers à Ingolstadt - Téléfilm</t>
  </si>
  <si>
    <r>
      <t xml:space="preserve">Le Marchand des quatre saisons
Les larmes amères de Petra von Kant
Liberté à Brême </t>
    </r>
    <r>
      <rPr>
        <sz val="10"/>
        <color theme="1"/>
        <rFont val="Arial"/>
        <family val="2"/>
      </rPr>
      <t>- Téléfilm</t>
    </r>
    <r>
      <rPr>
        <i/>
        <sz val="10"/>
        <color theme="1"/>
        <rFont val="Arial"/>
        <family val="2"/>
      </rPr>
      <t xml:space="preserve">
Huit heures ne font pas un jour </t>
    </r>
    <r>
      <rPr>
        <sz val="10"/>
        <color theme="1"/>
        <rFont val="Arial"/>
        <family val="2"/>
      </rPr>
      <t xml:space="preserve"> - série</t>
    </r>
  </si>
  <si>
    <r>
      <t xml:space="preserve">Gibier de passage </t>
    </r>
    <r>
      <rPr>
        <sz val="10"/>
        <color theme="1"/>
        <rFont val="Arial"/>
        <family val="2"/>
      </rPr>
      <t>-Téléfilm</t>
    </r>
    <r>
      <rPr>
        <i/>
        <sz val="10"/>
        <color theme="1"/>
        <rFont val="Arial"/>
        <family val="2"/>
      </rPr>
      <t xml:space="preserve">
Le monde sur un fil</t>
    </r>
    <r>
      <rPr>
        <sz val="10"/>
        <color theme="1"/>
        <rFont val="Arial"/>
        <family val="2"/>
      </rPr>
      <t xml:space="preserve"> - Téléfilm en parties</t>
    </r>
  </si>
  <si>
    <r>
      <t xml:space="preserve">Effi Briest
Martha - Téléfilm
Tous les autres s'appellent Ali
Noral Helmer - </t>
    </r>
    <r>
      <rPr>
        <sz val="10"/>
        <color theme="1"/>
        <rFont val="Arial"/>
        <family val="2"/>
      </rPr>
      <t>Téléfilm</t>
    </r>
  </si>
  <si>
    <t>Femmes à New York  -Téléfilm
La femme du chef de gare  - Téléfilm</t>
  </si>
  <si>
    <r>
      <rPr>
        <i/>
        <sz val="10"/>
        <color theme="1"/>
        <rFont val="Arial"/>
        <family val="2"/>
      </rPr>
      <t>Maman Küsters s'en va au ciel</t>
    </r>
    <r>
      <rPr>
        <sz val="10"/>
        <color theme="1"/>
        <rFont val="Arial"/>
        <family val="2"/>
      </rPr>
      <t xml:space="preserve"> 
</t>
    </r>
    <r>
      <rPr>
        <i/>
        <sz val="10"/>
        <color theme="1"/>
        <rFont val="Arial"/>
        <family val="2"/>
      </rPr>
      <t>Le Droit du plus fort</t>
    </r>
    <r>
      <rPr>
        <sz val="10"/>
        <color theme="1"/>
        <rFont val="Arial"/>
        <family val="2"/>
      </rPr>
      <t xml:space="preserve"> 
</t>
    </r>
    <r>
      <rPr>
        <i/>
        <sz val="10"/>
        <color theme="1"/>
        <rFont val="Arial"/>
        <family val="2"/>
      </rPr>
      <t>Comme un oiseau sur le film</t>
    </r>
    <r>
      <rPr>
        <sz val="10"/>
        <color theme="1"/>
        <rFont val="Arial"/>
        <family val="2"/>
      </rPr>
      <t xml:space="preserve"> - Téléfilm
</t>
    </r>
    <r>
      <rPr>
        <i/>
        <sz val="10"/>
        <color theme="1"/>
        <rFont val="Arial"/>
        <family val="2"/>
      </rPr>
      <t>Peur de la peur</t>
    </r>
    <r>
      <rPr>
        <sz val="10"/>
        <color theme="1"/>
        <rFont val="Arial"/>
        <family val="2"/>
      </rPr>
      <t xml:space="preserve"> -Téléfilm
</t>
    </r>
  </si>
  <si>
    <r>
      <t xml:space="preserve">Monumental </t>
    </r>
    <r>
      <rPr>
        <i/>
        <sz val="10"/>
        <color theme="1"/>
        <rFont val="Arial"/>
        <family val="2"/>
      </rPr>
      <t>Berlin Alexanderplatz</t>
    </r>
    <r>
      <rPr>
        <sz val="10"/>
        <color theme="1"/>
        <rFont val="Arial"/>
        <family val="2"/>
      </rPr>
      <t xml:space="preserve">  - série en 14 épisodes et un épiloque </t>
    </r>
  </si>
  <si>
    <r>
      <rPr>
        <i/>
        <sz val="10"/>
        <color theme="1"/>
        <rFont val="Arial"/>
        <family val="2"/>
      </rPr>
      <t>Lili Marleen</t>
    </r>
    <r>
      <rPr>
        <sz val="10"/>
        <color theme="1"/>
        <rFont val="Arial"/>
        <family val="2"/>
      </rPr>
      <t xml:space="preserve">
Suite de la Trilogie de la RFA :   </t>
    </r>
    <r>
      <rPr>
        <i/>
        <sz val="10"/>
        <color theme="1"/>
        <rFont val="Arial"/>
        <family val="2"/>
      </rPr>
      <t>Lola, une femme allemande</t>
    </r>
    <r>
      <rPr>
        <sz val="10"/>
        <color theme="1"/>
        <rFont val="Arial"/>
        <family val="2"/>
      </rPr>
      <t xml:space="preserve"> 
</t>
    </r>
    <r>
      <rPr>
        <i/>
        <sz val="10"/>
        <color theme="1"/>
        <rFont val="Arial"/>
        <family val="2"/>
      </rPr>
      <t>Théâtre en transe</t>
    </r>
    <r>
      <rPr>
        <sz val="10"/>
        <color theme="1"/>
        <rFont val="Arial"/>
        <family val="2"/>
      </rPr>
      <t>, documentaire</t>
    </r>
  </si>
  <si>
    <r>
      <t xml:space="preserve">Le secret de Veronika Voss, </t>
    </r>
    <r>
      <rPr>
        <sz val="10"/>
        <color theme="1"/>
        <rFont val="Arial"/>
        <family val="2"/>
      </rPr>
      <t>ours d'or à Berlin</t>
    </r>
    <r>
      <rPr>
        <i/>
        <sz val="10"/>
        <color theme="1"/>
        <rFont val="Arial"/>
        <family val="2"/>
      </rPr>
      <t xml:space="preserve">
Querelle
RWF laisse un héritage de plus de 40 films.</t>
    </r>
  </si>
  <si>
    <r>
      <rPr>
        <i/>
        <sz val="10"/>
        <color theme="1"/>
        <rFont val="Arial"/>
        <family val="2"/>
      </rPr>
      <t>Les dieux de la peste
Pourquoi M. R. est-il atteint de folie meurtrière ?
Le soldat américain</t>
    </r>
    <r>
      <rPr>
        <sz val="10"/>
        <color theme="1"/>
        <rFont val="Arial"/>
        <family val="2"/>
      </rPr>
      <t xml:space="preserve">
</t>
    </r>
    <r>
      <rPr>
        <i/>
        <sz val="10"/>
        <color theme="1"/>
        <rFont val="Arial"/>
        <family val="2"/>
      </rPr>
      <t>Le Voyage à Niklashausen - Téléfilm
Rio das mortes
Le café -</t>
    </r>
    <r>
      <rPr>
        <sz val="10"/>
        <color theme="1"/>
        <rFont val="Arial"/>
        <family val="2"/>
      </rPr>
      <t xml:space="preserve">Téléfilm tiré d'une création théâtrale de Peer Raben et RWF
</t>
    </r>
  </si>
  <si>
    <r>
      <rPr>
        <i/>
        <sz val="10"/>
        <color theme="1"/>
        <rFont val="Arial"/>
        <family val="2"/>
      </rPr>
      <t>L'amour est plus froid que la mort
Le Bouc (</t>
    </r>
    <r>
      <rPr>
        <sz val="10"/>
        <color theme="1"/>
        <rFont val="Arial"/>
        <family val="2"/>
      </rPr>
      <t>succès à Mannheim) : critique de la xénophobie et de l'apathie bourgeoise.</t>
    </r>
  </si>
  <si>
    <t xml:space="preserve">Une grande coalition chrétienne-démocrate voit le jour sous l'autorité du nouveau chancelier Kurt Georg Kiesinger. Willy Brandt est ministre des affaires étrangères et vice-chancelier. </t>
  </si>
  <si>
    <t>Procès d'Eichmann à Jerusalem</t>
  </si>
  <si>
    <r>
      <rPr>
        <i/>
        <sz val="10"/>
        <color theme="1"/>
        <rFont val="Arial"/>
        <family val="2"/>
      </rPr>
      <t>Le tambour</t>
    </r>
    <r>
      <rPr>
        <sz val="10"/>
        <color theme="1"/>
        <rFont val="Arial"/>
        <family val="2"/>
      </rPr>
      <t xml:space="preserve"> de V. Schlondorff obtient la palme d'or à Cannes. 
La diffusion de la série américaine  </t>
    </r>
    <r>
      <rPr>
        <i/>
        <sz val="10"/>
        <color theme="1"/>
        <rFont val="Arial"/>
        <family val="2"/>
      </rPr>
      <t>Holocaust</t>
    </r>
    <r>
      <rPr>
        <sz val="10"/>
        <color theme="1"/>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theme="1"/>
        <rFont val="Arial"/>
        <family val="2"/>
      </rPr>
      <t>soap opera.</t>
    </r>
  </si>
  <si>
    <t xml:space="preserve">Procès Maïdanek à Hambourg
</t>
  </si>
  <si>
    <t xml:space="preserve">Holocaust, une serie eveille les consciences|https://www.ina.fr/ina-eclaire-actu/video/s1313279_001/1979-une-serie-eveille-les-consciences-sur-la-shoah; </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</si>
  <si>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rFont val="Arial"/>
        <family val="2"/>
      </rPr>
      <t>Fassbinder par lui-même</t>
    </r>
    <r>
      <rPr>
        <sz val="10"/>
        <rFont val="Arial"/>
        <family val="2"/>
      </rPr>
      <t>, p.342-343, G3J éditeur, 2010</t>
    </r>
  </si>
  <si>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</si>
  <si>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 xml:space="preserve">RFW devient actionnaire du Filmverlag der Autoren. 
</t>
  </si>
  <si>
    <r>
      <t xml:space="preserve">RWF écrit la pièce </t>
    </r>
    <r>
      <rPr>
        <i/>
        <sz val="10"/>
        <color theme="1"/>
        <rFont val="Arial"/>
        <family val="2"/>
      </rPr>
      <t>Les ordures, la ville et la mort</t>
    </r>
    <r>
      <rPr>
        <sz val="10"/>
        <color theme="1"/>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plublication et l'ouverture du spectacle, la pièce fait scandale. Suite à la circulation de quelques copies du texte et de la publication d'un communiqué de presse,</t>
    </r>
    <r>
      <rPr>
        <i/>
        <sz val="10"/>
        <color theme="1"/>
        <rFont val="Arial"/>
        <family val="2"/>
      </rPr>
      <t xml:space="preserve"> </t>
    </r>
    <r>
      <rPr>
        <sz val="10"/>
        <color theme="1"/>
        <rFont val="Arial"/>
        <family val="2"/>
      </rPr>
      <t xml:space="preserve">RWF est accusé d'antisémtisme, notammant par Joachim C. Fest dont le livre </t>
    </r>
    <r>
      <rPr>
        <i/>
        <sz val="10"/>
        <color theme="1"/>
        <rFont val="Arial"/>
        <family val="2"/>
      </rPr>
      <t xml:space="preserve">Hitler une carrière </t>
    </r>
    <r>
      <rPr>
        <sz val="10"/>
        <color theme="1"/>
        <rFont val="Arial"/>
        <family val="2"/>
      </rPr>
      <t xml:space="preserve">avait contribué à mettre à jour l'existence d'une "vague Hitler" nostalgique au sein de la population, qu'il associait notamment à une gauche "rouge" affilée au fascisme de Moscou. La pièce est abandonnée et RWF interdit qu'on la représente de son vivant en Allemagne. Le projet de téléfilm </t>
    </r>
    <r>
      <rPr>
        <i/>
        <sz val="10"/>
        <color theme="1"/>
        <rFont val="Arial"/>
        <family val="2"/>
      </rPr>
      <t xml:space="preserve">La terre est inhabitable comme la lune, </t>
    </r>
    <r>
      <rPr>
        <sz val="10"/>
        <color theme="1"/>
        <rFont val="Arial"/>
        <family val="2"/>
      </rPr>
      <t>qui s'inspirait en partie des personnages de la pièce, perd ses financements. 
Liaison avec Armin Meier.</t>
    </r>
  </si>
  <si>
    <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rFont val="Arial"/>
        <family val="2"/>
      </rPr>
      <t>L'anarchie de l'imagination P; 76</t>
    </r>
  </si>
  <si>
    <t xml:space="preserve">Victoire d'Helmut Kohl (CDU) en octobre. Fin d'une époque artistique et politique radicale.Kohk se donne comme mission de réconcilier le peuple ouest-allemand avec son passé </t>
  </si>
  <si>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theme="1"/>
        <rFont val="Arial"/>
        <family val="2"/>
      </rPr>
      <t>Droit du plus fort</t>
    </r>
    <r>
      <rPr>
        <sz val="10"/>
        <color theme="1"/>
        <rFont val="Arial"/>
        <family val="2"/>
      </rPr>
      <t>, assumant une visibilité politique de son homosexualité.
Une rétrospective de l'œuvre de RWF à New York suscite l'enthousiasme de la presse américaine. 
Suite au scandale déclenché par Les ordures, la ville et la mort</t>
    </r>
    <r>
      <rPr>
        <i/>
        <sz val="10"/>
        <color theme="1"/>
        <rFont val="Arial"/>
        <family val="2"/>
      </rPr>
      <t xml:space="preserve">, </t>
    </r>
    <r>
      <rPr>
        <sz val="10"/>
        <color theme="1"/>
        <rFont val="Arial"/>
        <family val="2"/>
      </rPr>
      <t xml:space="preserve">RWF subira le soupçon d'antisémtisme dans tous ses autres projets associés à cette question. Pour apprécier la position de RWF, lire "les philosémites sont des antisémites" dans </t>
    </r>
    <r>
      <rPr>
        <i/>
        <sz val="10"/>
        <color theme="1"/>
        <rFont val="Arial"/>
        <family val="2"/>
      </rPr>
      <t xml:space="preserve">L'anarchie de l'imagination, </t>
    </r>
    <r>
      <rPr>
        <sz val="10"/>
        <color theme="1"/>
        <rFont val="Arial"/>
        <family val="2"/>
      </rPr>
      <t xml:space="preserve">et "prise de postion à propos de L'ordure, la ville et la mort dans </t>
    </r>
    <r>
      <rPr>
        <i/>
        <sz val="10"/>
        <color theme="1"/>
        <rFont val="Arial"/>
        <family val="2"/>
      </rPr>
      <t xml:space="preserve">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</si>
  <si>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L'ombre des anges de Daniel Schmid,  d'après la pièce </t>
    </r>
    <r>
      <rPr>
        <i/>
        <sz val="10"/>
        <color theme="1"/>
        <rFont val="Arial"/>
        <family val="2"/>
      </rPr>
      <t>Les ordures, la ville et la mort</t>
    </r>
    <r>
      <rPr>
        <sz val="10"/>
        <color theme="1"/>
        <rFont val="Arial"/>
        <family val="2"/>
      </rPr>
      <t xml:space="preserve">
Le rôti de satan 
Je veux seulement que vous m'aimiez - Téléfilm
Roulette chinoise </t>
    </r>
  </si>
  <si>
    <r>
      <t xml:space="preserve">Il joue dans  </t>
    </r>
    <r>
      <rPr>
        <i/>
        <sz val="10"/>
        <color theme="1"/>
        <rFont val="Arial"/>
        <family val="2"/>
      </rPr>
      <t>L'ombre des anges</t>
    </r>
    <r>
      <rPr>
        <sz val="10"/>
        <color theme="1"/>
        <rFont val="Arial"/>
        <family val="2"/>
      </rPr>
      <t xml:space="preserve">, l'adaptation de sa propre pièce, </t>
    </r>
    <r>
      <rPr>
        <i/>
        <sz val="10"/>
        <color theme="1"/>
        <rFont val="Arial"/>
        <family val="2"/>
      </rPr>
      <t>Les ordures la ville et la mort</t>
    </r>
    <r>
      <rPr>
        <sz val="10"/>
        <color theme="1"/>
        <rFont val="Arial"/>
        <family val="2"/>
      </rPr>
      <t xml:space="preserve">, mise en scène au cinéma par D. Schmid, et en partie financée par Fassbinder et produit par la société Albatros films de Fengler. C'est tout l'entourage de Fassbinder qui se joint au film, notamment Ingrid Caven. </t>
    </r>
  </si>
  <si>
    <t>Fassbinder_fox.jpeg</t>
  </si>
  <si>
    <t xml:space="preserve"> </t>
  </si>
  <si>
    <t>Allemagne_zones.jpeg</t>
  </si>
  <si>
    <t>Le découpage de l'Allemagne et de Berlin en 4 zones d'occupation alliée</t>
  </si>
  <si>
    <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theme="1"/>
        <rFont val="Arial"/>
        <family val="2"/>
      </rPr>
      <t xml:space="preserve">L'année des treize lunes devient un film </t>
    </r>
    <r>
      <rPr>
        <sz val="10"/>
        <color theme="1"/>
        <rFont val="Arial"/>
        <family val="2"/>
      </rPr>
      <t>expiatoire. Le tournage de</t>
    </r>
    <r>
      <rPr>
        <i/>
        <sz val="10"/>
        <color theme="1"/>
        <rFont val="Arial"/>
        <family val="2"/>
      </rPr>
      <t xml:space="preserve"> Maria Braun </t>
    </r>
    <r>
      <rPr>
        <sz val="10"/>
        <color theme="1"/>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theme="1"/>
        <rFont val="Arial"/>
        <family val="2"/>
      </rPr>
      <t xml:space="preserve">L'année des treize lunes. </t>
    </r>
  </si>
  <si>
    <r>
      <rPr>
        <i/>
        <sz val="10"/>
        <rFont val="Arial"/>
        <family val="2"/>
      </rPr>
      <t>L'année des treize lunes</t>
    </r>
    <r>
      <rPr>
        <sz val="10"/>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"Despair 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exclipse </t>
    </r>
    <r>
      <rPr>
        <i/>
        <sz val="10"/>
        <rFont val="Arial"/>
        <family val="2"/>
      </rPr>
      <t xml:space="preserve">Despair.
L'allemagne en automne n'est vu que par un public limité.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</si>
</sst>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name val="Arial"/>
      <family val="2"/>
    </font>
    <font>
      <sz val="12"/>
      <color theme="10"/>
      <name val="Aptos Narrow"/>
    </font>
    <font>
      <sz val="12"/>
      <color theme="1"/>
      <name val="Aptos Narrow"/>
    </font>
    <font>
      <sz val="10"/>
      <color theme="1"/>
      <name val="Arial"/>
      <family val="2"/>
    </font>
    <font>
      <sz val="12"/>
      <color rgb="FF1F4E78"/>
      <name val="Aptos Narrow"/>
    </font>
    <font>
      <sz val="10"/>
      <color rgb="FF1F4E78"/>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i/>
      <sz val="10"/>
      <name val="Arial"/>
      <family val="2"/>
    </font>
    <font>
      <b/>
      <sz val="10"/>
      <color rgb="FF000000"/>
      <name val="Arial"/>
      <family val="2"/>
    </font>
    <font>
      <sz val="10"/>
      <color rgb="FF000000"/>
      <name val="Arial"/>
      <family val="2"/>
    </font>
    <font>
      <i/>
      <sz val="12"/>
      <name val="Aptos"/>
    </font>
    <font>
      <sz val="12"/>
      <name val="Aptos"/>
    </font>
    <font>
      <sz val="10"/>
      <color theme="10"/>
      <name val="Arial"/>
      <family val="2"/>
    </font>
    <font>
      <i/>
      <sz val="10"/>
      <color rgb="FF000000"/>
      <name val="Arial"/>
      <family val="2"/>
    </font>
    <font>
      <sz val="12"/>
      <color theme="10"/>
      <name val="Arial"/>
      <family val="2"/>
    </font>
    <font>
      <i/>
      <sz val="12"/>
      <color theme="1"/>
      <name val="Aptos Narrow"/>
    </font>
    <font>
      <sz val="14"/>
      <color rgb="FF000000"/>
      <name val="-webkit-standard"/>
    </font>
  </fonts>
  <fills count="8">
    <fill>
      <patternFill patternType="none"/>
    </fill>
    <fill>
      <patternFill patternType="gray125"/>
    </fill>
    <fill>
      <patternFill patternType="solid">
        <fgColor rgb="FFEEF5FA"/>
        <bgColor rgb="FFF2F7FB"/>
      </patternFill>
    </fill>
    <fill>
      <patternFill patternType="solid">
        <fgColor rgb="FFF2F7FB"/>
        <bgColor rgb="FFEEF5FA"/>
      </patternFill>
    </fill>
    <fill>
      <patternFill patternType="solid">
        <fgColor rgb="FF1F4E78"/>
        <bgColor rgb="FF003366"/>
      </patternFill>
    </fill>
    <fill>
      <patternFill patternType="solid">
        <fgColor rgb="FFD9EAF4"/>
        <bgColor rgb="FFEEF5FA"/>
      </patternFill>
    </fill>
    <fill>
      <patternFill patternType="solid">
        <fgColor rgb="FFD9D9D9"/>
        <bgColor rgb="FFD9D9D9"/>
      </patternFill>
    </fill>
    <fill>
      <patternFill patternType="solid">
        <fgColor theme="1"/>
        <bgColor indexed="64"/>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0">
    <xf numFmtId="0" fontId="0" fillId="0" borderId="0" xfId="0"/>
    <xf numFmtId="0" fontId="3" fillId="0" borderId="0" xfId="2" applyFont="1" applyAlignment="1">
      <alignment vertical="top" wrapText="1"/>
    </xf>
    <xf numFmtId="0" fontId="4" fillId="2" borderId="0" xfId="2" applyFont="1" applyFill="1" applyAlignment="1">
      <alignment wrapText="1"/>
    </xf>
    <xf numFmtId="0" fontId="1" fillId="0" borderId="0" xfId="1" applyAlignment="1">
      <alignment wrapText="1"/>
    </xf>
    <xf numFmtId="0" fontId="5" fillId="2" borderId="0" xfId="2" applyFont="1" applyFill="1" applyAlignment="1">
      <alignment vertical="top" wrapText="1"/>
    </xf>
    <xf numFmtId="0" fontId="2" fillId="0" borderId="0" xfId="2" applyAlignment="1">
      <alignment vertical="top" wrapText="1"/>
    </xf>
    <xf numFmtId="0" fontId="2" fillId="0" borderId="0" xfId="2" applyAlignment="1">
      <alignment horizontal="left" vertical="top" wrapText="1"/>
    </xf>
    <xf numFmtId="0" fontId="2" fillId="0" borderId="0" xfId="2" applyAlignment="1">
      <alignment wrapText="1"/>
    </xf>
    <xf numFmtId="0" fontId="6" fillId="0" borderId="0" xfId="2" applyFont="1" applyAlignment="1">
      <alignment vertical="top" wrapText="1"/>
    </xf>
    <xf numFmtId="0" fontId="2" fillId="3" borderId="0" xfId="2" applyFill="1" applyAlignment="1">
      <alignment wrapText="1"/>
    </xf>
    <xf numFmtId="0" fontId="7" fillId="4" borderId="0" xfId="2" applyFont="1" applyFill="1" applyAlignment="1">
      <alignment wrapText="1"/>
    </xf>
    <xf numFmtId="0" fontId="8" fillId="5" borderId="0" xfId="2" applyFont="1" applyFill="1" applyAlignment="1">
      <alignment wrapText="1"/>
    </xf>
    <xf numFmtId="0" fontId="6" fillId="0" borderId="0" xfId="0" applyFont="1"/>
    <xf numFmtId="0" fontId="1" fillId="0" borderId="0" xfId="1" applyAlignment="1">
      <alignment vertical="top" wrapText="1"/>
    </xf>
    <xf numFmtId="0" fontId="0" fillId="0" borderId="0" xfId="0" applyAlignment="1">
      <alignment vertical="top"/>
    </xf>
    <xf numFmtId="0" fontId="0" fillId="0" borderId="0" xfId="0" applyAlignment="1">
      <alignment vertical="top" wrapText="1"/>
    </xf>
    <xf numFmtId="0" fontId="12" fillId="0" borderId="0" xfId="0" applyFont="1"/>
    <xf numFmtId="0" fontId="13" fillId="0" borderId="0" xfId="0" applyFont="1" applyAlignment="1">
      <alignment vertical="top" wrapText="1"/>
    </xf>
    <xf numFmtId="0" fontId="14" fillId="0" borderId="0" xfId="0" applyFont="1" applyAlignment="1">
      <alignment vertical="top" wrapText="1"/>
    </xf>
    <xf numFmtId="0" fontId="9" fillId="0" borderId="0" xfId="0" applyFont="1" applyAlignment="1">
      <alignment vertical="top" wrapText="1"/>
    </xf>
    <xf numFmtId="0" fontId="16" fillId="0" borderId="0" xfId="1" applyFont="1" applyAlignment="1">
      <alignment vertical="top" wrapText="1"/>
    </xf>
    <xf numFmtId="0" fontId="13" fillId="0" borderId="0" xfId="2" applyFont="1" applyAlignment="1">
      <alignment vertical="top" wrapText="1"/>
    </xf>
    <xf numFmtId="0" fontId="17" fillId="0" borderId="0" xfId="2" applyFont="1" applyAlignment="1">
      <alignment vertical="top" wrapText="1"/>
    </xf>
    <xf numFmtId="0" fontId="18" fillId="0" borderId="0" xfId="1" applyFont="1" applyAlignment="1">
      <alignment vertical="top" wrapText="1"/>
    </xf>
    <xf numFmtId="0" fontId="3" fillId="0" borderId="0" xfId="2" applyFont="1" applyAlignment="1">
      <alignment horizontal="left" vertical="top" wrapText="1"/>
    </xf>
    <xf numFmtId="0" fontId="10" fillId="0" borderId="0" xfId="2" applyFont="1" applyAlignment="1">
      <alignment vertical="top" wrapText="1"/>
    </xf>
    <xf numFmtId="0" fontId="13" fillId="6" borderId="1" xfId="0" applyFont="1" applyFill="1" applyBorder="1" applyAlignment="1">
      <alignment vertical="top" wrapText="1"/>
    </xf>
    <xf numFmtId="0" fontId="20" fillId="0" borderId="0" xfId="0" applyFont="1"/>
    <xf numFmtId="0" fontId="0" fillId="0" borderId="0" xfId="0" applyAlignment="1">
      <alignment wrapText="1"/>
    </xf>
    <xf numFmtId="0" fontId="6" fillId="7" borderId="0" xfId="0" applyFont="1" applyFill="1" applyAlignment="1">
      <alignment vertical="top"/>
    </xf>
  </cellXfs>
  <cellStyles count="3">
    <cellStyle name="Lien hypertexte" xfId="1" xr:uid="{00000000-0005-0000-0000-000006000000}"/>
    <cellStyle name="Normal" xfId="0" builtinId="0"/>
    <cellStyle name="Normal 2" xfId="2" xr:uid="{00000000-0005-0000-0000-000007000000}"/>
  </cellStyles>
  <dxfs count="23">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name val="Arial"/>
        <family val="2"/>
        <scheme val="none"/>
      </font>
      <alignment vertical="top" textRotation="0" wrapText="1" indent="0" justifyLastLine="0" shrinkToFit="0" readingOrder="0"/>
    </dxf>
    <dxf>
      <font>
        <strike val="0"/>
        <outline val="0"/>
        <shadow val="0"/>
        <u val="none"/>
        <vertAlign val="baseline"/>
        <sz val="10"/>
        <color theme="0"/>
        <name val="Arial"/>
        <family val="2"/>
        <scheme val="none"/>
      </font>
    </dxf>
    <dxf>
      <font>
        <strike val="0"/>
        <outline val="0"/>
        <shadow val="0"/>
        <u val="none"/>
        <vertAlign val="baseline"/>
        <sz val="10"/>
        <color theme="0"/>
        <name val="Arial"/>
        <family val="2"/>
        <scheme val="none"/>
      </font>
    </dxf>
  </dxfs>
  <tableStyles count="0"/>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10" totalsRowShown="0" headerRowDxfId="22">
  <autoFilter ref="A1:N10" xr:uid="{00000000-0009-0000-0100-000003000000}"/>
  <tableColumns count="14">
    <tableColumn id="1" xr3:uid="{00000000-0010-0000-0000-000001000000}" name="ID période"/>
    <tableColumn id="2" xr3:uid="{00000000-0010-0000-0000-000002000000}" name="Titre période"/>
    <tableColumn id="3" xr3:uid="{00000000-0010-0000-0000-000003000000}" name="question directrice"/>
    <tableColumn id="4" xr3:uid="{00000000-0010-0000-0000-000004000000}" name="Événement histoire et politique"/>
    <tableColumn id="5" xr3:uid="{00000000-0010-0000-0000-000005000000}" name="Contexte culturel"/>
    <tableColumn id="6" xr3:uid="{00000000-0010-0000-0000-000006000000}" name="Biographie de Fassbinder"/>
    <tableColumn id="7" xr3:uid="{00000000-0010-0000-0000-000007000000}" name="Œuvres"/>
    <tableColumn id="8" xr3:uid="{00000000-0010-0000-0000-000008000000}" name="ID films - Œuvres"/>
    <tableColumn id="9" xr3:uid="{00000000-0010-0000-0000-000009000000}" name="Analyse et réception critique"/>
    <tableColumn id="10" xr3:uid="{00000000-0010-0000-0000-00000A000000}" name="Liens"/>
    <tableColumn id="11" xr3:uid="{00000000-0010-0000-0000-00000B000000}" name="Citation"/>
    <tableColumn id="12" xr3:uid="{00000000-0010-0000-0000-00000C000000}" name="Image"/>
    <tableColumn id="13" xr3:uid="{00000000-0010-0000-0000-00000D000000}" name="Legende"/>
    <tableColumn id="14" xr3:uid="{00000000-0010-0000-0000-00000E000000}" name="Notio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headerRowDxfId="21"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youtube.com/watch?v=LdxyHs5IgLg"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www.lhistoire.fr/17-juin-1953-insurrection-&#224;-berlin-une-m&#233;moire-allemande" TargetMode="External"/><Relationship Id="rId5" Type="http://schemas.openxmlformats.org/officeDocument/2006/relationships/hyperlink" Target="https://youtu.be/Re2pxEMbZtA?si=l6bk_kzEIePjcE5M"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lemonde.fr/disparitions/article/2022/11/20/le-cineaste-jean-marie-straub-est-mort_6150761_3382.html?srsltid=ARcRdnpDLpgbyMuJ_BMuHIlLiO-ZJquwo9Xa-RH838OCOEYmmoYM1tFp"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opLeftCell="A4" zoomScale="150" zoomScaleNormal="100" workbookViewId="0">
      <selection activeCell="E6" sqref="E6"/>
    </sheetView>
  </sheetViews>
  <sheetFormatPr baseColWidth="10" defaultColWidth="13" defaultRowHeight="13"/>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12" customFormat="1" ht="28" customHeight="1">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4">
      <c r="A2" s="1" t="s">
        <v>14</v>
      </c>
      <c r="B2" s="1" t="s">
        <v>15</v>
      </c>
      <c r="C2" s="1" t="s">
        <v>16</v>
      </c>
      <c r="D2" s="1" t="s">
        <v>17</v>
      </c>
      <c r="E2" s="1" t="s">
        <v>18</v>
      </c>
      <c r="F2" s="1" t="s">
        <v>19</v>
      </c>
      <c r="H2" s="2"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274</v>
      </c>
      <c r="J2" s="3" t="s">
        <v>20</v>
      </c>
      <c r="K2" s="15" t="s">
        <v>21</v>
      </c>
      <c r="L2" s="14" t="s">
        <v>336</v>
      </c>
      <c r="M2" s="15" t="s">
        <v>337</v>
      </c>
    </row>
    <row r="3" spans="1:14" s="14" customFormat="1" ht="210">
      <c r="A3" s="1" t="s">
        <v>23</v>
      </c>
      <c r="B3" s="1" t="s">
        <v>24</v>
      </c>
      <c r="C3" s="1" t="s">
        <v>267</v>
      </c>
      <c r="D3" s="1" t="s">
        <v>273</v>
      </c>
      <c r="E3" s="1" t="s">
        <v>281</v>
      </c>
      <c r="F3" s="1" t="s">
        <v>25</v>
      </c>
      <c r="G3" s="1"/>
      <c r="H3" s="4"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277</v>
      </c>
      <c r="J3" s="13" t="s">
        <v>261</v>
      </c>
      <c r="L3" s="15" t="s">
        <v>26</v>
      </c>
    </row>
    <row r="4" spans="1:14" ht="170">
      <c r="A4" s="1" t="s">
        <v>27</v>
      </c>
      <c r="B4" s="1" t="s">
        <v>28</v>
      </c>
      <c r="C4" s="1" t="s">
        <v>268</v>
      </c>
      <c r="D4" s="1" t="s">
        <v>29</v>
      </c>
      <c r="E4" s="1" t="s">
        <v>276</v>
      </c>
      <c r="F4" s="1" t="s">
        <v>30</v>
      </c>
      <c r="G4" s="1" t="s">
        <v>31</v>
      </c>
      <c r="H4" s="4"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J4" s="13" t="s">
        <v>32</v>
      </c>
      <c r="K4" s="5" t="s">
        <v>275</v>
      </c>
    </row>
    <row r="5" spans="1:14" ht="136">
      <c r="A5" s="1" t="s">
        <v>33</v>
      </c>
      <c r="B5" s="1" t="s">
        <v>34</v>
      </c>
      <c r="C5" s="1" t="s">
        <v>269</v>
      </c>
      <c r="D5" s="1" t="s">
        <v>35</v>
      </c>
      <c r="E5" s="1"/>
      <c r="F5" s="1" t="s">
        <v>37</v>
      </c>
      <c r="G5" s="1" t="s">
        <v>253</v>
      </c>
      <c r="H5" s="4"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v>
      </c>
      <c r="I5" s="6" t="s">
        <v>254</v>
      </c>
      <c r="K5" s="28"/>
    </row>
    <row r="6" spans="1:14" ht="319">
      <c r="A6" s="1" t="s">
        <v>38</v>
      </c>
      <c r="B6" s="1" t="s">
        <v>39</v>
      </c>
      <c r="C6" s="1" t="s">
        <v>270</v>
      </c>
      <c r="D6" s="1" t="s">
        <v>40</v>
      </c>
      <c r="E6" s="1" t="s">
        <v>295</v>
      </c>
      <c r="F6" s="1" t="s">
        <v>264</v>
      </c>
      <c r="G6" s="1" t="s">
        <v>41</v>
      </c>
      <c r="H6" s="4"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film-1972-le-marchand-des-quatre-saisons; film-1974-tous-les-autres-s-appellent-ali; film-1974-martha</v>
      </c>
      <c r="I6" s="1" t="s">
        <v>289</v>
      </c>
    </row>
    <row r="7" spans="1:14" ht="56">
      <c r="A7" s="1" t="s">
        <v>42</v>
      </c>
      <c r="B7" s="1"/>
      <c r="C7" s="1" t="s">
        <v>271</v>
      </c>
      <c r="D7" s="1" t="s">
        <v>43</v>
      </c>
      <c r="E7" s="1" t="s">
        <v>44</v>
      </c>
      <c r="F7" s="1" t="s">
        <v>45</v>
      </c>
      <c r="G7" s="1" t="s">
        <v>46</v>
      </c>
      <c r="H7" s="4"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film-1975-le-droit-du-plus-fort; film-1975-maman-kusters-s-en-va-au-ciel</v>
      </c>
      <c r="I7" s="5" t="s">
        <v>47</v>
      </c>
    </row>
    <row r="8" spans="1:14" ht="140">
      <c r="A8" s="1" t="s">
        <v>48</v>
      </c>
      <c r="B8" s="1" t="s">
        <v>297</v>
      </c>
      <c r="C8" s="1" t="s">
        <v>290</v>
      </c>
      <c r="D8" s="1" t="s">
        <v>291</v>
      </c>
      <c r="E8" s="1" t="s">
        <v>302</v>
      </c>
      <c r="F8" s="1" t="s">
        <v>49</v>
      </c>
      <c r="G8" s="1" t="s">
        <v>50</v>
      </c>
      <c r="H8" s="4" t="str">
        <f>IF(G8="","",_xlfn.TEXTJOIN("; ",TRUE(),IF(ISNUMBER(SEARCH(SUBSTITUTE('Référentiel films'!$A$2,"’","'"),SUBSTITUTE(G8,"’","'"))),'Référentiel films'!$B$2,""),IF(ISNUMBER(SEARCH(SUBSTITUTE('Référentiel films'!$A$3,"’","'"),SUBSTITUTE(G8,"’","'"))),'Référentiel films'!$B$3,""),IF(ISNUMBER(SEARCH(SUBSTITUTE('Référentiel films'!$A$4,"’","'"),SUBSTITUTE(G8,"’","'"))),'Référentiel films'!$B$4,""),IF(ISNUMBER(SEARCH(SUBSTITUTE('Référentiel films'!$A$5,"’","'"),SUBSTITUTE(G8,"’","'"))),'Référentiel films'!$B$5,""),IF(ISNUMBER(SEARCH(SUBSTITUTE('Référentiel films'!$A$6,"’","'"),SUBSTITUTE(G8,"’","'"))),'Référentiel films'!$B$6,""),IF(ISNUMBER(SEARCH(SUBSTITUTE('Référentiel films'!$A$7,"’","'"),SUBSTITUTE(G8,"’","'"))),'Référentiel films'!$B$7,""),IF(ISNUMBER(SEARCH(SUBSTITUTE('Référentiel films'!$A$8,"’","'"),SUBSTITUTE(G8,"’","'"))),'Référentiel films'!$B$8,""),IF(ISNUMBER(SEARCH(SUBSTITUTE('Référentiel films'!$A$9,"’","'"),SUBSTITUTE(G8,"’","'"))),'Référentiel films'!$B$9,""),IF(ISNUMBER(SEARCH(SUBSTITUTE('Référentiel films'!$A$10,"’","'"),SUBSTITUTE(G8,"’","'"))),'Référentiel films'!$B$10,""),IF(ISNUMBER(SEARCH(SUBSTITUTE('Référentiel films'!$A$11,"’","'"),SUBSTITUTE(G8,"’","'"))),'Référentiel films'!$B$11,""),IF(ISNUMBER(SEARCH(SUBSTITUTE('Référentiel films'!$A$12,"’","'"),SUBSTITUTE(G8,"’","'"))),'Référentiel films'!$B$12,""),IF(ISNUMBER(SEARCH(SUBSTITUTE('Référentiel films'!$A$13,"’","'"),SUBSTITUTE(G8,"’","'"))),'Référentiel films'!$B$13,""),IF(ISNUMBER(SEARCH(SUBSTITUTE('Référentiel films'!$A$14,"’","'"),SUBSTITUTE(G8,"’","'"))),'Référentiel films'!$B$14,""),IF(ISNUMBER(SEARCH(SUBSTITUTE('Référentiel films'!$A$15,"’","'"),SUBSTITUTE(G8,"’","'"))),'Référentiel films'!$B$15,""),IF(ISNUMBER(SEARCH(SUBSTITUTE('Référentiel films'!$A$16,"’","'"),SUBSTITUTE(G8,"’","'"))),'Référentiel films'!$B$16,""),IF(ISNUMBER(SEARCH(SUBSTITUTE('Référentiel films'!$A$17,"’","'"),SUBSTITUTE(G8,"’","'"))),'Référentiel films'!$B$17,""),IF(ISNUMBER(SEARCH(SUBSTITUTE('Référentiel films'!$A$18,"’","'"),SUBSTITUTE(G8,"’","'"))),'Référentiel films'!$B$18,""),IF(ISNUMBER(SEARCH(SUBSTITUTE('Référentiel films'!$A$19,"’","'"),SUBSTITUTE(G8,"’","'"))),'Référentiel films'!$B$19,""),IF(ISNUMBER(SEARCH(SUBSTITUTE('Référentiel films'!$A$20,"’","'"),SUBSTITUTE(G8,"’","'"))),'Référentiel films'!$B$20,""),IF(ISNUMBER(SEARCH(SUBSTITUTE('Référentiel films'!$A$21,"’","'"),SUBSTITUTE(G8,"’","'"))),'Référentiel films'!$B$21,""),IF(ISNUMBER(SEARCH(SUBSTITUTE('Référentiel films'!$A$22,"’","'"),SUBSTITUTE(G8,"’","'"))),'Référentiel films'!$B$22,""),IF(ISNUMBER(SEARCH(SUBSTITUTE('Référentiel films'!$A$23,"’","'"),SUBSTITUTE(G8,"’","'"))),'Référentiel films'!$B$23,""),IF(ISNUMBER(SEARCH(SUBSTITUTE('Référentiel films'!$A$24,"’","'"),SUBSTITUTE(G8,"’","'"))),'Référentiel films'!$B$24,""),IF(ISNUMBER(SEARCH(SUBSTITUTE('Référentiel films'!$A$25,"’","'"),SUBSTITUTE(G8,"’","'"))),'Référentiel films'!$B$25,""),IF(ISNUMBER(SEARCH(SUBSTITUTE('Référentiel films'!$A$26,"’","'"),SUBSTITUTE(G8,"’","'"))),'Référentiel films'!$B$26,""),IF(ISNUMBER(SEARCH(SUBSTITUTE('Référentiel films'!$A$27,"’","'"),SUBSTITUTE(G8,"’","'"))),'Référentiel films'!$B$27,""),IF(ISNUMBER(SEARCH(SUBSTITUTE('Référentiel films'!$A$28,"’","'"),SUBSTITUTE(G8,"’","'"))),'Référentiel films'!$B$28,""),IF(ISNUMBER(SEARCH(SUBSTITUTE('Référentiel films'!$A$29,"’","'"),SUBSTITUTE(G8,"’","'"))),'Référentiel films'!$B$29,""),IF(ISNUMBER(SEARCH(SUBSTITUTE('Référentiel films'!$A$30,"’","'"),SUBSTITUTE(G8,"’","'"))),'Référentiel films'!$B$30,""),IF(ISNUMBER(SEARCH(SUBSTITUTE('Référentiel films'!$A$31,"’","'"),SUBSTITUTE(G8,"’","'"))),'Référentiel films'!$B$31,""),IF(ISNUMBER(SEARCH(SUBSTITUTE('Référentiel films'!$A$32,"’","'"),SUBSTITUTE(G8,"’","'"))),'Référentiel films'!$B$32,""),IF(ISNUMBER(SEARCH(SUBSTITUTE('Référentiel films'!$A$33,"’","'"),SUBSTITUTE(G8,"’","'"))),'Référentiel films'!$B$33,""),IF(ISNUMBER(SEARCH(SUBSTITUTE('Référentiel films'!$A$34,"’","'"),SUBSTITUTE(G8,"’","'"))),'Référentiel films'!$B$34,""),IF(ISNUMBER(SEARCH(SUBSTITUTE('Référentiel films'!$A$35,"’","'"),SUBSTITUTE(G8,"’","'"))),'Référentiel films'!$B$35,""),IF(ISNUMBER(SEARCH(SUBSTITUTE('Référentiel films'!$A$36,"’","'"),SUBSTITUTE(G8,"’","'"))),'Référentiel films'!$B$36,""),IF(ISNUMBER(SEARCH(SUBSTITUTE('Référentiel films'!$A$37,"’","'"),SUBSTITUTE(G8,"’","'"))),'Référentiel films'!$B$37,""),IF(ISNUMBER(SEARCH(SUBSTITUTE('Référentiel films'!$A$38,"’","'"),SUBSTITUTE(G8,"’","'"))),'Référentiel films'!$B$38,""),IF(ISNUMBER(SEARCH(SUBSTITUTE('Référentiel films'!$A$39,"’","'"),SUBSTITUTE(G8,"’","'"))),'Référentiel films'!$B$39,""),IF(ISNUMBER(SEARCH(SUBSTITUTE('Référentiel films'!$A$40,"’","'"),SUBSTITUTE(G8,"’","'"))),'Référentiel films'!$B$40,""),IF(ISNUMBER(SEARCH(SUBSTITUTE('Référentiel films'!$A$41,"’","'"),SUBSTITUTE(G8,"’","'"))),'Référentiel films'!$B$41,"")))</f>
        <v>film-1978-l-annee-des-treize-lunes; film-1978-le-mariage-de-maria-braun</v>
      </c>
      <c r="I8" s="15"/>
      <c r="K8" s="15" t="s">
        <v>282</v>
      </c>
      <c r="N8" s="14" t="s">
        <v>51</v>
      </c>
    </row>
    <row r="9" spans="1:14" ht="56">
      <c r="A9" s="1" t="s">
        <v>52</v>
      </c>
      <c r="B9" s="1" t="s">
        <v>298</v>
      </c>
      <c r="C9" s="15" t="s">
        <v>272</v>
      </c>
      <c r="D9" s="1" t="s">
        <v>53</v>
      </c>
      <c r="F9" s="1" t="s">
        <v>54</v>
      </c>
      <c r="G9" s="1" t="s">
        <v>55</v>
      </c>
      <c r="H9" s="4" t="str">
        <f>IF(G9="","",_xlfn.TEXTJOIN("; ",TRUE(),IF(ISNUMBER(SEARCH(SUBSTITUTE('Référentiel films'!$A$2,"’","'"),SUBSTITUTE(G9,"’","'"))),'Référentiel films'!$B$2,""),IF(ISNUMBER(SEARCH(SUBSTITUTE('Référentiel films'!$A$3,"’","'"),SUBSTITUTE(G9,"’","'"))),'Référentiel films'!$B$3,""),IF(ISNUMBER(SEARCH(SUBSTITUTE('Référentiel films'!$A$4,"’","'"),SUBSTITUTE(G9,"’","'"))),'Référentiel films'!$B$4,""),IF(ISNUMBER(SEARCH(SUBSTITUTE('Référentiel films'!$A$5,"’","'"),SUBSTITUTE(G9,"’","'"))),'Référentiel films'!$B$5,""),IF(ISNUMBER(SEARCH(SUBSTITUTE('Référentiel films'!$A$6,"’","'"),SUBSTITUTE(G9,"’","'"))),'Référentiel films'!$B$6,""),IF(ISNUMBER(SEARCH(SUBSTITUTE('Référentiel films'!$A$7,"’","'"),SUBSTITUTE(G9,"’","'"))),'Référentiel films'!$B$7,""),IF(ISNUMBER(SEARCH(SUBSTITUTE('Référentiel films'!$A$8,"’","'"),SUBSTITUTE(G9,"’","'"))),'Référentiel films'!$B$8,""),IF(ISNUMBER(SEARCH(SUBSTITUTE('Référentiel films'!$A$9,"’","'"),SUBSTITUTE(G9,"’","'"))),'Référentiel films'!$B$9,""),IF(ISNUMBER(SEARCH(SUBSTITUTE('Référentiel films'!$A$10,"’","'"),SUBSTITUTE(G9,"’","'"))),'Référentiel films'!$B$10,""),IF(ISNUMBER(SEARCH(SUBSTITUTE('Référentiel films'!$A$11,"’","'"),SUBSTITUTE(G9,"’","'"))),'Référentiel films'!$B$11,""),IF(ISNUMBER(SEARCH(SUBSTITUTE('Référentiel films'!$A$12,"’","'"),SUBSTITUTE(G9,"’","'"))),'Référentiel films'!$B$12,""),IF(ISNUMBER(SEARCH(SUBSTITUTE('Référentiel films'!$A$13,"’","'"),SUBSTITUTE(G9,"’","'"))),'Référentiel films'!$B$13,""),IF(ISNUMBER(SEARCH(SUBSTITUTE('Référentiel films'!$A$14,"’","'"),SUBSTITUTE(G9,"’","'"))),'Référentiel films'!$B$14,""),IF(ISNUMBER(SEARCH(SUBSTITUTE('Référentiel films'!$A$15,"’","'"),SUBSTITUTE(G9,"’","'"))),'Référentiel films'!$B$15,""),IF(ISNUMBER(SEARCH(SUBSTITUTE('Référentiel films'!$A$16,"’","'"),SUBSTITUTE(G9,"’","'"))),'Référentiel films'!$B$16,""),IF(ISNUMBER(SEARCH(SUBSTITUTE('Référentiel films'!$A$17,"’","'"),SUBSTITUTE(G9,"’","'"))),'Référentiel films'!$B$17,""),IF(ISNUMBER(SEARCH(SUBSTITUTE('Référentiel films'!$A$18,"’","'"),SUBSTITUTE(G9,"’","'"))),'Référentiel films'!$B$18,""),IF(ISNUMBER(SEARCH(SUBSTITUTE('Référentiel films'!$A$19,"’","'"),SUBSTITUTE(G9,"’","'"))),'Référentiel films'!$B$19,""),IF(ISNUMBER(SEARCH(SUBSTITUTE('Référentiel films'!$A$20,"’","'"),SUBSTITUTE(G9,"’","'"))),'Référentiel films'!$B$20,""),IF(ISNUMBER(SEARCH(SUBSTITUTE('Référentiel films'!$A$21,"’","'"),SUBSTITUTE(G9,"’","'"))),'Référentiel films'!$B$21,""),IF(ISNUMBER(SEARCH(SUBSTITUTE('Référentiel films'!$A$22,"’","'"),SUBSTITUTE(G9,"’","'"))),'Référentiel films'!$B$22,""),IF(ISNUMBER(SEARCH(SUBSTITUTE('Référentiel films'!$A$23,"’","'"),SUBSTITUTE(G9,"’","'"))),'Référentiel films'!$B$23,""),IF(ISNUMBER(SEARCH(SUBSTITUTE('Référentiel films'!$A$24,"’","'"),SUBSTITUTE(G9,"’","'"))),'Référentiel films'!$B$24,""),IF(ISNUMBER(SEARCH(SUBSTITUTE('Référentiel films'!$A$25,"’","'"),SUBSTITUTE(G9,"’","'"))),'Référentiel films'!$B$25,""),IF(ISNUMBER(SEARCH(SUBSTITUTE('Référentiel films'!$A$26,"’","'"),SUBSTITUTE(G9,"’","'"))),'Référentiel films'!$B$26,""),IF(ISNUMBER(SEARCH(SUBSTITUTE('Référentiel films'!$A$27,"’","'"),SUBSTITUTE(G9,"’","'"))),'Référentiel films'!$B$27,""),IF(ISNUMBER(SEARCH(SUBSTITUTE('Référentiel films'!$A$28,"’","'"),SUBSTITUTE(G9,"’","'"))),'Référentiel films'!$B$28,""),IF(ISNUMBER(SEARCH(SUBSTITUTE('Référentiel films'!$A$29,"’","'"),SUBSTITUTE(G9,"’","'"))),'Référentiel films'!$B$29,""),IF(ISNUMBER(SEARCH(SUBSTITUTE('Référentiel films'!$A$30,"’","'"),SUBSTITUTE(G9,"’","'"))),'Référentiel films'!$B$30,""),IF(ISNUMBER(SEARCH(SUBSTITUTE('Référentiel films'!$A$31,"’","'"),SUBSTITUTE(G9,"’","'"))),'Référentiel films'!$B$31,""),IF(ISNUMBER(SEARCH(SUBSTITUTE('Référentiel films'!$A$32,"’","'"),SUBSTITUTE(G9,"’","'"))),'Référentiel films'!$B$32,""),IF(ISNUMBER(SEARCH(SUBSTITUTE('Référentiel films'!$A$33,"’","'"),SUBSTITUTE(G9,"’","'"))),'Référentiel films'!$B$33,""),IF(ISNUMBER(SEARCH(SUBSTITUTE('Référentiel films'!$A$34,"’","'"),SUBSTITUTE(G9,"’","'"))),'Référentiel films'!$B$34,""),IF(ISNUMBER(SEARCH(SUBSTITUTE('Référentiel films'!$A$35,"’","'"),SUBSTITUTE(G9,"’","'"))),'Référentiel films'!$B$35,""),IF(ISNUMBER(SEARCH(SUBSTITUTE('Référentiel films'!$A$36,"’","'"),SUBSTITUTE(G9,"’","'"))),'Référentiel films'!$B$36,""),IF(ISNUMBER(SEARCH(SUBSTITUTE('Référentiel films'!$A$37,"’","'"),SUBSTITUTE(G9,"’","'"))),'Référentiel films'!$B$37,""),IF(ISNUMBER(SEARCH(SUBSTITUTE('Référentiel films'!$A$38,"’","'"),SUBSTITUTE(G9,"’","'"))),'Référentiel films'!$B$38,""),IF(ISNUMBER(SEARCH(SUBSTITUTE('Référentiel films'!$A$39,"’","'"),SUBSTITUTE(G9,"’","'"))),'Référentiel films'!$B$39,""),IF(ISNUMBER(SEARCH(SUBSTITUTE('Référentiel films'!$A$40,"’","'"),SUBSTITUTE(G9,"’","'"))),'Référentiel films'!$B$40,""),IF(ISNUMBER(SEARCH(SUBSTITUTE('Référentiel films'!$A$41,"’","'"),SUBSTITUTE(G9,"’","'"))),'Référentiel films'!$B$41,"")))</f>
        <v>film-1980-berlin-alexanderplatz; film-1981-lili-marleen; film-1981-lola-une-femme-allemande</v>
      </c>
    </row>
    <row r="10" spans="1:14" ht="70">
      <c r="A10" s="24">
        <v>1982</v>
      </c>
      <c r="B10" s="1" t="s">
        <v>299</v>
      </c>
      <c r="C10" s="1" t="s">
        <v>296</v>
      </c>
      <c r="D10" s="1" t="s">
        <v>330</v>
      </c>
      <c r="E10" s="1" t="s">
        <v>56</v>
      </c>
      <c r="F10" s="1" t="s">
        <v>57</v>
      </c>
      <c r="G10" s="1" t="s">
        <v>58</v>
      </c>
      <c r="H10" s="4" t="str">
        <f>IF(G10="","",_xlfn.TEXTJOIN("; ",TRUE(),IF(ISNUMBER(SEARCH(SUBSTITUTE('Référentiel films'!$A$2,"’","'"),SUBSTITUTE(G10,"’","'"))),'Référentiel films'!$B$2,""),IF(ISNUMBER(SEARCH(SUBSTITUTE('Référentiel films'!$A$3,"’","'"),SUBSTITUTE(G10,"’","'"))),'Référentiel films'!$B$3,""),IF(ISNUMBER(SEARCH(SUBSTITUTE('Référentiel films'!$A$4,"’","'"),SUBSTITUTE(G10,"’","'"))),'Référentiel films'!$B$4,""),IF(ISNUMBER(SEARCH(SUBSTITUTE('Référentiel films'!$A$5,"’","'"),SUBSTITUTE(G10,"’","'"))),'Référentiel films'!$B$5,""),IF(ISNUMBER(SEARCH(SUBSTITUTE('Référentiel films'!$A$6,"’","'"),SUBSTITUTE(G10,"’","'"))),'Référentiel films'!$B$6,""),IF(ISNUMBER(SEARCH(SUBSTITUTE('Référentiel films'!$A$7,"’","'"),SUBSTITUTE(G10,"’","'"))),'Référentiel films'!$B$7,""),IF(ISNUMBER(SEARCH(SUBSTITUTE('Référentiel films'!$A$8,"’","'"),SUBSTITUTE(G10,"’","'"))),'Référentiel films'!$B$8,""),IF(ISNUMBER(SEARCH(SUBSTITUTE('Référentiel films'!$A$9,"’","'"),SUBSTITUTE(G10,"’","'"))),'Référentiel films'!$B$9,""),IF(ISNUMBER(SEARCH(SUBSTITUTE('Référentiel films'!$A$10,"’","'"),SUBSTITUTE(G10,"’","'"))),'Référentiel films'!$B$10,""),IF(ISNUMBER(SEARCH(SUBSTITUTE('Référentiel films'!$A$11,"’","'"),SUBSTITUTE(G10,"’","'"))),'Référentiel films'!$B$11,""),IF(ISNUMBER(SEARCH(SUBSTITUTE('Référentiel films'!$A$12,"’","'"),SUBSTITUTE(G10,"’","'"))),'Référentiel films'!$B$12,""),IF(ISNUMBER(SEARCH(SUBSTITUTE('Référentiel films'!$A$13,"’","'"),SUBSTITUTE(G10,"’","'"))),'Référentiel films'!$B$13,""),IF(ISNUMBER(SEARCH(SUBSTITUTE('Référentiel films'!$A$14,"’","'"),SUBSTITUTE(G10,"’","'"))),'Référentiel films'!$B$14,""),IF(ISNUMBER(SEARCH(SUBSTITUTE('Référentiel films'!$A$15,"’","'"),SUBSTITUTE(G10,"’","'"))),'Référentiel films'!$B$15,""),IF(ISNUMBER(SEARCH(SUBSTITUTE('Référentiel films'!$A$16,"’","'"),SUBSTITUTE(G10,"’","'"))),'Référentiel films'!$B$16,""),IF(ISNUMBER(SEARCH(SUBSTITUTE('Référentiel films'!$A$17,"’","'"),SUBSTITUTE(G10,"’","'"))),'Référentiel films'!$B$17,""),IF(ISNUMBER(SEARCH(SUBSTITUTE('Référentiel films'!$A$18,"’","'"),SUBSTITUTE(G10,"’","'"))),'Référentiel films'!$B$18,""),IF(ISNUMBER(SEARCH(SUBSTITUTE('Référentiel films'!$A$19,"’","'"),SUBSTITUTE(G10,"’","'"))),'Référentiel films'!$B$19,""),IF(ISNUMBER(SEARCH(SUBSTITUTE('Référentiel films'!$A$20,"’","'"),SUBSTITUTE(G10,"’","'"))),'Référentiel films'!$B$20,""),IF(ISNUMBER(SEARCH(SUBSTITUTE('Référentiel films'!$A$21,"’","'"),SUBSTITUTE(G10,"’","'"))),'Référentiel films'!$B$21,""),IF(ISNUMBER(SEARCH(SUBSTITUTE('Référentiel films'!$A$22,"’","'"),SUBSTITUTE(G10,"’","'"))),'Référentiel films'!$B$22,""),IF(ISNUMBER(SEARCH(SUBSTITUTE('Référentiel films'!$A$23,"’","'"),SUBSTITUTE(G10,"’","'"))),'Référentiel films'!$B$23,""),IF(ISNUMBER(SEARCH(SUBSTITUTE('Référentiel films'!$A$24,"’","'"),SUBSTITUTE(G10,"’","'"))),'Référentiel films'!$B$24,""),IF(ISNUMBER(SEARCH(SUBSTITUTE('Référentiel films'!$A$25,"’","'"),SUBSTITUTE(G10,"’","'"))),'Référentiel films'!$B$25,""),IF(ISNUMBER(SEARCH(SUBSTITUTE('Référentiel films'!$A$26,"’","'"),SUBSTITUTE(G10,"’","'"))),'Référentiel films'!$B$26,""),IF(ISNUMBER(SEARCH(SUBSTITUTE('Référentiel films'!$A$27,"’","'"),SUBSTITUTE(G10,"’","'"))),'Référentiel films'!$B$27,""),IF(ISNUMBER(SEARCH(SUBSTITUTE('Référentiel films'!$A$28,"’","'"),SUBSTITUTE(G10,"’","'"))),'Référentiel films'!$B$28,""),IF(ISNUMBER(SEARCH(SUBSTITUTE('Référentiel films'!$A$29,"’","'"),SUBSTITUTE(G10,"’","'"))),'Référentiel films'!$B$29,""),IF(ISNUMBER(SEARCH(SUBSTITUTE('Référentiel films'!$A$30,"’","'"),SUBSTITUTE(G10,"’","'"))),'Référentiel films'!$B$30,""),IF(ISNUMBER(SEARCH(SUBSTITUTE('Référentiel films'!$A$31,"’","'"),SUBSTITUTE(G10,"’","'"))),'Référentiel films'!$B$31,""),IF(ISNUMBER(SEARCH(SUBSTITUTE('Référentiel films'!$A$32,"’","'"),SUBSTITUTE(G10,"’","'"))),'Référentiel films'!$B$32,""),IF(ISNUMBER(SEARCH(SUBSTITUTE('Référentiel films'!$A$33,"’","'"),SUBSTITUTE(G10,"’","'"))),'Référentiel films'!$B$33,""),IF(ISNUMBER(SEARCH(SUBSTITUTE('Référentiel films'!$A$34,"’","'"),SUBSTITUTE(G10,"’","'"))),'Référentiel films'!$B$34,""),IF(ISNUMBER(SEARCH(SUBSTITUTE('Référentiel films'!$A$35,"’","'"),SUBSTITUTE(G10,"’","'"))),'Référentiel films'!$B$35,""),IF(ISNUMBER(SEARCH(SUBSTITUTE('Référentiel films'!$A$36,"’","'"),SUBSTITUTE(G10,"’","'"))),'Référentiel films'!$B$36,""),IF(ISNUMBER(SEARCH(SUBSTITUTE('Référentiel films'!$A$37,"’","'"),SUBSTITUTE(G10,"’","'"))),'Référentiel films'!$B$37,""),IF(ISNUMBER(SEARCH(SUBSTITUTE('Référentiel films'!$A$38,"’","'"),SUBSTITUTE(G10,"’","'"))),'Référentiel films'!$B$38,""),IF(ISNUMBER(SEARCH(SUBSTITUTE('Référentiel films'!$A$39,"’","'"),SUBSTITUTE(G10,"’","'"))),'Référentiel films'!$B$39,""),IF(ISNUMBER(SEARCH(SUBSTITUTE('Référentiel films'!$A$40,"’","'"),SUBSTITUTE(G10,"’","'"))),'Référentiel films'!$B$40,""),IF(ISNUMBER(SEARCH(SUBSTITUTE('Référentiel films'!$A$41,"’","'"),SUBSTITUTE(G10,"’","'"))),'Référentiel films'!$B$41,"")))</f>
        <v>film-1981-le-secret-de-veronika-voss; film-1982-querelle</v>
      </c>
    </row>
  </sheetData>
  <hyperlinks>
    <hyperlink ref="J2" r:id="rId1" xr:uid="{00000000-0004-0000-0000-000000000000}"/>
    <hyperlink ref="J4" r:id="rId2" xr:uid="{00000000-0004-0000-0000-000001000000}"/>
  </hyperlinks>
  <pageMargins left="0.7" right="0.7" top="0.75" bottom="0.75" header="0.511811023622047" footer="0.511811023622047"/>
  <pageSetup paperSize="9" orientation="portrait" horizontalDpi="300" verticalDpi="300"/>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abSelected="1" topLeftCell="E32" zoomScale="150" zoomScaleNormal="100" workbookViewId="0">
      <selection activeCell="G33" sqref="G33"/>
    </sheetView>
  </sheetViews>
  <sheetFormatPr baseColWidth="10" defaultColWidth="13" defaultRowHeight="13"/>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12" customFormat="1" ht="28" customHeight="1">
      <c r="A1" s="8" t="s">
        <v>59</v>
      </c>
      <c r="B1" s="8" t="s">
        <v>0</v>
      </c>
      <c r="C1" s="8" t="s">
        <v>3</v>
      </c>
      <c r="D1" s="8" t="s">
        <v>4</v>
      </c>
      <c r="E1" s="8" t="s">
        <v>5</v>
      </c>
      <c r="F1" s="8" t="s">
        <v>6</v>
      </c>
      <c r="G1" s="8" t="s">
        <v>60</v>
      </c>
      <c r="H1" s="8" t="s">
        <v>9</v>
      </c>
      <c r="I1" s="8" t="s">
        <v>61</v>
      </c>
      <c r="J1" s="8" t="s">
        <v>62</v>
      </c>
      <c r="K1" s="8" t="s">
        <v>63</v>
      </c>
      <c r="L1" s="8" t="s">
        <v>10</v>
      </c>
      <c r="M1" s="8" t="s">
        <v>64</v>
      </c>
      <c r="N1" s="8" t="s">
        <v>65</v>
      </c>
      <c r="O1" s="8" t="s">
        <v>66</v>
      </c>
      <c r="P1" s="8" t="s">
        <v>67</v>
      </c>
      <c r="Q1" s="8" t="s">
        <v>68</v>
      </c>
      <c r="R1" s="8" t="s">
        <v>69</v>
      </c>
      <c r="S1" s="8" t="s">
        <v>13</v>
      </c>
      <c r="T1" s="8" t="s">
        <v>70</v>
      </c>
      <c r="U1" s="29" t="s">
        <v>71</v>
      </c>
    </row>
    <row r="2" spans="1:21" ht="98">
      <c r="A2" s="1">
        <v>1945</v>
      </c>
      <c r="B2" s="1" t="s">
        <v>14</v>
      </c>
      <c r="C2" s="1" t="s">
        <v>72</v>
      </c>
      <c r="D2" s="1" t="s">
        <v>73</v>
      </c>
      <c r="E2" s="1" t="s">
        <v>74</v>
      </c>
      <c r="F2" s="1"/>
      <c r="G2" s="1"/>
      <c r="H2" s="20" t="s">
        <v>20</v>
      </c>
      <c r="I2" s="20"/>
      <c r="J2" s="20"/>
      <c r="K2" s="20"/>
      <c r="L2" s="1"/>
      <c r="M2" s="19"/>
      <c r="N2" s="19"/>
      <c r="O2" s="19"/>
      <c r="P2" s="19"/>
      <c r="Q2" s="19"/>
      <c r="R2" s="19"/>
      <c r="S2" s="19"/>
      <c r="T2" s="19"/>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224">
      <c r="A3" s="1">
        <v>1946</v>
      </c>
      <c r="B3" s="1" t="s">
        <v>14</v>
      </c>
      <c r="C3" s="1" t="s">
        <v>75</v>
      </c>
      <c r="D3" s="1" t="s">
        <v>76</v>
      </c>
      <c r="E3" s="1" t="s">
        <v>77</v>
      </c>
      <c r="F3" s="19"/>
      <c r="G3" s="1"/>
      <c r="H3" s="20" t="s">
        <v>78</v>
      </c>
      <c r="I3" s="20"/>
      <c r="J3" s="20"/>
      <c r="K3" s="20"/>
      <c r="L3" s="1"/>
      <c r="M3" s="19"/>
      <c r="N3" s="19"/>
      <c r="O3" s="19"/>
      <c r="P3" s="19"/>
      <c r="Q3" s="19"/>
      <c r="R3" s="19"/>
      <c r="S3" s="19"/>
      <c r="T3" s="19"/>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182">
      <c r="A4" s="1">
        <v>1947</v>
      </c>
      <c r="B4" s="1" t="s">
        <v>23</v>
      </c>
      <c r="C4" s="1" t="s">
        <v>79</v>
      </c>
      <c r="D4" s="1" t="s">
        <v>80</v>
      </c>
      <c r="E4" s="1"/>
      <c r="F4" s="19"/>
      <c r="G4" s="1"/>
      <c r="H4" s="20"/>
      <c r="I4" s="19"/>
      <c r="J4" s="19"/>
      <c r="K4" s="19"/>
      <c r="L4" s="1"/>
      <c r="M4" s="19"/>
      <c r="N4" s="19"/>
      <c r="O4" s="19"/>
      <c r="P4" s="19"/>
      <c r="Q4" s="19"/>
      <c r="R4" s="19"/>
      <c r="S4" s="19"/>
      <c r="T4" s="1" t="s">
        <v>81</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182">
      <c r="A5" s="1">
        <v>1948</v>
      </c>
      <c r="B5" s="1" t="s">
        <v>23</v>
      </c>
      <c r="C5" s="1" t="s">
        <v>82</v>
      </c>
      <c r="D5" s="21" t="s">
        <v>83</v>
      </c>
      <c r="E5" s="1"/>
      <c r="F5" s="19"/>
      <c r="G5" s="1"/>
      <c r="H5" s="20" t="s">
        <v>84</v>
      </c>
      <c r="I5" s="1" t="s">
        <v>85</v>
      </c>
      <c r="J5" s="22" t="s">
        <v>86</v>
      </c>
      <c r="K5" s="1" t="s">
        <v>87</v>
      </c>
      <c r="L5" s="1"/>
      <c r="M5" s="19"/>
      <c r="N5" s="19"/>
      <c r="O5" s="19"/>
      <c r="P5" s="19"/>
      <c r="Q5" s="19"/>
      <c r="R5" s="19"/>
      <c r="S5" s="19"/>
      <c r="T5" s="19"/>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112">
      <c r="A6" s="1">
        <v>1949</v>
      </c>
      <c r="B6" s="1" t="s">
        <v>23</v>
      </c>
      <c r="C6" s="1" t="s">
        <v>88</v>
      </c>
      <c r="D6" s="21" t="s">
        <v>89</v>
      </c>
      <c r="E6" s="1"/>
      <c r="F6" s="19"/>
      <c r="G6" s="1"/>
      <c r="H6" s="20" t="s">
        <v>90</v>
      </c>
      <c r="I6" s="20"/>
      <c r="J6" s="20"/>
      <c r="K6" s="20"/>
      <c r="L6" s="1"/>
      <c r="M6" s="19" t="s">
        <v>22</v>
      </c>
      <c r="N6" s="19" t="s">
        <v>91</v>
      </c>
      <c r="O6" s="19"/>
      <c r="P6" s="19"/>
      <c r="Q6" s="19"/>
      <c r="R6" s="19"/>
      <c r="S6" s="19"/>
      <c r="T6" s="19"/>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70">
      <c r="A7" s="1">
        <v>1950</v>
      </c>
      <c r="B7" s="1" t="s">
        <v>23</v>
      </c>
      <c r="C7" s="1"/>
      <c r="D7" s="1"/>
      <c r="E7" s="1" t="s">
        <v>92</v>
      </c>
      <c r="F7" s="19"/>
      <c r="G7" s="1"/>
      <c r="H7" s="19"/>
      <c r="I7" s="20"/>
      <c r="J7" s="20"/>
      <c r="K7" s="20"/>
      <c r="L7" s="1"/>
      <c r="M7" s="19" t="s">
        <v>22</v>
      </c>
      <c r="N7" s="19" t="s">
        <v>91</v>
      </c>
      <c r="O7" s="19"/>
      <c r="P7" s="19"/>
      <c r="Q7" s="19"/>
      <c r="R7" s="19" t="s">
        <v>93</v>
      </c>
      <c r="S7" s="19"/>
      <c r="T7" s="19"/>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56">
      <c r="A8" s="1">
        <v>1951</v>
      </c>
      <c r="B8" s="1" t="s">
        <v>23</v>
      </c>
      <c r="C8" s="1" t="s">
        <v>94</v>
      </c>
      <c r="D8" s="1"/>
      <c r="E8" s="1" t="s">
        <v>95</v>
      </c>
      <c r="F8" s="1"/>
      <c r="G8" s="19"/>
      <c r="H8" s="19"/>
      <c r="I8" s="19"/>
      <c r="J8" s="19"/>
      <c r="K8" s="19"/>
      <c r="L8" s="19"/>
      <c r="M8" s="19" t="s">
        <v>22</v>
      </c>
      <c r="N8" s="19" t="s">
        <v>91</v>
      </c>
      <c r="O8" s="19"/>
      <c r="P8" s="19"/>
      <c r="Q8" s="19"/>
      <c r="R8" s="19"/>
      <c r="S8" s="19"/>
      <c r="T8" s="19"/>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84">
      <c r="A9" s="1">
        <v>1952</v>
      </c>
      <c r="B9" s="1" t="s">
        <v>23</v>
      </c>
      <c r="C9" s="1" t="s">
        <v>96</v>
      </c>
      <c r="D9" s="1" t="s">
        <v>97</v>
      </c>
      <c r="E9" s="1" t="s">
        <v>98</v>
      </c>
      <c r="F9" s="1"/>
      <c r="G9" s="19"/>
      <c r="H9" s="19"/>
      <c r="I9" s="19"/>
      <c r="J9" s="19"/>
      <c r="K9" s="19"/>
      <c r="L9" s="19"/>
      <c r="M9" s="1" t="s">
        <v>99</v>
      </c>
      <c r="N9" s="1" t="s">
        <v>100</v>
      </c>
      <c r="O9" s="19" t="s">
        <v>22</v>
      </c>
      <c r="P9" s="19" t="s">
        <v>91</v>
      </c>
      <c r="Q9" s="1"/>
      <c r="R9" s="1"/>
      <c r="S9" s="1"/>
      <c r="T9" s="19"/>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70">
      <c r="A10" s="1">
        <v>1953</v>
      </c>
      <c r="B10" s="1" t="s">
        <v>23</v>
      </c>
      <c r="C10" s="1" t="s">
        <v>101</v>
      </c>
      <c r="D10" s="1" t="s">
        <v>102</v>
      </c>
      <c r="E10" s="1"/>
      <c r="F10" s="1"/>
      <c r="G10" s="19"/>
      <c r="H10" s="20" t="s">
        <v>103</v>
      </c>
      <c r="I10" s="19"/>
      <c r="J10" s="19"/>
      <c r="K10" s="19"/>
      <c r="L10" s="19"/>
      <c r="M10" s="19" t="s">
        <v>22</v>
      </c>
      <c r="N10" s="19" t="s">
        <v>91</v>
      </c>
      <c r="O10" s="19"/>
      <c r="P10" s="19"/>
      <c r="Q10" s="19"/>
      <c r="R10" s="19"/>
      <c r="S10" s="19"/>
      <c r="T10" s="19"/>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140">
      <c r="A11" s="1">
        <v>1954</v>
      </c>
      <c r="B11" s="1" t="s">
        <v>23</v>
      </c>
      <c r="C11" s="1" t="s">
        <v>265</v>
      </c>
      <c r="D11" s="22" t="s">
        <v>104</v>
      </c>
      <c r="E11" s="1"/>
      <c r="F11" s="1"/>
      <c r="G11" s="19"/>
      <c r="H11" s="20" t="s">
        <v>105</v>
      </c>
      <c r="I11" s="20"/>
      <c r="J11" s="20"/>
      <c r="K11" s="20"/>
      <c r="L11" s="19"/>
      <c r="M11" s="19" t="s">
        <v>106</v>
      </c>
      <c r="N11" s="19" t="s">
        <v>107</v>
      </c>
      <c r="O11" s="19" t="s">
        <v>22</v>
      </c>
      <c r="P11" s="19" t="s">
        <v>91</v>
      </c>
      <c r="Q11" s="19"/>
      <c r="R11" s="19"/>
      <c r="S11" s="19"/>
      <c r="T11" s="19"/>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7">
      <c r="A12" s="1">
        <v>1955</v>
      </c>
      <c r="B12" s="1" t="s">
        <v>23</v>
      </c>
      <c r="C12" s="1"/>
      <c r="D12" s="1"/>
      <c r="E12" s="1" t="s">
        <v>108</v>
      </c>
      <c r="F12" s="1"/>
      <c r="G12" s="19"/>
      <c r="H12" s="19"/>
      <c r="I12" s="19"/>
      <c r="J12" s="19"/>
      <c r="K12" s="19"/>
      <c r="L12" s="19"/>
      <c r="M12" s="19"/>
      <c r="N12" s="19"/>
      <c r="O12" s="19"/>
      <c r="P12" s="19"/>
      <c r="Q12" s="19"/>
      <c r="R12" s="19"/>
      <c r="S12" s="19"/>
      <c r="T12" s="19"/>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154">
      <c r="A13" s="1">
        <v>1956</v>
      </c>
      <c r="B13" s="1" t="s">
        <v>23</v>
      </c>
      <c r="C13" s="1" t="s">
        <v>109</v>
      </c>
      <c r="D13" s="1" t="s">
        <v>279</v>
      </c>
      <c r="E13" s="1" t="s">
        <v>258</v>
      </c>
      <c r="F13" s="1"/>
      <c r="G13" s="19"/>
      <c r="H13" s="23" t="s">
        <v>110</v>
      </c>
      <c r="I13" s="19"/>
      <c r="J13" s="19"/>
      <c r="K13" s="19"/>
      <c r="L13" s="19"/>
      <c r="M13" s="19" t="s">
        <v>22</v>
      </c>
      <c r="N13" s="19" t="s">
        <v>91</v>
      </c>
      <c r="O13" s="19"/>
      <c r="P13" s="19"/>
      <c r="Q13" s="19"/>
      <c r="R13" s="19"/>
      <c r="S13" s="19"/>
      <c r="T13" s="19"/>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168">
      <c r="A14" s="1">
        <v>1957</v>
      </c>
      <c r="B14" s="1" t="s">
        <v>23</v>
      </c>
      <c r="C14" s="1" t="s">
        <v>111</v>
      </c>
      <c r="D14" s="1" t="s">
        <v>112</v>
      </c>
      <c r="E14" s="1"/>
      <c r="F14" s="1"/>
      <c r="G14" s="19"/>
      <c r="H14" s="20"/>
      <c r="I14" s="19"/>
      <c r="J14" s="19"/>
      <c r="K14" s="19"/>
      <c r="L14" s="19"/>
      <c r="M14" s="19" t="s">
        <v>22</v>
      </c>
      <c r="N14" s="19" t="s">
        <v>91</v>
      </c>
      <c r="O14" s="19"/>
      <c r="P14" s="19"/>
      <c r="Q14" s="19"/>
      <c r="R14" s="19"/>
      <c r="S14" s="19"/>
      <c r="T14" s="19"/>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126">
      <c r="A15" s="1">
        <v>1959</v>
      </c>
      <c r="B15" s="1" t="s">
        <v>23</v>
      </c>
      <c r="C15" s="1" t="s">
        <v>113</v>
      </c>
      <c r="D15" s="1" t="s">
        <v>114</v>
      </c>
      <c r="E15" s="21" t="s">
        <v>257</v>
      </c>
      <c r="F15" s="1"/>
      <c r="G15" s="19" t="s">
        <v>115</v>
      </c>
      <c r="H15" s="19"/>
      <c r="I15" s="19"/>
      <c r="J15" s="19"/>
      <c r="K15" s="19"/>
      <c r="L15" s="19"/>
      <c r="M15" s="19" t="s">
        <v>22</v>
      </c>
      <c r="N15" s="19" t="s">
        <v>91</v>
      </c>
      <c r="O15" s="19"/>
      <c r="P15" s="19"/>
      <c r="Q15" s="19"/>
      <c r="R15" s="19"/>
      <c r="S15" s="19"/>
      <c r="T15" s="19"/>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126">
      <c r="A16" s="1">
        <v>1960</v>
      </c>
      <c r="B16" s="1" t="s">
        <v>23</v>
      </c>
      <c r="C16" s="1" t="s">
        <v>116</v>
      </c>
      <c r="D16" s="1" t="s">
        <v>117</v>
      </c>
      <c r="E16" s="1" t="s">
        <v>118</v>
      </c>
      <c r="F16" s="1"/>
      <c r="G16" s="19"/>
      <c r="H16" s="19"/>
      <c r="I16" s="19"/>
      <c r="J16" s="19"/>
      <c r="K16" s="19"/>
      <c r="L16" s="19"/>
      <c r="M16" s="19" t="s">
        <v>22</v>
      </c>
      <c r="N16" s="19" t="s">
        <v>91</v>
      </c>
      <c r="O16" s="19"/>
      <c r="P16" s="19"/>
      <c r="Q16" s="19"/>
      <c r="R16" s="19"/>
      <c r="S16" s="19"/>
      <c r="T16" s="19"/>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126">
      <c r="A17" s="1">
        <v>1961</v>
      </c>
      <c r="B17" s="1" t="s">
        <v>27</v>
      </c>
      <c r="C17" s="1" t="s">
        <v>119</v>
      </c>
      <c r="D17" s="19"/>
      <c r="E17" s="1" t="s">
        <v>120</v>
      </c>
      <c r="F17" s="19"/>
      <c r="G17" s="19"/>
      <c r="H17" s="19"/>
      <c r="I17" s="19"/>
      <c r="J17" s="19"/>
      <c r="K17" s="19"/>
      <c r="L17" s="19"/>
      <c r="M17" s="19" t="s">
        <v>22</v>
      </c>
      <c r="N17" s="19" t="s">
        <v>91</v>
      </c>
      <c r="O17" s="19"/>
      <c r="P17" s="19"/>
      <c r="Q17" s="19"/>
      <c r="R17" s="19"/>
      <c r="S17" s="19"/>
      <c r="T17" s="19"/>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 r="A18" s="1">
        <v>1962</v>
      </c>
      <c r="B18" s="1" t="s">
        <v>27</v>
      </c>
      <c r="C18" s="1"/>
      <c r="D18" s="1" t="s">
        <v>121</v>
      </c>
      <c r="E18" s="1"/>
      <c r="F18" s="1"/>
      <c r="G18" s="19"/>
      <c r="H18" s="19"/>
      <c r="I18" s="19"/>
      <c r="J18" s="19"/>
      <c r="K18" s="19"/>
      <c r="L18" s="19" t="s">
        <v>122</v>
      </c>
      <c r="M18" s="19" t="s">
        <v>22</v>
      </c>
      <c r="N18" s="19" t="s">
        <v>91</v>
      </c>
      <c r="O18" s="19"/>
      <c r="P18" s="19"/>
      <c r="Q18" s="19"/>
      <c r="R18" s="19"/>
      <c r="S18" s="19"/>
      <c r="T18" s="19"/>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371">
      <c r="A19" s="1">
        <v>1963</v>
      </c>
      <c r="B19" s="1"/>
      <c r="C19" s="1" t="s">
        <v>123</v>
      </c>
      <c r="D19" s="1" t="s">
        <v>287</v>
      </c>
      <c r="E19" s="1" t="s">
        <v>124</v>
      </c>
      <c r="F19" s="1"/>
      <c r="G19" s="19"/>
      <c r="H19" s="23" t="s">
        <v>125</v>
      </c>
      <c r="I19" s="23" t="s">
        <v>126</v>
      </c>
      <c r="J19" s="19" t="s">
        <v>127</v>
      </c>
      <c r="K19" s="19"/>
      <c r="L19" s="19"/>
      <c r="M19" s="19" t="s">
        <v>128</v>
      </c>
      <c r="N19" s="19" t="s">
        <v>129</v>
      </c>
      <c r="O19" s="19"/>
      <c r="P19" s="19"/>
      <c r="Q19" s="19"/>
      <c r="R19" s="19"/>
      <c r="S19" s="19"/>
      <c r="T19" s="19"/>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8">
      <c r="A20" s="1">
        <v>1964</v>
      </c>
      <c r="B20" s="1"/>
      <c r="C20" s="1" t="s">
        <v>321</v>
      </c>
      <c r="D20" s="1"/>
      <c r="E20" s="1" t="s">
        <v>130</v>
      </c>
      <c r="F20" s="1"/>
      <c r="G20" s="19"/>
      <c r="H20" s="20"/>
      <c r="I20" s="19"/>
      <c r="J20" s="19"/>
      <c r="K20" s="19"/>
      <c r="L20" s="19"/>
      <c r="M20" s="19"/>
      <c r="N20" s="19"/>
      <c r="O20" s="19"/>
      <c r="P20" s="19"/>
      <c r="Q20" s="19"/>
      <c r="R20" s="19"/>
      <c r="S20" s="19"/>
      <c r="T20" s="19"/>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12">
      <c r="A21" s="1">
        <v>1966</v>
      </c>
      <c r="B21" s="1" t="s">
        <v>27</v>
      </c>
      <c r="C21" s="1" t="s">
        <v>320</v>
      </c>
      <c r="D21" s="1" t="s">
        <v>255</v>
      </c>
      <c r="E21" s="1"/>
      <c r="F21" s="1" t="s">
        <v>307</v>
      </c>
      <c r="G21" s="19"/>
      <c r="H21" s="19"/>
      <c r="I21" s="19"/>
      <c r="J21" s="19"/>
      <c r="K21" s="19"/>
      <c r="L21" s="19"/>
      <c r="M21" s="19"/>
      <c r="N21" s="19"/>
      <c r="O21" s="19"/>
      <c r="P21" s="19"/>
      <c r="Q21" s="19"/>
      <c r="R21" s="19"/>
      <c r="S21" s="19"/>
      <c r="T21" s="19"/>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38">
      <c r="A22" s="1">
        <v>1967</v>
      </c>
      <c r="B22" s="1" t="s">
        <v>33</v>
      </c>
      <c r="C22" s="1" t="s">
        <v>323</v>
      </c>
      <c r="D22" s="1" t="s">
        <v>288</v>
      </c>
      <c r="E22" s="1" t="s">
        <v>131</v>
      </c>
      <c r="F22" s="25" t="s">
        <v>308</v>
      </c>
      <c r="G22" s="19"/>
      <c r="H22" s="19"/>
      <c r="I22" s="19"/>
      <c r="J22" s="19"/>
      <c r="K22" s="19"/>
      <c r="L22" s="19"/>
      <c r="M22" s="19"/>
      <c r="N22" s="19"/>
      <c r="O22" s="19"/>
      <c r="P22" s="19"/>
      <c r="Q22" s="19"/>
      <c r="R22" s="19"/>
      <c r="S22" s="19"/>
      <c r="T22" s="19"/>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154">
      <c r="A23" s="1">
        <v>1968</v>
      </c>
      <c r="B23" s="1" t="s">
        <v>33</v>
      </c>
      <c r="C23" s="1" t="s">
        <v>35</v>
      </c>
      <c r="D23" s="1" t="s">
        <v>36</v>
      </c>
      <c r="E23" s="1" t="s">
        <v>37</v>
      </c>
      <c r="F23" s="15"/>
      <c r="G23" s="24" t="s">
        <v>252</v>
      </c>
      <c r="H23" s="19"/>
      <c r="I23" s="19"/>
      <c r="J23" s="19"/>
      <c r="K23" s="19"/>
      <c r="L23" s="19"/>
      <c r="M23" s="19"/>
      <c r="N23" s="19"/>
      <c r="O23" s="19"/>
      <c r="P23" s="19"/>
      <c r="Q23" s="19"/>
      <c r="R23" s="19"/>
      <c r="S23" s="19"/>
      <c r="T23" s="19"/>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98">
      <c r="A24" s="1">
        <v>1969</v>
      </c>
      <c r="B24" s="1" t="s">
        <v>33</v>
      </c>
      <c r="C24" s="1" t="s">
        <v>132</v>
      </c>
      <c r="D24" s="1" t="s">
        <v>294</v>
      </c>
      <c r="E24" s="1"/>
      <c r="F24" s="1" t="s">
        <v>319</v>
      </c>
      <c r="G24" s="24"/>
      <c r="H24" s="19"/>
      <c r="I24" s="19"/>
      <c r="J24" s="19"/>
      <c r="K24" s="19"/>
      <c r="L24" s="19"/>
      <c r="M24" s="19"/>
      <c r="N24" s="19"/>
      <c r="O24" s="19"/>
      <c r="P24" s="19"/>
      <c r="Q24" s="19"/>
      <c r="R24" s="19"/>
      <c r="S24" s="19"/>
      <c r="T24" s="19"/>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126">
      <c r="A25" s="1">
        <v>1970</v>
      </c>
      <c r="B25" s="1"/>
      <c r="C25" s="1" t="s">
        <v>278</v>
      </c>
      <c r="D25" s="27"/>
      <c r="E25" s="1"/>
      <c r="F25" s="1" t="s">
        <v>318</v>
      </c>
      <c r="G25" s="24"/>
      <c r="H25" s="19"/>
      <c r="I25" s="19"/>
      <c r="J25" s="19"/>
      <c r="K25" s="19"/>
      <c r="L25" s="19"/>
      <c r="M25" s="19"/>
      <c r="N25" s="19"/>
      <c r="O25" s="19"/>
      <c r="P25" s="19"/>
      <c r="Q25" s="19"/>
      <c r="R25" s="19"/>
      <c r="S25" s="19"/>
      <c r="T25" s="19"/>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196">
      <c r="A26" s="1">
        <v>1971</v>
      </c>
      <c r="B26" s="1" t="s">
        <v>38</v>
      </c>
      <c r="C26" s="1" t="s">
        <v>133</v>
      </c>
      <c r="D26" s="1" t="s">
        <v>262</v>
      </c>
      <c r="E26" s="1" t="s">
        <v>134</v>
      </c>
      <c r="F26" s="25" t="s">
        <v>309</v>
      </c>
      <c r="G26" s="19" t="s">
        <v>259</v>
      </c>
      <c r="H26" s="19"/>
      <c r="I26" s="19"/>
      <c r="J26" s="15"/>
      <c r="K26" s="19"/>
      <c r="L26" s="19" t="s">
        <v>256</v>
      </c>
      <c r="M26" s="1" t="s">
        <v>135</v>
      </c>
      <c r="N26" s="21" t="s">
        <v>136</v>
      </c>
      <c r="O26" s="1"/>
      <c r="P26" s="1"/>
      <c r="Q26" s="1"/>
      <c r="R26" s="1"/>
      <c r="S26" s="1" t="s">
        <v>51</v>
      </c>
      <c r="T26" s="19"/>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6">
      <c r="A27" s="1">
        <v>1972</v>
      </c>
      <c r="B27" s="1"/>
      <c r="C27" s="1"/>
      <c r="D27" s="1" t="s">
        <v>284</v>
      </c>
      <c r="E27" s="1"/>
      <c r="F27" s="25" t="s">
        <v>310</v>
      </c>
      <c r="G27" s="15"/>
      <c r="H27" s="15"/>
      <c r="I27" s="15"/>
      <c r="J27" s="15"/>
      <c r="K27" s="15"/>
      <c r="L27" s="15"/>
      <c r="M27" s="1"/>
      <c r="N27" s="21"/>
      <c r="O27" s="1"/>
      <c r="P27" s="1"/>
      <c r="Q27" s="1"/>
      <c r="R27" s="1"/>
      <c r="S27" s="1"/>
      <c r="T27" s="15"/>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84">
      <c r="A28" s="1">
        <v>1973</v>
      </c>
      <c r="B28" s="1"/>
      <c r="C28" s="1"/>
      <c r="D28" s="26" t="s">
        <v>285</v>
      </c>
      <c r="E28" s="1"/>
      <c r="F28" s="25" t="s">
        <v>311</v>
      </c>
      <c r="G28" s="1"/>
      <c r="H28" s="15" t="s">
        <v>283</v>
      </c>
      <c r="I28" s="15"/>
      <c r="J28" s="15"/>
      <c r="K28" s="15"/>
      <c r="L28" s="15"/>
      <c r="M28" s="1"/>
      <c r="N28" s="21"/>
      <c r="O28" s="1"/>
      <c r="P28" s="1"/>
      <c r="Q28" s="1"/>
      <c r="R28" s="1"/>
      <c r="S28" s="1"/>
      <c r="T28" s="15"/>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56">
      <c r="A29" s="1">
        <v>1974</v>
      </c>
      <c r="B29" s="1"/>
      <c r="C29" s="1"/>
      <c r="D29" s="1"/>
      <c r="E29" s="1"/>
      <c r="F29" s="25" t="s">
        <v>312</v>
      </c>
      <c r="G29" s="1" t="s">
        <v>260</v>
      </c>
      <c r="H29" s="15"/>
      <c r="I29" s="15"/>
      <c r="J29" s="15"/>
      <c r="K29" s="15"/>
      <c r="L29" s="15"/>
      <c r="M29" s="1"/>
      <c r="N29" s="21"/>
      <c r="O29" s="1"/>
      <c r="P29" s="1"/>
      <c r="Q29" s="1"/>
      <c r="R29" s="1"/>
      <c r="S29" s="1"/>
      <c r="T29" s="15"/>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6">
      <c r="A30" s="1">
        <v>1975</v>
      </c>
      <c r="B30" s="1" t="s">
        <v>42</v>
      </c>
      <c r="C30" s="1" t="s">
        <v>43</v>
      </c>
      <c r="D30" s="1" t="s">
        <v>44</v>
      </c>
      <c r="E30" s="1" t="s">
        <v>328</v>
      </c>
      <c r="F30" s="1" t="s">
        <v>314</v>
      </c>
      <c r="G30" s="1" t="s">
        <v>331</v>
      </c>
      <c r="H30" s="19"/>
      <c r="I30" s="19"/>
      <c r="J30" s="19"/>
      <c r="K30" s="19"/>
      <c r="L30" s="15" t="s">
        <v>329</v>
      </c>
      <c r="M30" s="19" t="s">
        <v>334</v>
      </c>
      <c r="N30" s="19" t="s">
        <v>335</v>
      </c>
      <c r="O30" s="19"/>
      <c r="P30" s="19"/>
      <c r="Q30" s="19"/>
      <c r="R30" s="19"/>
      <c r="S30" s="19"/>
      <c r="T30" s="19"/>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98">
      <c r="A31" s="1">
        <v>1976</v>
      </c>
      <c r="B31" s="1" t="s">
        <v>42</v>
      </c>
      <c r="C31" s="1"/>
      <c r="D31" s="25" t="s">
        <v>286</v>
      </c>
      <c r="E31" s="1" t="s">
        <v>327</v>
      </c>
      <c r="F31" s="1" t="s">
        <v>332</v>
      </c>
      <c r="G31" s="1"/>
      <c r="H31" s="15"/>
      <c r="I31" s="15"/>
      <c r="J31" s="15"/>
      <c r="K31" s="15"/>
      <c r="L31" s="15"/>
      <c r="M31" s="15"/>
      <c r="N31" s="15"/>
      <c r="O31" s="15"/>
      <c r="P31" s="15"/>
      <c r="Q31" s="15"/>
      <c r="R31" s="15"/>
      <c r="S31" s="15"/>
      <c r="T31" s="15"/>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6">
      <c r="A32" s="1">
        <v>1977</v>
      </c>
      <c r="B32" s="1" t="s">
        <v>48</v>
      </c>
      <c r="C32" s="1" t="s">
        <v>306</v>
      </c>
      <c r="D32" s="1" t="s">
        <v>305</v>
      </c>
      <c r="E32" s="1" t="s">
        <v>333</v>
      </c>
      <c r="F32" s="15" t="s">
        <v>313</v>
      </c>
      <c r="G32" s="19" t="s">
        <v>326</v>
      </c>
      <c r="H32" s="19"/>
      <c r="I32" s="19"/>
      <c r="J32" s="19"/>
      <c r="K32" s="19" t="s">
        <v>137</v>
      </c>
      <c r="L32" s="15" t="s">
        <v>325</v>
      </c>
      <c r="M32" s="19"/>
      <c r="N32" s="19"/>
      <c r="O32" s="19"/>
      <c r="P32" s="19"/>
      <c r="Q32" s="19"/>
      <c r="R32" s="19"/>
      <c r="S32" s="19"/>
      <c r="T32" s="19"/>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2">
      <c r="A33" s="1">
        <v>1978</v>
      </c>
      <c r="B33" s="1" t="s">
        <v>48</v>
      </c>
      <c r="C33" s="1"/>
      <c r="D33" s="25"/>
      <c r="E33" s="1" t="s">
        <v>338</v>
      </c>
      <c r="F33" s="1" t="s">
        <v>292</v>
      </c>
      <c r="G33" s="15" t="s">
        <v>339</v>
      </c>
      <c r="H33" s="19"/>
      <c r="I33" s="19"/>
      <c r="J33" s="19"/>
      <c r="K33" s="19"/>
      <c r="L33" s="15" t="s">
        <v>138</v>
      </c>
      <c r="M33" s="19"/>
      <c r="N33" s="19"/>
      <c r="O33" s="19"/>
      <c r="P33" s="19"/>
      <c r="Q33" s="19"/>
      <c r="R33" s="19"/>
      <c r="S33" s="19"/>
      <c r="T33" s="19"/>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2">
      <c r="A34" s="1">
        <v>1979</v>
      </c>
      <c r="B34" s="1" t="s">
        <v>48</v>
      </c>
      <c r="C34" s="1"/>
      <c r="D34" s="1" t="s">
        <v>322</v>
      </c>
      <c r="E34" s="1" t="s">
        <v>304</v>
      </c>
      <c r="F34" s="15" t="s">
        <v>139</v>
      </c>
      <c r="G34" s="15" t="s">
        <v>300</v>
      </c>
      <c r="H34" s="19" t="s">
        <v>324</v>
      </c>
      <c r="I34" s="19"/>
      <c r="J34" s="19"/>
      <c r="K34" s="19"/>
      <c r="L34" s="19"/>
      <c r="M34" s="19"/>
      <c r="N34" s="19"/>
      <c r="O34" s="19"/>
      <c r="P34" s="19"/>
      <c r="Q34" s="19"/>
      <c r="R34" s="19"/>
      <c r="S34" s="19"/>
      <c r="T34" s="19"/>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293">
      <c r="A35" s="1">
        <v>1980</v>
      </c>
      <c r="B35" s="1" t="s">
        <v>52</v>
      </c>
      <c r="C35" s="1" t="s">
        <v>53</v>
      </c>
      <c r="D35" s="25" t="s">
        <v>301</v>
      </c>
      <c r="E35" s="1" t="s">
        <v>54</v>
      </c>
      <c r="F35" s="1" t="s">
        <v>315</v>
      </c>
      <c r="G35" s="1" t="s">
        <v>140</v>
      </c>
      <c r="H35" s="19"/>
      <c r="I35" s="19"/>
      <c r="J35" s="19"/>
      <c r="K35" s="19"/>
      <c r="L35" s="19" t="s">
        <v>141</v>
      </c>
      <c r="M35" s="19"/>
      <c r="N35" s="19"/>
      <c r="O35" s="19"/>
      <c r="P35" s="19"/>
      <c r="Q35" s="19"/>
      <c r="R35" s="19"/>
      <c r="S35" s="19"/>
      <c r="T35" s="19"/>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82">
      <c r="A36" s="1">
        <v>1981</v>
      </c>
      <c r="B36" s="1" t="s">
        <v>52</v>
      </c>
      <c r="C36" s="1"/>
      <c r="D36" s="15" t="s">
        <v>303</v>
      </c>
      <c r="E36" s="1"/>
      <c r="F36" s="1" t="s">
        <v>316</v>
      </c>
      <c r="G36" s="1" t="s">
        <v>266</v>
      </c>
      <c r="H36" s="15"/>
      <c r="I36" s="15"/>
      <c r="J36" s="15"/>
      <c r="K36" s="15"/>
      <c r="L36" s="15" t="s">
        <v>280</v>
      </c>
      <c r="M36" s="15"/>
      <c r="N36" s="15"/>
      <c r="O36" s="15"/>
      <c r="P36" s="15"/>
      <c r="Q36" s="15"/>
      <c r="R36" s="15"/>
      <c r="S36" s="15"/>
      <c r="T36" s="15"/>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26">
      <c r="A37" s="1">
        <v>1982</v>
      </c>
      <c r="B37" s="1">
        <v>1982</v>
      </c>
      <c r="C37" s="1" t="s">
        <v>142</v>
      </c>
      <c r="D37" s="1" t="s">
        <v>263</v>
      </c>
      <c r="E37" s="1" t="s">
        <v>57</v>
      </c>
      <c r="F37" s="25" t="s">
        <v>317</v>
      </c>
      <c r="G37" s="19"/>
      <c r="H37" s="19"/>
      <c r="I37" s="19"/>
      <c r="J37" s="19"/>
      <c r="K37" s="19"/>
      <c r="L37" s="19" t="s">
        <v>143</v>
      </c>
      <c r="M37" s="19"/>
      <c r="N37" s="19"/>
      <c r="O37" s="19"/>
      <c r="P37" s="19"/>
      <c r="Q37" s="19"/>
      <c r="R37" s="19"/>
      <c r="S37" s="19"/>
      <c r="T37" s="19"/>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1" r:id="rId5" xr:uid="{00000000-0004-0000-0100-000004000000}"/>
    <hyperlink ref="H10" r:id="rId6" xr:uid="{58B353DE-712B-314B-AF9D-5EFD2C97FAA8}"/>
    <hyperlink ref="H13" r:id="rId7" xr:uid="{8BED597B-320D-244A-BF54-DD605F46C2B8}"/>
    <hyperlink ref="I19" r:id="rId8" xr:uid="{E9755199-911B-FA49-8D25-961C201765E5}"/>
    <hyperlink ref="H19" r:id="rId9" xr:uid="{348FB49A-F751-5D48-A9BD-36E381E49EE1}"/>
  </hyperlinks>
  <pageMargins left="0.7" right="0.7" top="0.75" bottom="0.75" header="0.511811023622047" footer="0.511811023622047"/>
  <pageSetup paperSize="9" orientation="portrait" horizontalDpi="300" verticalDpi="300"/>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7A15F-9849-0547-90EB-0E0C6153DA22}">
  <dimension ref="A15:D19"/>
  <sheetViews>
    <sheetView workbookViewId="0">
      <selection activeCell="C17" sqref="C17"/>
    </sheetView>
  </sheetViews>
  <sheetFormatPr baseColWidth="10" defaultColWidth="11.5" defaultRowHeight="13"/>
  <cols>
    <col min="2" max="2" width="37.5" customWidth="1"/>
    <col min="3" max="3" width="37" customWidth="1"/>
    <col min="4" max="4" width="30.83203125" customWidth="1"/>
  </cols>
  <sheetData>
    <row r="15" spans="1:4">
      <c r="A15" s="16" t="s">
        <v>144</v>
      </c>
      <c r="B15" s="16" t="s">
        <v>145</v>
      </c>
      <c r="C15" s="16" t="s">
        <v>146</v>
      </c>
      <c r="D15" s="16" t="s">
        <v>147</v>
      </c>
    </row>
    <row r="16" spans="1:4" ht="51">
      <c r="A16" s="17" t="s">
        <v>148</v>
      </c>
      <c r="B16" s="18" t="s">
        <v>149</v>
      </c>
      <c r="C16" s="17" t="s">
        <v>150</v>
      </c>
      <c r="D16" s="17"/>
    </row>
    <row r="17" spans="1:4" ht="51">
      <c r="A17" s="17" t="s">
        <v>151</v>
      </c>
      <c r="B17" s="18" t="s">
        <v>152</v>
      </c>
      <c r="C17" s="17" t="s">
        <v>153</v>
      </c>
      <c r="D17" s="17" t="s">
        <v>154</v>
      </c>
    </row>
    <row r="18" spans="1:4" ht="28">
      <c r="A18" s="17" t="s">
        <v>155</v>
      </c>
      <c r="B18" s="17" t="s">
        <v>156</v>
      </c>
      <c r="C18" s="17" t="s">
        <v>157</v>
      </c>
      <c r="D18" s="17" t="s">
        <v>154</v>
      </c>
    </row>
    <row r="19" spans="1:4" ht="28">
      <c r="A19" s="17" t="s">
        <v>158</v>
      </c>
      <c r="B19" s="17" t="s">
        <v>159</v>
      </c>
      <c r="C19" s="17" t="s">
        <v>160</v>
      </c>
      <c r="D19" s="17" t="s">
        <v>161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1"/>
  <sheetViews>
    <sheetView topLeftCell="A13" zoomScaleNormal="100" workbookViewId="0">
      <selection activeCell="B34" sqref="B34"/>
    </sheetView>
  </sheetViews>
  <sheetFormatPr baseColWidth="10" defaultColWidth="10.5" defaultRowHeight="13"/>
  <cols>
    <col min="1" max="1" width="46.83203125" customWidth="1"/>
    <col min="2" max="2" width="59.1640625" customWidth="1"/>
  </cols>
  <sheetData>
    <row r="1" spans="1:2" ht="17">
      <c r="A1" s="7" t="s">
        <v>162</v>
      </c>
      <c r="B1" s="7" t="s">
        <v>163</v>
      </c>
    </row>
    <row r="2" spans="1:2" ht="17">
      <c r="A2" s="9" t="s">
        <v>164</v>
      </c>
      <c r="B2" s="9" t="s">
        <v>165</v>
      </c>
    </row>
    <row r="3" spans="1:2" ht="17">
      <c r="A3" s="9" t="s">
        <v>166</v>
      </c>
      <c r="B3" s="9" t="s">
        <v>167</v>
      </c>
    </row>
    <row r="4" spans="1:2" ht="17">
      <c r="A4" s="9" t="s">
        <v>168</v>
      </c>
      <c r="B4" s="9" t="s">
        <v>169</v>
      </c>
    </row>
    <row r="5" spans="1:2" ht="17">
      <c r="A5" s="9" t="s">
        <v>170</v>
      </c>
      <c r="B5" s="9" t="s">
        <v>171</v>
      </c>
    </row>
    <row r="6" spans="1:2" ht="17">
      <c r="A6" s="9" t="s">
        <v>172</v>
      </c>
      <c r="B6" s="9" t="s">
        <v>173</v>
      </c>
    </row>
    <row r="7" spans="1:2" ht="17">
      <c r="A7" s="9" t="s">
        <v>174</v>
      </c>
      <c r="B7" s="9" t="s">
        <v>175</v>
      </c>
    </row>
    <row r="8" spans="1:2" ht="17">
      <c r="A8" s="9" t="s">
        <v>176</v>
      </c>
      <c r="B8" s="9" t="s">
        <v>177</v>
      </c>
    </row>
    <row r="9" spans="1:2" ht="17">
      <c r="A9" s="9" t="s">
        <v>178</v>
      </c>
      <c r="B9" s="9" t="s">
        <v>179</v>
      </c>
    </row>
    <row r="10" spans="1:2" ht="17">
      <c r="A10" s="9" t="s">
        <v>180</v>
      </c>
      <c r="B10" s="9" t="s">
        <v>181</v>
      </c>
    </row>
    <row r="11" spans="1:2" ht="17">
      <c r="A11" s="9" t="s">
        <v>182</v>
      </c>
      <c r="B11" s="9" t="s">
        <v>183</v>
      </c>
    </row>
    <row r="12" spans="1:2" ht="17">
      <c r="A12" s="9" t="s">
        <v>184</v>
      </c>
      <c r="B12" s="9" t="s">
        <v>185</v>
      </c>
    </row>
    <row r="13" spans="1:2" ht="17">
      <c r="A13" s="9" t="s">
        <v>186</v>
      </c>
      <c r="B13" s="9" t="s">
        <v>187</v>
      </c>
    </row>
    <row r="14" spans="1:2" ht="17">
      <c r="A14" s="9" t="s">
        <v>188</v>
      </c>
      <c r="B14" s="9" t="s">
        <v>189</v>
      </c>
    </row>
    <row r="15" spans="1:2" ht="17">
      <c r="A15" s="9" t="s">
        <v>190</v>
      </c>
      <c r="B15" s="9" t="s">
        <v>191</v>
      </c>
    </row>
    <row r="16" spans="1:2" ht="17">
      <c r="A16" s="9" t="s">
        <v>192</v>
      </c>
      <c r="B16" s="9" t="s">
        <v>193</v>
      </c>
    </row>
    <row r="17" spans="1:2" ht="17">
      <c r="A17" s="9" t="s">
        <v>194</v>
      </c>
      <c r="B17" s="9" t="s">
        <v>195</v>
      </c>
    </row>
    <row r="18" spans="1:2" ht="17">
      <c r="A18" s="9" t="s">
        <v>196</v>
      </c>
      <c r="B18" s="9" t="s">
        <v>197</v>
      </c>
    </row>
    <row r="19" spans="1:2" ht="17">
      <c r="A19" s="9" t="s">
        <v>198</v>
      </c>
      <c r="B19" s="9" t="s">
        <v>199</v>
      </c>
    </row>
    <row r="20" spans="1:2" ht="17">
      <c r="A20" s="9" t="s">
        <v>200</v>
      </c>
      <c r="B20" s="9" t="s">
        <v>201</v>
      </c>
    </row>
    <row r="21" spans="1:2" ht="17">
      <c r="A21" s="9" t="s">
        <v>202</v>
      </c>
      <c r="B21" s="9" t="s">
        <v>203</v>
      </c>
    </row>
    <row r="22" spans="1:2" ht="17">
      <c r="A22" s="9" t="s">
        <v>204</v>
      </c>
      <c r="B22" s="9" t="s">
        <v>205</v>
      </c>
    </row>
    <row r="23" spans="1:2" ht="17">
      <c r="A23" s="9" t="s">
        <v>206</v>
      </c>
      <c r="B23" s="9" t="s">
        <v>207</v>
      </c>
    </row>
    <row r="24" spans="1:2" ht="17">
      <c r="A24" s="9" t="s">
        <v>208</v>
      </c>
      <c r="B24" s="9" t="s">
        <v>209</v>
      </c>
    </row>
    <row r="25" spans="1:2" ht="17">
      <c r="A25" s="9" t="s">
        <v>210</v>
      </c>
      <c r="B25" s="9" t="s">
        <v>211</v>
      </c>
    </row>
    <row r="26" spans="1:2" ht="17">
      <c r="A26" s="9" t="s">
        <v>212</v>
      </c>
      <c r="B26" s="9" t="s">
        <v>213</v>
      </c>
    </row>
    <row r="27" spans="1:2" ht="17">
      <c r="A27" s="9" t="s">
        <v>214</v>
      </c>
      <c r="B27" s="9" t="s">
        <v>215</v>
      </c>
    </row>
    <row r="28" spans="1:2" ht="17">
      <c r="A28" s="9" t="s">
        <v>216</v>
      </c>
      <c r="B28" s="9" t="s">
        <v>217</v>
      </c>
    </row>
    <row r="29" spans="1:2" ht="17">
      <c r="A29" s="9" t="s">
        <v>218</v>
      </c>
      <c r="B29" s="9" t="s">
        <v>219</v>
      </c>
    </row>
    <row r="30" spans="1:2" ht="17">
      <c r="A30" s="9" t="s">
        <v>220</v>
      </c>
      <c r="B30" s="9" t="s">
        <v>221</v>
      </c>
    </row>
    <row r="31" spans="1:2" ht="17">
      <c r="A31" s="9" t="s">
        <v>222</v>
      </c>
      <c r="B31" s="9" t="s">
        <v>223</v>
      </c>
    </row>
    <row r="32" spans="1:2" ht="17">
      <c r="A32" s="9" t="s">
        <v>224</v>
      </c>
      <c r="B32" s="9" t="s">
        <v>225</v>
      </c>
    </row>
    <row r="33" spans="1:2" ht="17">
      <c r="A33" s="9" t="s">
        <v>226</v>
      </c>
      <c r="B33" s="9" t="s">
        <v>227</v>
      </c>
    </row>
    <row r="34" spans="1:2" ht="17">
      <c r="A34" s="9" t="s">
        <v>228</v>
      </c>
      <c r="B34" s="9" t="s">
        <v>293</v>
      </c>
    </row>
    <row r="35" spans="1:2" ht="17">
      <c r="A35" s="9" t="s">
        <v>229</v>
      </c>
      <c r="B35" s="9" t="s">
        <v>230</v>
      </c>
    </row>
    <row r="36" spans="1:2" ht="17">
      <c r="A36" s="9" t="s">
        <v>231</v>
      </c>
      <c r="B36" s="9" t="s">
        <v>232</v>
      </c>
    </row>
    <row r="37" spans="1:2" ht="17">
      <c r="A37" s="9" t="s">
        <v>233</v>
      </c>
      <c r="B37" s="9" t="s">
        <v>234</v>
      </c>
    </row>
    <row r="38" spans="1:2" ht="17">
      <c r="A38" s="9" t="s">
        <v>235</v>
      </c>
      <c r="B38" s="9" t="s">
        <v>236</v>
      </c>
    </row>
    <row r="39" spans="1:2" ht="17">
      <c r="A39" s="9" t="s">
        <v>237</v>
      </c>
      <c r="B39" s="9" t="s">
        <v>238</v>
      </c>
    </row>
    <row r="40" spans="1:2" ht="17">
      <c r="A40" s="9" t="s">
        <v>239</v>
      </c>
      <c r="B40" s="9" t="s">
        <v>240</v>
      </c>
    </row>
    <row r="41" spans="1:2" ht="17">
      <c r="A41" s="9" t="s">
        <v>241</v>
      </c>
      <c r="B41" s="9" t="s">
        <v>242</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
  <sheetViews>
    <sheetView zoomScaleNormal="100" workbookViewId="0"/>
  </sheetViews>
  <sheetFormatPr baseColWidth="10" defaultColWidth="10.5" defaultRowHeight="13"/>
  <cols>
    <col min="1" max="1" width="29.6640625" customWidth="1"/>
    <col min="2" max="2" width="101.1640625" customWidth="1"/>
  </cols>
  <sheetData>
    <row r="1" spans="1:2" ht="30" customHeight="1">
      <c r="A1" s="10" t="s">
        <v>243</v>
      </c>
      <c r="B1" s="10"/>
    </row>
    <row r="2" spans="1:2" ht="34" customHeight="1">
      <c r="A2" s="11" t="s">
        <v>244</v>
      </c>
      <c r="B2" s="7" t="s">
        <v>245</v>
      </c>
    </row>
    <row r="3" spans="1:2" ht="34" customHeight="1">
      <c r="A3" s="11" t="s">
        <v>246</v>
      </c>
      <c r="B3" s="7" t="s">
        <v>247</v>
      </c>
    </row>
    <row r="4" spans="1:2" ht="34" customHeight="1">
      <c r="A4" s="11" t="s">
        <v>248</v>
      </c>
      <c r="B4" s="7" t="s">
        <v>249</v>
      </c>
    </row>
    <row r="5" spans="1:2" ht="34" customHeight="1">
      <c r="A5" s="11" t="s">
        <v>250</v>
      </c>
      <c r="B5" s="7" t="s">
        <v>251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0</cp:revision>
  <dcterms:created xsi:type="dcterms:W3CDTF">2026-07-20T16:45:25Z</dcterms:created>
  <dcterms:modified xsi:type="dcterms:W3CDTF">2026-07-30T11:31:42Z</dcterms:modified>
  <cp:category/>
  <cp:contentStatus/>
</cp:coreProperties>
</file>