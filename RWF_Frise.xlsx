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_Fassbinder/"/>
    </mc:Choice>
  </mc:AlternateContent>
  <xr:revisionPtr revIDLastSave="349" documentId="11_6BE08DF89F0657832A60AF55EF513509DE63B29B" xr6:coauthVersionLast="47" xr6:coauthVersionMax="47" xr10:uidLastSave="{48CC86CD-DD4D-F141-96C1-2A94EC968897}"/>
  <bookViews>
    <workbookView xWindow="0" yWindow="640" windowWidth="29400" windowHeight="18480" tabRatio="50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U34" i="2" l="1"/>
  <c r="U33" i="2"/>
  <c r="U30" i="2"/>
  <c r="U29" i="2"/>
  <c r="U26" i="2"/>
  <c r="U23" i="2"/>
  <c r="U22" i="2"/>
  <c r="U21" i="2"/>
  <c r="U18" i="2"/>
  <c r="U17" i="2"/>
  <c r="U16" i="2"/>
  <c r="U15" i="2"/>
  <c r="U13"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<sst xmlns="http://schemas.openxmlformats.org/spreadsheetml/2006/main" count="371" uniqueCount="297">
  <si>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</si>
  <si>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</si>
  <si>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</si>
  <si>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</si>
  <si>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</si>
  <si>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</si>
  <si>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</si>
  <si>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</si>
  <si>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</si>
  <si>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</si>
  <si>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</si>
  <si>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</si>
  <si>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</si>
  <si>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</si>
  <si>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1945-1946</t>
  </si>
  <si>
    <t>Les ruines l'Heure zéro</t>
  </si>
  <si>
    <t>Le "point zéro" de l'histoire de l'Allemagne d'après-guerre est-il un point zéro pour la vie et l'œuvre de RWF ?</t>
  </si>
  <si>
    <t xml:space="preserve">Capitulation du Troisième Reich (mai). L'Allemagne est en ruines (Année Zéro). Début de l'occupation alliée et de l'amnésie collective sur le passé nazi. Le pays et berlin sont partagés en zone sous contrôle des différentes forces alliées. </t>
  </si>
  <si>
    <r>
      <t xml:space="preserve">Le cinéma est en ruines. Période des films de décombres ( Trümmerfilme ) comme </t>
    </r>
    <r>
      <rPr>
        <i/>
        <sz val="10"/>
        <color theme="1"/>
        <rFont val="Arial"/>
        <family val="2"/>
      </rPr>
      <t xml:space="preserve">Les assassins sont parmi nous </t>
    </r>
    <r>
      <rPr>
        <sz val="10"/>
        <color theme="1"/>
        <rFont val="Arial"/>
        <family val="2"/>
      </rPr>
      <t>(Staudte, 1946).</t>
    </r>
  </si>
  <si>
    <t>Naissance de Rainer Werner Fassbinder le 31 mai à Bad Wörishofen, Bavière.</t>
  </si>
  <si>
    <t>L'œuvre de Fassbinder proposera plus tard une radiographie critique de ce "point zéro" de la nouvelle Allemagne.</t>
  </si>
  <si>
    <t>Les génériques de Fassbinder</t>
  </si>
  <si>
    <t>"Nous devons nous débarrasser du passé pour construire l'avenir". Konrad Adenauer</t>
  </si>
  <si>
    <t>Adenauer.jpeg</t>
  </si>
  <si>
    <t>Adénauer</t>
  </si>
  <si>
    <t>1947-1960</t>
  </si>
  <si>
    <t>Le miracle économique</t>
  </si>
  <si>
    <t>Création de la RFA (1949). Ère Adenauer. Miracle économique ( Wirtschaftswunder )  entre 1950 et 1965 l'économie ouest-allemande croît de 8,2% en moyenne (contre 5% en France pendant les 30 glorieuses). La coccinelle de Wolkswagen devient l'emblème du "miracle économique". 
Parallèmement, l'état  développe une politique sociale conservatrice. Réarmement de la RFA (1955).</t>
  </si>
  <si>
    <t>Enfance marquée par le divorce de ses parents (1951) et l'absence du père. Passion précoce pour le cinéma (refuge). Première lecture de Berlin Alexanderplatz vers 14 ans.</t>
  </si>
  <si>
    <t>L'œuvre de Fassbinder analyse rétrospectivement cette période en mettant à distance le consensus social de la prospérité des années 50 et 60 et en révélant les mensonges du miracle économique.</t>
  </si>
  <si>
    <t>l-industrie-de-l-industrie-automobile-l-usine-volkswagen-vue-de-l-interieur-usine-wolfsburg-vers-1950.jpg</t>
  </si>
  <si>
    <t>1961-1966</t>
  </si>
  <si>
    <t>naissance du Nouveau cinéma allemand</t>
  </si>
  <si>
    <t>Construction du Mur de Berlin (1961). Procès d'Auschwitz à Francfort (1963-1965). Démission d'Adenauer. Grande Coalition (1966).</t>
  </si>
  <si>
    <t>Manifeste d'Oberhausen (1962) : naissance du Nouveau Cinéma Allemand. Une nouvelle génération de cinéastes s'affirme et conquiert son indépendance notamment par la création de structures de production indépendantes. Fondation de l'école de cinéma DFFB à Berlin (1966).</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</si>
  <si>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</si>
  <si>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</si>
  <si>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</si>
  <si>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"Le cinéma de Papa est mort. Nous croyons au nouveau cinéma " Manifeste d'Oberhausen (1962)</t>
  </si>
  <si>
    <t>1967-1970</t>
  </si>
  <si>
    <t>Antitheater et politisation</t>
  </si>
  <si>
    <t>Mouvements étudiants de 1968. Tentative d'assassinat contre Rudi Dutschke. Victoire de Willy Brandt (SPD, 1969). Abrogation partielle de l'article 175 (homosexualité).</t>
  </si>
  <si>
    <t>Émergence de l'Anti-teater à Munich. Influence de la Nouvelle Vague française. Le cinéma devient politique et théorique.</t>
  </si>
  <si>
    <t>Fonde l' antiteater (1968). Collaboration intense avec sa "troupe" (Schygulla, Hermann, Raab, Baer, Lommel). Mariage avec Ingrid Caven (1970).</t>
  </si>
  <si>
    <t>1971-1974</t>
  </si>
  <si>
    <t>Terrorisme et mélodrame</t>
  </si>
  <si>
    <t>Terrorisme de la RAF (arrestations en 1972). Attentat des JO de Munich (1972). Démission de Willy Brandt (1974) suite à l'affaire Guillaume.</t>
  </si>
  <si>
    <t>Période Sirkienne : Le Marchand des quatre saisons (1971). Tous les autres s'appellent Ali (1974, succès mondial à Cannes) : critique du racisme ordinaire. Martha (1974).</t>
  </si>
  <si>
    <t>1975-1976</t>
  </si>
  <si>
    <t>Tensions sociales et crises du logement (Westend). Débats sur la visibilité des minorités. Lois limitant les libertés civiles.</t>
  </si>
  <si>
    <t>Développement du "film amphibie" (cinéma/TV). Le cinéma devient un outil de critique sociale directe.</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</si>
  <si>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</si>
  <si>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</si>
  <si>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</si>
  <si>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</si>
  <si>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Automne Allemand (1977) : enlèvement de Schleyer, détournement du Landshut, morts à Stammheim. Diffusion de la série Holocaust (1979).</t>
  </si>
  <si>
    <t>Film collectif L'Allemagne en automne (1978). Le mouvement atteint son apogée thématique et politique.</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</si>
  <si>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</si>
  <si>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</si>
  <si>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mélodrame</t>
  </si>
  <si>
    <t>1980-1981</t>
  </si>
  <si>
    <t>Fondation des Verts (1980). Manifestations écologistes. Fin de l'ère sociale-libérale.</t>
  </si>
  <si>
    <t>Production de séries monumentales pour la télévision. Le Nouveau Cinéma Allemand atteint une maturité formelle extrême.</t>
  </si>
  <si>
    <t>Travaille frénétiquement. Réalise son projet de vie : l'adaptation de Döblin. Épuisement physique dû aux excès.</t>
  </si>
  <si>
    <t>Monumental Berlin Alexanderplatz (1980, 15h). Suite de la Trilogie de la RFA : Lola, une femme allemande (1981) et Lili Marleen (1981).</t>
  </si>
  <si>
    <t>Victoire d'Helmut Kohl (CDU) en octobre. Fin d'une époque artistique et politique radicale.</t>
  </si>
  <si>
    <t>Mort de Fassbinder marquant symboliquement la fin du Nouveau Cinéma Allemand.</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</si>
  <si>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</si>
  <si>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</si>
  <si>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</si>
  <si>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</si>
  <si>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</si>
  <si>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</si>
  <si>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</si>
  <si>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</si>
  <si>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</si>
  <si>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</si>
  <si>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</si>
  <si>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</si>
  <si>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</si>
  <si>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</si>
  <si>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</si>
  <si>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démilatarisation et dénazification</t>
  </si>
  <si>
    <t xml:space="preserve">Le cinéma est en ruines. Premières projection des Moulins de la mort (Todesmühen), un documentaire sur les camps de concentration. </t>
  </si>
  <si>
    <t>Naissance de Rainer Werner Fassbinder le 31 mai à Bad Wörishofen, Bavière. Père médecin généraliste, mère traductrice. Première année passée chez son oncle paternel</t>
  </si>
  <si>
    <t xml:space="preserve">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t>
  </si>
  <si>
    <t xml:space="preserve">Fondation de la DEFA (Deutsch Film AG) à Berlin Est. Premières productions de films allemands de fiction depuis la fin de la guerre. 
Vogue de l'évocation mélancolique de la patrie dans la chanson de variété allemande avec "Möwe, di fliegst in die Heimat" de Magda Hein. </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</si>
  <si>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</si>
  <si>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</si>
  <si>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</si>
  <si>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</si>
  <si>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</si>
  <si>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t>
  </si>
  <si>
    <r>
      <t xml:space="preserve">Le film de Rossellini </t>
    </r>
    <r>
      <rPr>
        <i/>
        <sz val="10"/>
        <color rgb="FF000000"/>
        <rFont val="Arial"/>
        <family val="2"/>
      </rPr>
      <t>Allemagne année zéro</t>
    </r>
    <r>
      <rPr>
        <sz val="10"/>
        <color rgb="FF000000"/>
        <rFont val="Arial"/>
        <family val="2"/>
      </rPr>
      <t xml:space="preserve"> offre une vision réaliste et critique de l'Allemagne en ruine</t>
    </r>
  </si>
  <si>
    <t>Le blocus de Berlin en 3 minutes</t>
  </si>
  <si>
    <t>Allemagne_annee_0_Reichstag.mp4</t>
  </si>
  <si>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</si>
  <si>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t>Comment Rossellini traduit-il une relation complexe avec l'Histoire, entre fascination, terreur, et hantise ?</t>
  </si>
  <si>
    <t xml:space="preserve">Création de l'OTAN. Création de la RFA. Konrad Adenauer est élu chancelier fédéral avec une courte majorité. La division de l'Allemande en deux états indépendants est reconnue par la communauté internationale. </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</si>
  <si>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Thomas Mann donne des conférences  en Allemagne de l'ouest et en République démocratique (voir le film de Pavec Pwalikoscki Fatherland (2026))</t>
    </r>
  </si>
  <si>
    <t>Bande Annonce de Fatherland de Pavel Pawlikoski</t>
  </si>
  <si>
    <t>Portrait d'Adenauer</t>
  </si>
  <si>
    <t xml:space="preserve">La mère de Fassbinder Lisolette Eder, née Pempeit, dite aussi Lilo Pempeit, est hospitalisée pour cause de tuberculose. </t>
  </si>
  <si>
    <t>,,,,,,,,,,,,,,,,,,,,,,,,,,,,,,,,,,,,,,,,,,,,,,,,,,,,,,,,,,,,,,,,,,,,,,,,,,,,,,,,,,,,,,,,,,,,,,,,,,,,,,,,,,,,,,,,,,,,,,,,,,,,,,,,,,,,,,,,,,,,,,,,,,,,,,,,,,,,,,,,,,,,,,,,,,,,,,,,,,,,,,,,,,,,,,,,,,,,,,,,,,,,,,,,,,,,,,,,,,,,,</t>
  </si>
  <si>
    <t xml:space="preserve">Création du Traité de "la communauté du charbon et de l'acier", début de la construction européenne autour de 6 pays. </t>
  </si>
  <si>
    <t xml:space="preserve">Divorce des parents. Le père de RWF, Helmut Fassbinder, s'installe à Cologne. RWF reste à Munich avec sa mère. </t>
  </si>
  <si>
    <t xml:space="preserve">Traité de réparation avec Israël signé par Adenauer. </t>
  </si>
  <si>
    <t>Première émission de télévision dans le nord et l'ouest de la RFA</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</si>
  <si>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</si>
  <si>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</si>
  <si>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</si>
  <si>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Révolte des ouvriers berlinois est-allemands écrasée par les chars soviétiques. 
Adenauer est réélu chancelier avec une coalition de centre droit</t>
  </si>
  <si>
    <t>Premiers concerts de rock'n'roll en RFA à Hambourg et Francfort.</t>
  </si>
  <si>
    <t>La révolte des ouvriers est-allemands</t>
  </si>
  <si>
    <t xml:space="preserve">La RFA devient un état souverain, doté de sa propre armée. Elle est admise au sein de l'OTAN.
Les premiers travailleurs immigrés commencent à arriver de Grèce et d'Italie pour soutenir le "miracle économique". </t>
  </si>
  <si>
    <r>
      <t>Sissi</t>
    </r>
    <r>
      <rPr>
        <sz val="10"/>
        <color rgb="FF000000"/>
        <rFont val="Arial"/>
        <family val="2"/>
      </rPr>
      <t xml:space="preserve"> d'Ernst Marischka avec Romy Schneider et Karlheinz Böhm, qui deviendra un acteur récurrent du cinéma de Fassbinder </t>
    </r>
  </si>
  <si>
    <t>Bande Annonce de Sissi (1955)</t>
  </si>
  <si>
    <t>Bohm.jpg</t>
  </si>
  <si>
    <t>Karlheinz Böhm</t>
  </si>
  <si>
    <t xml:space="preserve">RWF est lycéen à Munich. </t>
  </si>
  <si>
    <t xml:space="preserve">Adenauer fête ses 80 ans. 
Le KDP, parti communiste ouest-allemand, est interdit. </t>
  </si>
  <si>
    <r>
      <t xml:space="preserve">Décès de Bertold Brecht
</t>
    </r>
    <r>
      <rPr>
        <i/>
        <sz val="10"/>
        <color theme="1"/>
        <rFont val="Arial"/>
        <family val="2"/>
      </rPr>
      <t xml:space="preserve">Nuit et brouillard </t>
    </r>
    <r>
      <rPr>
        <sz val="10"/>
        <color theme="1"/>
        <rFont val="Arial"/>
        <family val="2"/>
      </rPr>
      <t>d'Alain Resnais</t>
    </r>
  </si>
  <si>
    <t>découvrir Brecht avec l'INA</t>
  </si>
  <si>
    <t>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t>
  </si>
  <si>
    <r>
      <rPr>
        <i/>
        <sz val="10"/>
        <color theme="1"/>
        <rFont val="Arial"/>
        <family val="2"/>
      </rPr>
      <t>L'opéra de quat'sous</t>
    </r>
    <r>
      <rPr>
        <sz val="10"/>
        <color theme="1"/>
        <rFont val="Arial"/>
        <family val="2"/>
      </rPr>
      <t xml:space="preserve"> de Brecht (1928) est diffusé à la télévision est obient un taux d'audience de 81,2%. 
L'appel à boycotter les pièces de Brecht est refusé par la plupart des théâtres ouest-allemands. </t>
    </r>
  </si>
  <si>
    <t xml:space="preserve">Le SPD (parti social-démocrate allemand), adopte le programme de Bad-Godesberg : pour la première fois, le SPD abandonne formellement les idées d'inspiration marxiste. Il reconnaît l'économie de marché et se dit lié au peuple entier, non aux seuls travailleurs.
</t>
  </si>
  <si>
    <r>
      <t xml:space="preserve">La vogue du </t>
    </r>
    <r>
      <rPr>
        <i/>
        <sz val="10"/>
        <color theme="1"/>
        <rFont val="Arial"/>
        <family val="2"/>
      </rPr>
      <t xml:space="preserve">hula-hoop </t>
    </r>
    <r>
      <rPr>
        <sz val="10"/>
        <color theme="1"/>
        <rFont val="Arial"/>
        <family val="2"/>
      </rPr>
      <t>déferle sur l'Allemagne</t>
    </r>
  </si>
  <si>
    <r>
      <t xml:space="preserve">Les œuvres de Fassbinder témoignent de l'influence du Rock'nRoll sur la culture populaire ouest-allemande, notamment dans </t>
    </r>
    <r>
      <rPr>
        <i/>
        <sz val="10"/>
        <rFont val="Arial"/>
        <family val="2"/>
      </rPr>
      <t xml:space="preserve">huit heures ne font pas un jour. </t>
    </r>
  </si>
  <si>
    <t xml:space="preserve">Le constructeur automobile Volkswagen est privatisé à hauteur de 60% de son capital. 78% des ménages ouest-allemands disposent d'un réfrigérateur contre 25% en France. 42% mossèdent une voiture. La société de consommation de masse est une réalité en RFA.
Adolf Eichamnn est extradé en Israel. </t>
  </si>
  <si>
    <r>
      <t xml:space="preserve">Fin de la série télévisée </t>
    </r>
    <r>
      <rPr>
        <i/>
        <sz val="10"/>
        <color theme="1"/>
        <rFont val="Arial"/>
        <family val="2"/>
      </rPr>
      <t xml:space="preserve">Die familie Schölermann </t>
    </r>
    <r>
      <rPr>
        <sz val="10"/>
        <color theme="1"/>
        <rFont val="Arial"/>
        <family val="2"/>
      </rPr>
      <t xml:space="preserve">(111 épisodes depuis 1954), extrêmement populaire (70% à 90% d'audience). Elle est remplacée par un nouveau feuilleton </t>
    </r>
    <r>
      <rPr>
        <i/>
        <sz val="10"/>
        <color theme="1"/>
        <rFont val="Arial"/>
        <family val="2"/>
      </rPr>
      <t>Die Firma Hesselbach</t>
    </r>
  </si>
  <si>
    <t>RWF commence à écrire des nouvelles et de petites pièces de théâtre</t>
  </si>
  <si>
    <t>Construction du Mur de Berlin (1961). Adenauer est rééel chancelier fédéral.
Procès d'Eichmann en Israel.</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</si>
  <si>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</si>
  <si>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Exécution d'Eichmann après sa condamnation à la peine de mort</t>
  </si>
  <si>
    <t>A l'occasion du festival du film documentaire d'Oberhausen, publication du Manifeste d'Oberhausen : naissance du Nouveau Cinéma Allemand ("Le vieux cinéma est mort").
Les Beatles entament eur carrière par un concert à Hambourg</t>
  </si>
  <si>
    <r>
      <t xml:space="preserve">"Représenter l'Allemagne, ce n'est pas seulement adopter une position critique, c'est inventer une nouvelle manière". </t>
    </r>
    <r>
      <rPr>
        <i/>
        <sz val="10"/>
        <rFont val="Arial"/>
        <family val="2"/>
      </rPr>
      <t>R. W. Fassbinder, cinéaste d’Allemagne</t>
    </r>
    <r>
      <rPr>
        <sz val="10"/>
        <rFont val="Arial"/>
        <family val="2"/>
      </rPr>
      <t>, de Thomas Elsaesser, Centre Pompidou, 2005, p.26</t>
    </r>
  </si>
  <si>
    <t>Visite de J.F Kennedy à Berlin-ouest : "ich bin ein Berliner". 
Procès d'Auschwitz à Francfort (1963-1965)
Démission d'Adenauer à 87 ans. Ludwijg Ehrard, père du "miracle économique", devient Chancelier de la RFA.</t>
  </si>
  <si>
    <r>
      <t xml:space="preserve">Jean-Marie Straub sort son premier court-métrage, </t>
    </r>
    <r>
      <rPr>
        <i/>
        <sz val="10"/>
        <color theme="1"/>
        <rFont val="Arial"/>
        <family val="2"/>
      </rPr>
      <t>Machorka Muff,</t>
    </r>
    <r>
      <rPr>
        <sz val="10"/>
        <color theme="1"/>
        <rFont val="Arial"/>
        <family val="2"/>
      </rPr>
      <t xml:space="preserve"> d'après un roman d'Heinrich Böll.
Création de la deuxième chaîne de télévision ouest-allemande, la ZDF.
Hannah Arendt, qui a suivi le procès d'Eichmann pour la revue Le New-Yorke</t>
    </r>
    <r>
      <rPr>
        <i/>
        <sz val="10"/>
        <color theme="1"/>
        <rFont val="Arial"/>
        <family val="2"/>
      </rPr>
      <t>r</t>
    </r>
    <r>
      <rPr>
        <sz val="10"/>
        <color theme="1"/>
        <rFont val="Arial"/>
        <family val="2"/>
      </rPr>
      <t xml:space="preserve">,  publie </t>
    </r>
    <r>
      <rPr>
        <i/>
        <sz val="10"/>
        <color theme="1"/>
        <rFont val="Arial"/>
        <family val="2"/>
      </rPr>
      <t>Eichmann à Jérusalem : Rapport sur la banalité du mal</t>
    </r>
  </si>
  <si>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</si>
  <si>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</si>
  <si>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</si>
  <si>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</si>
  <si>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</si>
  <si>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</si>
  <si>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</si>
  <si>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 xml:space="preserve">Une grande coaltion chrétienne-démocrate voit le jour sous l'autorité du nouveau chancelier Kurt Georg Kiesinger. Willy Brandt est ministre des affaires étrangères et vice-chancelier. </t>
  </si>
  <si>
    <t>Rejoint l'Action-Theater (1967).</t>
  </si>
  <si>
    <t xml:space="preserve">Une majorité sociale-libérale place Willy Brandt au pouvoir. </t>
  </si>
  <si>
    <r>
      <rPr>
        <i/>
        <sz val="10"/>
        <color theme="1"/>
        <rFont val="Arial"/>
        <family val="2"/>
      </rPr>
      <t>Whity</t>
    </r>
    <r>
      <rPr>
        <sz val="10"/>
        <color theme="1"/>
        <rFont val="Arial"/>
        <family val="2"/>
      </rPr>
      <t xml:space="preserve">, </t>
    </r>
    <r>
      <rPr>
        <i/>
        <sz val="10"/>
        <color theme="1"/>
        <rFont val="Arial"/>
        <family val="2"/>
      </rPr>
      <t>Prenez garde à la sainte putain</t>
    </r>
  </si>
  <si>
    <t>Terrorisme de la RAF (arrestations en 1972). Attentat des JO de Munich (1972). Démission de Willy Brandt (1974) suite à l'affaire Guillaume. Un virage conservateur s'opère.</t>
  </si>
  <si>
    <t>Fondation du Filmverlag der Autoren (1971). Accords Film-Télévision (1974) favorisant les coproductions (WDR).</t>
  </si>
  <si>
    <t>Liaison avec El Hedi ben Salem. Direction du TAT à Francfort. Collaboration avec le caméraman Michael Ballhaus. Succès international.</t>
  </si>
  <si>
    <t>Maria_braun.jpeg</t>
  </si>
  <si>
    <r>
      <t xml:space="preserve">Affiche du </t>
    </r>
    <r>
      <rPr>
        <i/>
        <sz val="10"/>
        <color rgb="FF000000"/>
        <rFont val="Arial"/>
        <family val="2"/>
      </rPr>
      <t>Mariage de Maria Braun</t>
    </r>
  </si>
  <si>
    <r>
      <t>Le monde sur un fil (1973)</t>
    </r>
    <r>
      <rPr>
        <sz val="10"/>
        <color theme="1"/>
        <rFont val="Arial"/>
        <family val="2"/>
      </rPr>
      <t xml:space="preserve">, adaption libre d'un récit de science-fiction interroge la notion même de réalité. </t>
    </r>
  </si>
  <si>
    <t xml:space="preserve">RWF projette d'adapter le roman de Freytag Soll und Haben (1855), œuvre notaoirement antismétique en série télévisée. Il s'agit pour RWF d'interroger les origines de la bourgeoisie allemande. Face aux articles polémiques, le directeur de la WDR annule le projet. </t>
  </si>
  <si>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</si>
  <si>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rFont val="Arial"/>
        <family val="2"/>
      </rPr>
      <t xml:space="preserve">Die Zeit, </t>
    </r>
    <r>
      <rPr>
        <sz val="10"/>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Entreitne donné à Peter W. Jansen en 1978 et repris dans l'ouvra ge </t>
    </r>
    <r>
      <rPr>
        <i/>
        <sz val="10"/>
        <rFont val="Arial"/>
        <family val="2"/>
      </rPr>
      <t>Fassbinder par lui-même</t>
    </r>
    <r>
      <rPr>
        <sz val="10"/>
        <rFont val="Arial"/>
        <family val="2"/>
      </rPr>
      <t>, p.342-343, G3J éditeur, 2010</t>
    </r>
  </si>
  <si>
    <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rFont val="Arial"/>
        <family val="2"/>
      </rPr>
      <t>Fassbinder</t>
    </r>
    <r>
      <rPr>
        <sz val="10"/>
        <rFont val="Arial"/>
        <family val="2"/>
      </rPr>
      <t>, Jansen/Schütte, Collection Rivages-cinéma, 1986, p.106</t>
    </r>
  </si>
  <si>
    <r>
      <rPr>
        <i/>
        <sz val="10"/>
        <rFont val="Arial"/>
        <family val="2"/>
      </rPr>
      <t xml:space="preserve">La troisième génération, </t>
    </r>
    <r>
      <rPr>
        <sz val="10"/>
        <rFont val="Arial"/>
        <family val="2"/>
      </rPr>
      <t xml:space="preserve">film inspiré par les actions de la RAF et la violence d'Etat, est compliqué à produire. </t>
    </r>
    <r>
      <rPr>
        <i/>
        <sz val="10"/>
        <rFont val="Arial"/>
        <family val="2"/>
      </rPr>
      <t xml:space="preserve">Le Mariage de Maria Braun </t>
    </r>
    <r>
      <rPr>
        <sz val="10"/>
        <rFont val="Arial"/>
        <family val="2"/>
      </rPr>
      <t xml:space="preserve">allégorie de la reconstruction allemande, connaît un triomphe international.  </t>
    </r>
  </si>
  <si>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</si>
  <si>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t xml:space="preserve">"je ferai des films jusqu'à ce que j'ai conduit mon histoire de la RFA jusqu'à ici et aujourd'hui. Les histoires de </t>
    </r>
    <r>
      <rPr>
        <i/>
        <sz val="10"/>
        <rFont val="Arial"/>
        <family val="2"/>
      </rPr>
      <t xml:space="preserve">Lola </t>
    </r>
    <r>
      <rPr>
        <sz val="10"/>
        <rFont val="Arial"/>
        <family val="2"/>
      </rPr>
      <t xml:space="preserve">et </t>
    </r>
    <r>
      <rPr>
        <i/>
        <sz val="10"/>
        <rFont val="Arial"/>
        <family val="2"/>
      </rPr>
      <t>Maria Braun</t>
    </r>
    <r>
      <rPr>
        <sz val="10"/>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rFont val="Arial"/>
        <family val="2"/>
      </rPr>
      <t xml:space="preserve">Rainer Werner Fassbinder, Dichter, Schapuspieler, Filmemacher, </t>
    </r>
    <r>
      <rPr>
        <sz val="10"/>
        <rFont val="Arial"/>
        <family val="2"/>
      </rPr>
      <t>Argon, 1992, p.77</t>
    </r>
  </si>
  <si>
    <t>Victoire de la CDU en octobre : Helmut Kohl devient chancelier. Fin d'une époque artistique et politique radicale.</t>
  </si>
  <si>
    <r>
      <t xml:space="preserve">"Je ne pense pas qu'il fait fait un seul que l'on pourrait qualifier de chef-d'œuvre. Le chef-d'œuvre, c'est les 41 films et la vie et tout le reste. Les films ne sont que le résidu de cette vie."Peter Chatel </t>
    </r>
    <r>
      <rPr>
        <i/>
        <sz val="10"/>
        <rFont val="Arial"/>
        <family val="2"/>
      </rPr>
      <t xml:space="preserve">in  Die Sehnsucht des Rainer Werner Fassbinder » (La Nostalgie de Rainer Werner Fassbinder), De Kurt Raab et Karsten Peters, 1982, éditions Bertelsmann </t>
    </r>
  </si>
  <si>
    <t>Catégorie</t>
  </si>
  <si>
    <t>Référence bibliographique</t>
  </si>
  <si>
    <t>Usage dans la frise</t>
  </si>
  <si>
    <t>Lien</t>
  </si>
  <si>
    <t>Histoire allemande</t>
  </si>
  <si>
    <r>
      <t>R. W. Fassbinder, cinéaste d’Allemagne</t>
    </r>
    <r>
      <rPr>
        <sz val="12"/>
        <rFont val="Aptos"/>
      </rPr>
      <t>, de Thomas Elsaesser, Centre Pompidou, 2005</t>
    </r>
    <r>
      <rPr>
        <i/>
        <sz val="12"/>
        <rFont val="Aptos"/>
      </rPr>
      <t>, pp. 490-507</t>
    </r>
  </si>
  <si>
    <t>Repères historiques, chronologie politique</t>
  </si>
  <si>
    <t>Fassbinder</t>
  </si>
  <si>
    <r>
      <t>R. W. Fassbinder, cinéaste d’Allemagne</t>
    </r>
    <r>
      <rPr>
        <sz val="12"/>
        <rFont val="Aptos"/>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</si>
  <si>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</si>
  <si>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</si>
  <si>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</si>
  <si>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</si>
  <si>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</si>
  <si>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</si>
  <si>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</si>
  <si>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</si>
  <si>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</si>
  <si>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</si>
  <si>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</si>
  <si>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</si>
  <si>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</si>
  <si>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</si>
  <si>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</si>
  <si>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</si>
  <si>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</si>
  <si>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</si>
  <si>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</si>
  <si>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</si>
  <si>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</si>
  <si>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</si>
  <si>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</si>
  <si>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</si>
  <si>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</si>
  <si>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</si>
  <si>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</si>
  <si>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</si>
  <si>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</si>
  <si>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</si>
  <si>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</si>
  <si>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</si>
  <si>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</si>
  <si>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</si>
  <si>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</si>
  <si>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</si>
  <si>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</si>
  <si>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</si>
  <si>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</si>
  <si>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</si>
  <si>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</si>
  <si>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</si>
  <si>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</si>
  <si>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</si>
  <si>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</si>
  <si>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</si>
  <si>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</si>
  <si>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</si>
  <si>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</si>
  <si>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</si>
  <si>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</si>
  <si>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</si>
  <si>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</si>
  <si>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</si>
  <si>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</si>
  <si>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</si>
  <si>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</si>
  <si>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</si>
  <si>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</si>
  <si>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</si>
  <si>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</si>
  <si>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</si>
  <si>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</si>
  <si>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</si>
  <si>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</si>
  <si>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</si>
  <si>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</si>
  <si>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</si>
  <si>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</si>
  <si>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</si>
  <si>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</si>
  <si>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</si>
  <si>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</si>
  <si>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</si>
  <si>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</si>
  <si>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</si>
  <si>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film-1979-le-mariage-de-maria-braun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</si>
  <si>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</si>
  <si>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</si>
  <si>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</si>
  <si>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</si>
  <si>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</si>
  <si>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</si>
  <si>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</si>
  <si>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</si>
  <si>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</si>
  <si>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</si>
  <si>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</si>
  <si>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</si>
  <si>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</si>
  <si>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</si>
  <si>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</si>
  <si>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</si>
  <si>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</si>
  <si>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</si>
  <si>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</si>
  <si>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</si>
  <si>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</si>
  <si>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</si>
  <si>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</si>
  <si>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r>
      <t xml:space="preserve"> Fondation du </t>
    </r>
    <r>
      <rPr>
        <i/>
        <sz val="10"/>
        <color theme="1"/>
        <rFont val="Arial"/>
        <family val="2"/>
      </rPr>
      <t>Filmverlag der Autoren</t>
    </r>
    <r>
      <rPr>
        <sz val="10"/>
        <color theme="1"/>
        <rFont val="Arial"/>
        <family val="2"/>
      </rPr>
      <t xml:space="preserve"> (1971). Accords Film-Télévision (1974) favorisant les coproductions (WDR).
Plusieurs cinéastes allemands ( Schlöndorff, Herzog notamment) réalisent des charges politiques violentes contre la politique et la société allemande.
A parti de 1968 l'industrie du cinéma commercial allemand agonise</t>
    </r>
  </si>
  <si>
    <t xml:space="preserve">Découverte des mélodrames de Douglas Sirk . Période Sirkienne : Le Marchand des quatre saisons (1971). </t>
  </si>
  <si>
    <t>Effi Briest, Martha</t>
  </si>
  <si>
    <r>
      <t xml:space="preserve">L'amour est plus froid que la mort (1969),  </t>
    </r>
    <r>
      <rPr>
        <i/>
        <sz val="10"/>
        <color theme="1"/>
        <rFont val="Arial"/>
        <family val="2"/>
      </rPr>
      <t xml:space="preserve">Le Bouc </t>
    </r>
    <r>
      <rPr>
        <sz val="10"/>
        <color theme="1"/>
        <rFont val="Arial"/>
        <family val="2"/>
      </rPr>
      <t>(1969, succès à Mannheim) : critique de la xénophobie et de l'apathie bourgeoise.</t>
    </r>
  </si>
  <si>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</si>
  <si>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L'amour est plus froid que la mort (1969),  Le Bouc (1969)</t>
  </si>
  <si>
    <r>
      <rPr>
        <i/>
        <sz val="12"/>
        <color theme="1"/>
        <rFont val="Aptos Narrow"/>
      </rPr>
      <t>Le bouc</t>
    </r>
    <r>
      <rPr>
        <sz val="12"/>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</si>
  <si>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r>
      <t xml:space="preserve">La pièce </t>
    </r>
    <r>
      <rPr>
        <i/>
        <sz val="10"/>
        <color theme="1"/>
        <rFont val="Arial"/>
        <family val="2"/>
      </rPr>
      <t xml:space="preserve">outrage au public </t>
    </r>
    <r>
      <rPr>
        <sz val="10"/>
        <color theme="1"/>
        <rFont val="Arial"/>
        <family val="2"/>
      </rPr>
      <t xml:space="preserve">du dramaturge allemand Peter Handke témoigne du goût de l'avant-garde  artistique subentionnée pour une forme de provocation à l'égard du public, manière paradoxale de s'affranchir de la tutelle culturelle dont ils bénéficient. </t>
    </r>
  </si>
  <si>
    <t>"Il m'est impossible de comprende qu'on puisse travailler avec un outil comme la caméra en ne se souciant pas du spectateur", interview avec Norbert Sparrow, in Cinéste, WIII/2 automne 1977</t>
  </si>
  <si>
    <t>Remariage de Lilo avec un journaliste, Wolff Eder. Relations difficiles entre RWF et son beau-père. 
RWF revient à Munich mais vit dans un pensionnat.
RWF commence à assumer ouvertement son homosexualité, fait rare pour l'époque.</t>
  </si>
  <si>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</si>
  <si>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</si>
  <si>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 xml:space="preserve">Domination du "cinéma de papa" ( Papas Kino ) : films de terroir ( Heimatfilm ), comédies légères dépolitisées, films en costumes , comédies musicales obitennent toujours les faveurs du public. Ces genres nés dans les années 10 et 20 ont été très exploités par les nazis.
Freddy Quinn, Rocco Granata ou Catharina Valente sont les stars de la culture populaire allemande. </t>
  </si>
  <si>
    <t>De l'année zéro au miracle économique;Jalousie de Catharina Valente</t>
  </si>
  <si>
    <t>Effi Briest permet à RWF d'obtenir une reconnaissance plus large en Allemagne, qui tempère sa réputation d'enfant terrible du cinéma</t>
  </si>
  <si>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theme="1"/>
        <rFont val="Arial"/>
        <family val="2"/>
      </rPr>
      <t>Droit du plus fort</t>
    </r>
    <r>
      <rPr>
        <sz val="10"/>
        <color theme="1"/>
        <rFont val="Arial"/>
        <family val="2"/>
      </rPr>
      <t xml:space="preserve">, assumant une visibilité politique de son homosexualité.
Une rétrospective de l'œuvre de RWF à New York suscite l'enthousiasme de la presse américaine. </t>
    </r>
  </si>
  <si>
    <t xml:space="preserve">Suicide d'Armin Meier (31 mai 1978). Début de la collaboration avec Juliane Lorenz. </t>
  </si>
  <si>
    <r>
      <t xml:space="preserve">Film collectif </t>
    </r>
    <r>
      <rPr>
        <i/>
        <sz val="10"/>
        <color theme="1"/>
        <rFont val="Arial"/>
        <family val="2"/>
      </rPr>
      <t xml:space="preserve">L'Allemagne en automne </t>
    </r>
    <r>
      <rPr>
        <sz val="10"/>
        <color theme="1"/>
        <rFont val="Arial"/>
        <family val="2"/>
      </rPr>
      <t>(1978) initié par Alexander Kluge.</t>
    </r>
  </si>
  <si>
    <t xml:space="preserve">Automne Allemand (1977) : enlèvement de Schleyer, détournement du Landshut, morts à Stammheim. </t>
  </si>
  <si>
    <t xml:space="preserve"> Le mouvement atteint son apogée thématique et politique.
Diffusion de la série Holocaust (1979).</t>
  </si>
  <si>
    <r>
      <rPr>
        <i/>
        <sz val="10"/>
        <color theme="1"/>
        <rFont val="Arial"/>
        <family val="2"/>
      </rPr>
      <t xml:space="preserve">Despair, </t>
    </r>
    <r>
      <rPr>
        <sz val="10"/>
        <color theme="1"/>
        <rFont val="Arial"/>
        <family val="2"/>
      </rPr>
      <t xml:space="preserve">deuxième coproduction internationale de RWF avec Dirk Bogarde et Andra Ferreol, deux acteurs importants du cinéma moderne européen.
</t>
    </r>
    <r>
      <rPr>
        <i/>
        <sz val="10"/>
        <color theme="1"/>
        <rFont val="Arial"/>
        <family val="2"/>
      </rPr>
      <t>L'Année des treize lune</t>
    </r>
    <r>
      <rPr>
        <sz val="10"/>
        <color theme="1"/>
        <rFont val="Arial"/>
        <family val="2"/>
      </rPr>
      <t xml:space="preserve">s poursuit la réflexion entamée   sur le désespoir. 
L'épisode réalisé par RWF dans </t>
    </r>
    <r>
      <rPr>
        <i/>
        <sz val="10"/>
        <color theme="1"/>
        <rFont val="Arial"/>
        <family val="2"/>
      </rPr>
      <t>L'Allemagne en automne</t>
    </r>
    <r>
      <rPr>
        <sz val="10"/>
        <color theme="1"/>
        <rFont val="Arial"/>
        <family val="2"/>
      </rPr>
      <t xml:space="preserve"> offre une relecture des actions commises par la RAF sur le mode de l'autofiction.</t>
    </r>
  </si>
  <si>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traduit par une mise en crise de l'image (image de soi et image du film). Les films font dialogue subjectivité et affects avec mécanismes sociaux, évitant ainsi toute lecture simplisite etfigées de type psychologisque ou idéologique. Le mélidrame en interpénétrant le privé et le public, l'individuel et le collectif, joue d'un trouble qui participe à son caractère critique et prgoressiste : il est potentiellement facteur de changement pour un spectateur constamment soumis à la réflexion.</t>
  </si>
  <si>
    <t xml:space="preserve">Découverte des mélodrames de Douglas Sirk .Liaison avec El Hedi ben Salem. Direction du TAT à Francfort. Collaboration avec le caméraman Michael Ballhaus. Succès international. Les films de RWF deviennent incontournables dans les grands festivals internationaux (Cannes, Venise, Berlin). </t>
  </si>
  <si>
    <r>
      <t xml:space="preserve">"Despair est le film le plus rempli d'espoirt que j'ai jamais fait " RWF, </t>
    </r>
    <r>
      <rPr>
        <i/>
        <sz val="10"/>
        <rFont val="Arial"/>
        <family val="2"/>
      </rPr>
      <t>L'anarchie de l'imaginaire</t>
    </r>
    <r>
      <rPr>
        <sz val="10"/>
        <rFont val="Arial"/>
        <family val="2"/>
      </rPr>
      <t xml:space="preserve">, </t>
    </r>
    <r>
      <rPr>
        <i/>
        <sz val="10"/>
        <rFont val="Arial"/>
        <family val="2"/>
      </rPr>
      <t>p.80-81</t>
    </r>
    <r>
      <rPr>
        <sz val="10"/>
        <rFont val="Arial"/>
        <family val="2"/>
      </rPr>
      <t xml:space="preserve">. Le film constitue un nouveau tournant dans la carrière de RWF en l'intégrant au club fermé des auteurs importants du cinéma européen même si son écho critique reste mitigé.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</si>
</sst>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amily val="2"/>
    </font>
    <font>
      <sz val="12"/>
      <color theme="10"/>
      <name val="Aptos Narrow"/>
    </font>
    <font>
      <sz val="12"/>
      <color theme="1"/>
      <name val="Aptos Narrow"/>
    </font>
    <font>
      <sz val="10"/>
      <color theme="1"/>
      <name val="Arial"/>
      <family val="2"/>
    </font>
    <font>
      <sz val="12"/>
      <color rgb="FF1F4E78"/>
      <name val="Aptos Narrow"/>
    </font>
    <font>
      <sz val="10"/>
      <color rgb="FF1F4E78"/>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i/>
      <sz val="10"/>
      <name val="Arial"/>
      <family val="2"/>
    </font>
    <font>
      <b/>
      <sz val="10"/>
      <color rgb="FF000000"/>
      <name val="Arial"/>
      <family val="2"/>
    </font>
    <font>
      <sz val="10"/>
      <color rgb="FF000000"/>
      <name val="Arial"/>
      <family val="2"/>
    </font>
    <font>
      <i/>
      <sz val="12"/>
      <name val="Aptos"/>
    </font>
    <font>
      <sz val="12"/>
      <name val="Aptos"/>
    </font>
    <font>
      <sz val="10"/>
      <color theme="10"/>
      <name val="Arial"/>
      <family val="2"/>
    </font>
    <font>
      <i/>
      <sz val="10"/>
      <color rgb="FF000000"/>
      <name val="Arial"/>
      <family val="2"/>
    </font>
    <font>
      <sz val="12"/>
      <color theme="10"/>
      <name val="Arial"/>
      <family val="2"/>
    </font>
    <font>
      <i/>
      <sz val="12"/>
      <color theme="1"/>
      <name val="Aptos Narrow"/>
    </font>
  </fonts>
  <fills count="6">
    <fill>
      <patternFill patternType="none"/>
    </fill>
    <fill>
      <patternFill patternType="gray125"/>
    </fill>
    <fill>
      <patternFill patternType="solid">
        <fgColor rgb="FFEEF5FA"/>
        <bgColor rgb="FFF2F7FB"/>
      </patternFill>
    </fill>
    <fill>
      <patternFill patternType="solid">
        <fgColor rgb="FFF2F7FB"/>
        <bgColor rgb="FFEEF5FA"/>
      </patternFill>
    </fill>
    <fill>
      <patternFill patternType="solid">
        <fgColor rgb="FF1F4E78"/>
        <bgColor rgb="FF003366"/>
      </patternFill>
    </fill>
    <fill>
      <patternFill patternType="solid">
        <fgColor rgb="FFD9EAF4"/>
        <bgColor rgb="FFEEF5FA"/>
      </patternFill>
    </fill>
  </fills>
  <borders count="1">
    <border>
      <left/>
      <right/>
      <top/>
      <bottom/>
      <diagonal/>
    </border>
  </borders>
  <cellStyleXfs count="3">
    <xf numFmtId="0" fontId="0" fillId="0" borderId="0"/>
    <xf numFmtId="0" fontId="1" fillId="0" borderId="0"/>
    <xf numFmtId="0" fontId="2" fillId="0" borderId="0"/>
  </cellStyleXfs>
  <cellXfs count="26">
    <xf numFmtId="0" fontId="0" fillId="0" borderId="0" xfId="0"/>
    <xf numFmtId="0" fontId="3" fillId="0" borderId="0" xfId="2" applyFont="1" applyAlignment="1">
      <alignment vertical="top" wrapText="1"/>
    </xf>
    <xf numFmtId="0" fontId="4" fillId="2" borderId="0" xfId="2" applyFont="1" applyFill="1" applyAlignment="1">
      <alignment wrapText="1"/>
    </xf>
    <xf numFmtId="0" fontId="1" fillId="0" borderId="0" xfId="1" applyAlignment="1">
      <alignment wrapText="1"/>
    </xf>
    <xf numFmtId="0" fontId="5" fillId="2" borderId="0" xfId="2" applyFont="1" applyFill="1" applyAlignment="1">
      <alignment vertical="top" wrapText="1"/>
    </xf>
    <xf numFmtId="0" fontId="2" fillId="0" borderId="0" xfId="2" applyAlignment="1">
      <alignment vertical="top" wrapText="1"/>
    </xf>
    <xf numFmtId="0" fontId="2" fillId="0" borderId="0" xfId="2" applyAlignment="1">
      <alignment horizontal="left" vertical="top" wrapText="1"/>
    </xf>
    <xf numFmtId="0" fontId="2" fillId="0" borderId="0" xfId="2" applyAlignment="1">
      <alignment wrapText="1"/>
    </xf>
    <xf numFmtId="0" fontId="6" fillId="0" borderId="0" xfId="2" applyFont="1" applyAlignment="1">
      <alignment vertical="top" wrapText="1"/>
    </xf>
    <xf numFmtId="0" fontId="2" fillId="3" borderId="0" xfId="2" applyFill="1" applyAlignment="1">
      <alignment wrapText="1"/>
    </xf>
    <xf numFmtId="0" fontId="7" fillId="4" borderId="0" xfId="2" applyFont="1" applyFill="1" applyAlignment="1">
      <alignment wrapText="1"/>
    </xf>
    <xf numFmtId="0" fontId="8" fillId="5" borderId="0" xfId="2" applyFont="1" applyFill="1" applyAlignment="1">
      <alignment wrapText="1"/>
    </xf>
    <xf numFmtId="0" fontId="6" fillId="0" borderId="0" xfId="0" applyFont="1"/>
    <xf numFmtId="0" fontId="1" fillId="0" borderId="0" xfId="1" applyAlignment="1">
      <alignment vertical="top" wrapText="1"/>
    </xf>
    <xf numFmtId="0" fontId="0" fillId="0" borderId="0" xfId="0" applyAlignment="1">
      <alignment vertical="top"/>
    </xf>
    <xf numFmtId="0" fontId="0" fillId="0" borderId="0" xfId="0" applyAlignment="1">
      <alignment vertical="top" wrapText="1"/>
    </xf>
    <xf numFmtId="0" fontId="12" fillId="0" borderId="0" xfId="0" applyFont="1"/>
    <xf numFmtId="0" fontId="13" fillId="0" borderId="0" xfId="0" applyFont="1" applyAlignment="1">
      <alignment vertical="top" wrapText="1"/>
    </xf>
    <xf numFmtId="0" fontId="14" fillId="0" borderId="0" xfId="0" applyFont="1" applyAlignment="1">
      <alignment vertical="top" wrapText="1"/>
    </xf>
    <xf numFmtId="0" fontId="9" fillId="0" borderId="0" xfId="0" applyFont="1" applyAlignment="1">
      <alignment vertical="top" wrapText="1"/>
    </xf>
    <xf numFmtId="0" fontId="16" fillId="0" borderId="0" xfId="1" applyFont="1" applyAlignment="1">
      <alignment vertical="top" wrapText="1"/>
    </xf>
    <xf numFmtId="0" fontId="13" fillId="0" borderId="0" xfId="2" applyFont="1" applyAlignment="1">
      <alignment vertical="top" wrapText="1"/>
    </xf>
    <xf numFmtId="0" fontId="17" fillId="0" borderId="0" xfId="2" applyFont="1" applyAlignment="1">
      <alignment vertical="top" wrapText="1"/>
    </xf>
    <xf numFmtId="0" fontId="18" fillId="0" borderId="0" xfId="1" applyFont="1" applyAlignment="1">
      <alignment vertical="top" wrapText="1"/>
    </xf>
    <xf numFmtId="0" fontId="3" fillId="0" borderId="0" xfId="2" applyFont="1" applyAlignment="1">
      <alignment horizontal="left" vertical="top" wrapText="1"/>
    </xf>
    <xf numFmtId="0" fontId="10" fillId="0" borderId="0" xfId="2" applyFont="1" applyAlignment="1">
      <alignment vertical="top" wrapText="1"/>
    </xf>
  </cellXfs>
  <cellStyles count="3">
    <cellStyle name="Lien hypertexte" xfId="1" xr:uid="{00000000-0005-0000-0000-000006000000}"/>
    <cellStyle name="Normal" xfId="0" builtinId="0"/>
    <cellStyle name="Normal 2" xfId="2" xr:uid="{00000000-0005-0000-0000-000007000000}"/>
  </cellStyles>
  <dxfs count="23">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color theme="0"/>
        <name val="Arial"/>
        <family val="2"/>
        <scheme val="none"/>
      </font>
    </dxf>
    <dxf>
      <font>
        <strike val="0"/>
        <outline val="0"/>
        <shadow val="0"/>
        <u val="none"/>
        <vertAlign val="baseline"/>
        <sz val="10"/>
        <color theme="0"/>
        <name val="Arial"/>
        <family val="2"/>
        <scheme val="none"/>
      </font>
    </dxf>
  </dxfs>
  <tableStyles count="0"/>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22">
  <autoFilter ref="A1:N10" xr:uid="{00000000-0009-0000-0100-000003000000}"/>
  <tableColumns count="14">
    <tableColumn id="1" xr3:uid="{00000000-0010-0000-0000-000001000000}" name="ID période"/>
    <tableColumn id="2" xr3:uid="{00000000-0010-0000-0000-000002000000}" name="Titre période"/>
    <tableColumn id="3" xr3:uid="{00000000-0010-0000-0000-000003000000}" name="question directrice"/>
    <tableColumn id="4" xr3:uid="{00000000-0010-0000-0000-000004000000}" name="Événement histoire et politique"/>
    <tableColumn id="5" xr3:uid="{00000000-0010-0000-0000-000005000000}" name="Contexte culturel"/>
    <tableColumn id="6" xr3:uid="{00000000-0010-0000-0000-000006000000}" name="Biographie de Fassbinder"/>
    <tableColumn id="7" xr3:uid="{00000000-0010-0000-0000-000007000000}" name="Œuvres"/>
    <tableColumn id="8" xr3:uid="{00000000-0010-0000-0000-000008000000}" name="ID films - Œuvres"/>
    <tableColumn id="9" xr3:uid="{00000000-0010-0000-0000-000009000000}" name="Analyse et réception critique"/>
    <tableColumn id="10" xr3:uid="{00000000-0010-0000-0000-00000A000000}" name="Liens"/>
    <tableColumn id="11" xr3:uid="{00000000-0010-0000-0000-00000B000000}" name="Citation"/>
    <tableColumn id="12" xr3:uid="{00000000-0010-0000-0000-00000C000000}" name="Image"/>
    <tableColumn id="13" xr3:uid="{00000000-0010-0000-0000-00000D000000}" name="Legende"/>
    <tableColumn id="14" xr3:uid="{00000000-0010-0000-0000-00000E000000}" name="Notio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4" totalsRowShown="0" headerRowDxfId="21" dataDxfId="20">
  <autoFilter ref="A1:T34"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youtube.com/watch?v=BC4BffkWyY8" TargetMode="Externa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LdxyHs5IgLg"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www.lhistoire.fr/17-juin-1953-insurrection-&#224;-berlin-une-m&#233;moire-allemande" TargetMode="External"/><Relationship Id="rId5" Type="http://schemas.openxmlformats.org/officeDocument/2006/relationships/hyperlink" Target="https://youtu.be/Re2pxEMbZtA?si=l6bk_kzEIePjcE5M"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lemonde.fr/disparitions/article/2022/11/20/le-cineaste-jean-marie-straub-est-mort_6150761_3382.html?srsltid=ARcRdnpDLpgbyMuJ_BMuHIlLiO-ZJquwo9Xa-RH838OCOEYmmoYM1tFp"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topLeftCell="D6" zoomScaleNormal="100" workbookViewId="0">
      <selection activeCell="I7" sqref="I7"/>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12" customFormat="1" ht="28" customHeight="1" x14ac:dyDescent="0.15">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4" customHeight="1" x14ac:dyDescent="0.2">
      <c r="A2" s="1" t="s">
        <v>14</v>
      </c>
      <c r="B2" s="1" t="s">
        <v>15</v>
      </c>
      <c r="C2" s="1" t="s">
        <v>16</v>
      </c>
      <c r="D2" s="1" t="s">
        <v>17</v>
      </c>
      <c r="E2" s="1" t="s">
        <v>18</v>
      </c>
      <c r="F2" s="1" t="s">
        <v>19</v>
      </c>
      <c r="H2" s="2"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20</v>
      </c>
      <c r="J2" s="3" t="s">
        <v>21</v>
      </c>
      <c r="K2" t="s">
        <v>22</v>
      </c>
      <c r="L2" t="s">
        <v>23</v>
      </c>
      <c r="M2" t="s">
        <v>24</v>
      </c>
    </row>
    <row r="3" spans="1:14" s="14" customFormat="1" ht="98" customHeight="1" x14ac:dyDescent="0.15">
      <c r="A3" s="1" t="s">
        <v>25</v>
      </c>
      <c r="B3" s="1" t="s">
        <v>26</v>
      </c>
      <c r="C3" s="1"/>
      <c r="D3" s="1" t="s">
        <v>27</v>
      </c>
      <c r="E3" s="1" t="s">
        <v>285</v>
      </c>
      <c r="F3" s="1" t="s">
        <v>28</v>
      </c>
      <c r="G3" s="1"/>
      <c r="H3" s="4"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29</v>
      </c>
      <c r="J3" s="13" t="s">
        <v>286</v>
      </c>
      <c r="L3" s="15" t="s">
        <v>30</v>
      </c>
    </row>
    <row r="4" spans="1:14" ht="84" customHeight="1" x14ac:dyDescent="0.2">
      <c r="A4" s="1" t="s">
        <v>31</v>
      </c>
      <c r="B4" s="1" t="s">
        <v>32</v>
      </c>
      <c r="C4" s="1"/>
      <c r="D4" s="1" t="s">
        <v>33</v>
      </c>
      <c r="E4" s="1" t="s">
        <v>34</v>
      </c>
      <c r="F4" s="1" t="s">
        <v>35</v>
      </c>
      <c r="G4" s="1" t="s">
        <v>36</v>
      </c>
      <c r="H4" s="4"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J4" s="3" t="s">
        <v>37</v>
      </c>
      <c r="K4" s="5" t="s">
        <v>38</v>
      </c>
    </row>
    <row r="5" spans="1:14" ht="85" customHeight="1" x14ac:dyDescent="0.15">
      <c r="A5" s="1" t="s">
        <v>39</v>
      </c>
      <c r="B5" s="1" t="s">
        <v>40</v>
      </c>
      <c r="C5" s="1"/>
      <c r="D5" s="1" t="s">
        <v>41</v>
      </c>
      <c r="E5" s="1" t="s">
        <v>42</v>
      </c>
      <c r="F5" s="1" t="s">
        <v>43</v>
      </c>
      <c r="G5" s="1" t="s">
        <v>278</v>
      </c>
      <c r="H5" s="4"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6" t="s">
        <v>279</v>
      </c>
    </row>
    <row r="6" spans="1:14" ht="303" customHeight="1" x14ac:dyDescent="0.15">
      <c r="A6" s="1" t="s">
        <v>44</v>
      </c>
      <c r="B6" s="1" t="s">
        <v>45</v>
      </c>
      <c r="C6" s="1"/>
      <c r="D6" s="1" t="s">
        <v>46</v>
      </c>
      <c r="E6" s="1" t="s">
        <v>273</v>
      </c>
      <c r="F6" s="1" t="s">
        <v>295</v>
      </c>
      <c r="G6" s="1" t="s">
        <v>47</v>
      </c>
      <c r="H6" s="4"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1" t="s">
        <v>294</v>
      </c>
    </row>
    <row r="7" spans="1:14" ht="70" customHeight="1" x14ac:dyDescent="0.2">
      <c r="A7" s="1" t="s">
        <v>48</v>
      </c>
      <c r="B7" s="1"/>
      <c r="C7" s="1"/>
      <c r="D7" s="1" t="s">
        <v>49</v>
      </c>
      <c r="E7" s="1" t="s">
        <v>50</v>
      </c>
      <c r="F7" s="1" t="s">
        <v>51</v>
      </c>
      <c r="G7" s="1" t="s">
        <v>52</v>
      </c>
      <c r="H7" s="4"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7" t="s">
        <v>53</v>
      </c>
    </row>
    <row r="8" spans="1:14" ht="84" customHeight="1" x14ac:dyDescent="0.15">
      <c r="A8" s="1" t="s">
        <v>54</v>
      </c>
      <c r="B8" s="1"/>
      <c r="C8" s="1"/>
      <c r="D8" s="1" t="s">
        <v>55</v>
      </c>
      <c r="E8" s="1" t="s">
        <v>56</v>
      </c>
      <c r="F8" s="1" t="s">
        <v>57</v>
      </c>
      <c r="G8" s="1" t="s">
        <v>58</v>
      </c>
      <c r="H8" s="4"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film-1979-le-mariage-de-maria-braun</v>
      </c>
      <c r="N8" t="s">
        <v>59</v>
      </c>
    </row>
    <row r="9" spans="1:14" ht="70" customHeight="1" x14ac:dyDescent="0.15">
      <c r="A9" s="1" t="s">
        <v>60</v>
      </c>
      <c r="B9" s="1"/>
      <c r="C9" s="1"/>
      <c r="D9" s="1" t="s">
        <v>61</v>
      </c>
      <c r="E9" s="1" t="s">
        <v>62</v>
      </c>
      <c r="F9" s="1" t="s">
        <v>63</v>
      </c>
      <c r="G9" s="1" t="s">
        <v>64</v>
      </c>
      <c r="H9" s="4"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row>
    <row r="10" spans="1:14" ht="70" customHeight="1" x14ac:dyDescent="0.15">
      <c r="A10" s="1">
        <v>1982</v>
      </c>
      <c r="B10" s="1"/>
      <c r="C10" s="1"/>
      <c r="D10" s="1" t="s">
        <v>65</v>
      </c>
      <c r="E10" s="1" t="s">
        <v>66</v>
      </c>
      <c r="F10" s="1" t="s">
        <v>67</v>
      </c>
      <c r="G10" s="1" t="s">
        <v>68</v>
      </c>
      <c r="H10" s="4"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row>
  </sheetData>
  <hyperlinks>
    <hyperlink ref="J2" r:id="rId1" xr:uid="{00000000-0004-0000-0000-000000000000}"/>
    <hyperlink ref="J4" r:id="rId2" xr:uid="{00000000-0004-0000-0000-000001000000}"/>
    <hyperlink ref="J3" r:id="rId3" display="de l'année zéro au mircale économique" xr:uid="{2FE19C63-891E-0F4A-B78A-8428D67FA342}"/>
  </hyperlinks>
  <pageMargins left="0.7" right="0.7" top="0.75" bottom="0.75" header="0.511811023622047" footer="0.511811023622047"/>
  <pageSetup paperSize="9" orientation="portrait" horizontalDpi="300" verticalDpi="300"/>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4"/>
  <sheetViews>
    <sheetView tabSelected="1" topLeftCell="A29" zoomScaleNormal="100" workbookViewId="0">
      <selection activeCell="D31" sqref="D31"/>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12" customFormat="1" ht="28" customHeight="1" x14ac:dyDescent="0.15">
      <c r="A1" s="8" t="s">
        <v>69</v>
      </c>
      <c r="B1" s="8" t="s">
        <v>0</v>
      </c>
      <c r="C1" s="8" t="s">
        <v>3</v>
      </c>
      <c r="D1" s="8" t="s">
        <v>4</v>
      </c>
      <c r="E1" s="8" t="s">
        <v>5</v>
      </c>
      <c r="F1" s="8" t="s">
        <v>6</v>
      </c>
      <c r="G1" s="8" t="s">
        <v>70</v>
      </c>
      <c r="H1" s="8" t="s">
        <v>9</v>
      </c>
      <c r="I1" s="8" t="s">
        <v>71</v>
      </c>
      <c r="J1" s="8" t="s">
        <v>72</v>
      </c>
      <c r="K1" s="8" t="s">
        <v>73</v>
      </c>
      <c r="L1" s="8" t="s">
        <v>10</v>
      </c>
      <c r="M1" s="8" t="s">
        <v>74</v>
      </c>
      <c r="N1" s="8" t="s">
        <v>75</v>
      </c>
      <c r="O1" s="8" t="s">
        <v>76</v>
      </c>
      <c r="P1" s="8" t="s">
        <v>77</v>
      </c>
      <c r="Q1" s="8" t="s">
        <v>78</v>
      </c>
      <c r="R1" s="8" t="s">
        <v>79</v>
      </c>
      <c r="S1" s="8" t="s">
        <v>13</v>
      </c>
      <c r="T1" s="8" t="s">
        <v>80</v>
      </c>
      <c r="U1" s="12" t="s">
        <v>81</v>
      </c>
    </row>
    <row r="2" spans="1:21" ht="98" x14ac:dyDescent="0.2">
      <c r="A2" s="1">
        <v>1945</v>
      </c>
      <c r="B2" s="1" t="s">
        <v>14</v>
      </c>
      <c r="C2" s="1" t="s">
        <v>82</v>
      </c>
      <c r="D2" s="1" t="s">
        <v>83</v>
      </c>
      <c r="E2" s="1" t="s">
        <v>84</v>
      </c>
      <c r="F2" s="1"/>
      <c r="G2" s="1"/>
      <c r="H2" s="20" t="s">
        <v>21</v>
      </c>
      <c r="I2" s="20"/>
      <c r="J2" s="20"/>
      <c r="K2" s="20"/>
      <c r="L2" s="1"/>
      <c r="M2" s="19"/>
      <c r="N2" s="19"/>
      <c r="O2" s="19"/>
      <c r="P2" s="19"/>
      <c r="Q2" s="19"/>
      <c r="R2" s="19"/>
      <c r="S2" s="19"/>
      <c r="T2" s="19"/>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224" x14ac:dyDescent="0.2">
      <c r="A3" s="1">
        <v>1946</v>
      </c>
      <c r="B3" s="1" t="s">
        <v>14</v>
      </c>
      <c r="C3" s="1" t="s">
        <v>85</v>
      </c>
      <c r="D3" s="1" t="s">
        <v>86</v>
      </c>
      <c r="E3" s="1" t="s">
        <v>87</v>
      </c>
      <c r="F3" s="19"/>
      <c r="G3" s="1"/>
      <c r="H3" s="20" t="s">
        <v>88</v>
      </c>
      <c r="I3" s="20"/>
      <c r="J3" s="20"/>
      <c r="K3" s="20"/>
      <c r="L3" s="1"/>
      <c r="M3" s="19"/>
      <c r="N3" s="19"/>
      <c r="O3" s="19"/>
      <c r="P3" s="19"/>
      <c r="Q3" s="19"/>
      <c r="R3" s="19"/>
      <c r="S3" s="19"/>
      <c r="T3" s="19"/>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182" x14ac:dyDescent="0.2">
      <c r="A4" s="1">
        <v>1947</v>
      </c>
      <c r="B4" s="1" t="s">
        <v>25</v>
      </c>
      <c r="C4" s="1" t="s">
        <v>89</v>
      </c>
      <c r="D4" s="1" t="s">
        <v>90</v>
      </c>
      <c r="E4" s="1"/>
      <c r="F4" s="19"/>
      <c r="G4" s="1"/>
      <c r="H4" s="20"/>
      <c r="I4" s="19"/>
      <c r="J4" s="19"/>
      <c r="K4" s="19"/>
      <c r="L4" s="1"/>
      <c r="M4" s="19"/>
      <c r="N4" s="19"/>
      <c r="O4" s="19"/>
      <c r="P4" s="19"/>
      <c r="Q4" s="19"/>
      <c r="R4" s="19"/>
      <c r="S4" s="19"/>
      <c r="T4" s="1" t="s">
        <v>91</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182" x14ac:dyDescent="0.2">
      <c r="A5" s="1">
        <v>1948</v>
      </c>
      <c r="B5" s="1" t="s">
        <v>25</v>
      </c>
      <c r="C5" s="1" t="s">
        <v>92</v>
      </c>
      <c r="D5" s="21" t="s">
        <v>93</v>
      </c>
      <c r="E5" s="1"/>
      <c r="F5" s="19"/>
      <c r="G5" s="1"/>
      <c r="H5" s="20" t="s">
        <v>94</v>
      </c>
      <c r="I5" s="1" t="s">
        <v>95</v>
      </c>
      <c r="J5" s="22" t="s">
        <v>96</v>
      </c>
      <c r="K5" s="1" t="s">
        <v>97</v>
      </c>
      <c r="L5" s="1"/>
      <c r="M5" s="19"/>
      <c r="N5" s="19"/>
      <c r="O5" s="19"/>
      <c r="P5" s="19"/>
      <c r="Q5" s="19"/>
      <c r="R5" s="19"/>
      <c r="S5" s="19"/>
      <c r="T5" s="19"/>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112" x14ac:dyDescent="0.2">
      <c r="A6" s="1">
        <v>1949</v>
      </c>
      <c r="B6" s="1" t="s">
        <v>25</v>
      </c>
      <c r="C6" s="1" t="s">
        <v>98</v>
      </c>
      <c r="D6" s="21" t="s">
        <v>99</v>
      </c>
      <c r="E6" s="1"/>
      <c r="F6" s="19"/>
      <c r="G6" s="1"/>
      <c r="H6" s="20" t="s">
        <v>100</v>
      </c>
      <c r="I6" s="20"/>
      <c r="J6" s="20"/>
      <c r="K6" s="20"/>
      <c r="L6" s="1"/>
      <c r="M6" s="19" t="s">
        <v>23</v>
      </c>
      <c r="N6" s="19" t="s">
        <v>101</v>
      </c>
      <c r="O6" s="19"/>
      <c r="P6" s="19"/>
      <c r="Q6" s="19"/>
      <c r="R6" s="19"/>
      <c r="S6" s="19"/>
      <c r="T6" s="19"/>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70" x14ac:dyDescent="0.2">
      <c r="A7" s="1">
        <v>1950</v>
      </c>
      <c r="B7" s="1" t="s">
        <v>25</v>
      </c>
      <c r="C7" s="1"/>
      <c r="D7" s="1"/>
      <c r="E7" s="1" t="s">
        <v>102</v>
      </c>
      <c r="F7" s="19"/>
      <c r="G7" s="1"/>
      <c r="H7" s="19"/>
      <c r="I7" s="20"/>
      <c r="J7" s="20"/>
      <c r="K7" s="20"/>
      <c r="L7" s="1"/>
      <c r="M7" s="19" t="s">
        <v>23</v>
      </c>
      <c r="N7" s="19" t="s">
        <v>101</v>
      </c>
      <c r="O7" s="19"/>
      <c r="P7" s="19"/>
      <c r="Q7" s="19"/>
      <c r="R7" s="19" t="s">
        <v>103</v>
      </c>
      <c r="S7" s="19"/>
      <c r="T7" s="19"/>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56" x14ac:dyDescent="0.2">
      <c r="A8" s="1">
        <v>1951</v>
      </c>
      <c r="B8" s="1" t="s">
        <v>25</v>
      </c>
      <c r="C8" s="1" t="s">
        <v>104</v>
      </c>
      <c r="D8" s="1"/>
      <c r="E8" s="1" t="s">
        <v>105</v>
      </c>
      <c r="F8" s="1"/>
      <c r="G8" s="19"/>
      <c r="H8" s="19"/>
      <c r="I8" s="19"/>
      <c r="J8" s="19"/>
      <c r="K8" s="19"/>
      <c r="L8" s="19"/>
      <c r="M8" s="19" t="s">
        <v>23</v>
      </c>
      <c r="N8" s="19" t="s">
        <v>101</v>
      </c>
      <c r="O8" s="19"/>
      <c r="P8" s="19"/>
      <c r="Q8" s="19"/>
      <c r="R8" s="19"/>
      <c r="S8" s="19"/>
      <c r="T8" s="19"/>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84" x14ac:dyDescent="0.2">
      <c r="A9" s="1">
        <v>1952</v>
      </c>
      <c r="B9" s="1" t="s">
        <v>25</v>
      </c>
      <c r="C9" s="1" t="s">
        <v>106</v>
      </c>
      <c r="D9" s="1" t="s">
        <v>107</v>
      </c>
      <c r="E9" s="1" t="s">
        <v>108</v>
      </c>
      <c r="F9" s="1"/>
      <c r="G9" s="19"/>
      <c r="H9" s="19"/>
      <c r="I9" s="19"/>
      <c r="J9" s="19"/>
      <c r="K9" s="19"/>
      <c r="L9" s="19"/>
      <c r="M9" s="1" t="s">
        <v>109</v>
      </c>
      <c r="N9" s="1" t="s">
        <v>110</v>
      </c>
      <c r="O9" s="19" t="s">
        <v>23</v>
      </c>
      <c r="P9" s="19" t="s">
        <v>101</v>
      </c>
      <c r="Q9" s="1"/>
      <c r="R9" s="1"/>
      <c r="S9" s="1"/>
      <c r="T9" s="19"/>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70" x14ac:dyDescent="0.2">
      <c r="A10" s="1">
        <v>1953</v>
      </c>
      <c r="B10" s="1" t="s">
        <v>25</v>
      </c>
      <c r="C10" s="1" t="s">
        <v>111</v>
      </c>
      <c r="D10" s="1" t="s">
        <v>112</v>
      </c>
      <c r="E10" s="1"/>
      <c r="F10" s="1"/>
      <c r="G10" s="19"/>
      <c r="H10" s="20" t="s">
        <v>113</v>
      </c>
      <c r="I10" s="19"/>
      <c r="J10" s="19"/>
      <c r="K10" s="19"/>
      <c r="L10" s="19"/>
      <c r="M10" s="19" t="s">
        <v>23</v>
      </c>
      <c r="N10" s="19" t="s">
        <v>101</v>
      </c>
      <c r="O10" s="19"/>
      <c r="P10" s="19"/>
      <c r="Q10" s="19"/>
      <c r="R10" s="19"/>
      <c r="S10" s="19"/>
      <c r="T10" s="19"/>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98" x14ac:dyDescent="0.2">
      <c r="A11" s="1">
        <v>1954</v>
      </c>
      <c r="B11" s="1" t="s">
        <v>25</v>
      </c>
      <c r="C11" s="1" t="s">
        <v>114</v>
      </c>
      <c r="D11" s="22" t="s">
        <v>115</v>
      </c>
      <c r="E11" s="1"/>
      <c r="F11" s="1"/>
      <c r="G11" s="19"/>
      <c r="H11" s="20" t="s">
        <v>116</v>
      </c>
      <c r="I11" s="20"/>
      <c r="J11" s="20"/>
      <c r="K11" s="20"/>
      <c r="L11" s="19"/>
      <c r="M11" s="19" t="s">
        <v>117</v>
      </c>
      <c r="N11" s="19" t="s">
        <v>118</v>
      </c>
      <c r="O11" s="19" t="s">
        <v>23</v>
      </c>
      <c r="P11" s="19" t="s">
        <v>101</v>
      </c>
      <c r="Q11" s="19"/>
      <c r="R11" s="19"/>
      <c r="S11" s="19"/>
      <c r="T11" s="19"/>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7" x14ac:dyDescent="0.2">
      <c r="A12" s="1">
        <v>1955</v>
      </c>
      <c r="B12" s="1" t="s">
        <v>25</v>
      </c>
      <c r="C12" s="1"/>
      <c r="D12" s="1"/>
      <c r="E12" s="1" t="s">
        <v>119</v>
      </c>
      <c r="F12" s="1"/>
      <c r="G12" s="19"/>
      <c r="H12" s="19"/>
      <c r="I12" s="19"/>
      <c r="J12" s="19"/>
      <c r="K12" s="19"/>
      <c r="L12" s="19"/>
      <c r="M12" s="19"/>
      <c r="N12" s="19"/>
      <c r="O12" s="19"/>
      <c r="P12" s="19"/>
      <c r="Q12" s="19"/>
      <c r="R12" s="19"/>
      <c r="S12" s="19"/>
      <c r="T12" s="19"/>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154" x14ac:dyDescent="0.2">
      <c r="A13" s="1">
        <v>1956</v>
      </c>
      <c r="B13" s="1" t="s">
        <v>25</v>
      </c>
      <c r="C13" s="1" t="s">
        <v>120</v>
      </c>
      <c r="D13" s="1" t="s">
        <v>121</v>
      </c>
      <c r="E13" s="1" t="s">
        <v>283</v>
      </c>
      <c r="F13" s="1"/>
      <c r="G13" s="19"/>
      <c r="H13" s="23" t="s">
        <v>122</v>
      </c>
      <c r="I13" s="19"/>
      <c r="J13" s="19"/>
      <c r="K13" s="19"/>
      <c r="L13" s="19"/>
      <c r="M13" s="19" t="s">
        <v>23</v>
      </c>
      <c r="N13" s="19" t="s">
        <v>101</v>
      </c>
      <c r="O13" s="19"/>
      <c r="P13" s="19"/>
      <c r="Q13" s="19"/>
      <c r="R13" s="19"/>
      <c r="S13" s="19"/>
      <c r="T13" s="19"/>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168" x14ac:dyDescent="0.2">
      <c r="A14" s="1">
        <v>1957</v>
      </c>
      <c r="B14" s="1" t="s">
        <v>25</v>
      </c>
      <c r="C14" s="1" t="s">
        <v>123</v>
      </c>
      <c r="D14" s="1" t="s">
        <v>124</v>
      </c>
      <c r="E14" s="1"/>
      <c r="F14" s="1"/>
      <c r="G14" s="19"/>
      <c r="H14" s="20"/>
      <c r="I14" s="19"/>
      <c r="J14" s="19"/>
      <c r="K14" s="19"/>
      <c r="L14" s="19"/>
      <c r="M14" s="19" t="s">
        <v>23</v>
      </c>
      <c r="N14" s="19" t="s">
        <v>101</v>
      </c>
      <c r="O14" s="19"/>
      <c r="P14" s="19"/>
      <c r="Q14" s="19"/>
      <c r="R14" s="19"/>
      <c r="S14" s="19"/>
      <c r="T14" s="19"/>
      <c r="U14" s="2"/>
    </row>
    <row r="15" spans="1:21" ht="126" x14ac:dyDescent="0.2">
      <c r="A15" s="1">
        <v>1959</v>
      </c>
      <c r="B15" s="1" t="s">
        <v>25</v>
      </c>
      <c r="C15" s="1" t="s">
        <v>125</v>
      </c>
      <c r="D15" s="1" t="s">
        <v>126</v>
      </c>
      <c r="E15" s="21" t="s">
        <v>282</v>
      </c>
      <c r="F15" s="1"/>
      <c r="G15" s="19" t="s">
        <v>127</v>
      </c>
      <c r="H15" s="19"/>
      <c r="I15" s="19"/>
      <c r="J15" s="19"/>
      <c r="K15" s="19"/>
      <c r="L15" s="19"/>
      <c r="M15" s="19" t="s">
        <v>23</v>
      </c>
      <c r="N15" s="19" t="s">
        <v>101</v>
      </c>
      <c r="O15" s="19"/>
      <c r="P15" s="19"/>
      <c r="Q15" s="19"/>
      <c r="R15" s="19"/>
      <c r="S15" s="19"/>
      <c r="T15" s="19"/>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126" x14ac:dyDescent="0.2">
      <c r="A16" s="1">
        <v>1960</v>
      </c>
      <c r="B16" s="1" t="s">
        <v>25</v>
      </c>
      <c r="C16" s="1" t="s">
        <v>128</v>
      </c>
      <c r="D16" s="1" t="s">
        <v>129</v>
      </c>
      <c r="E16" s="1" t="s">
        <v>130</v>
      </c>
      <c r="F16" s="1"/>
      <c r="G16" s="19"/>
      <c r="H16" s="19"/>
      <c r="I16" s="19"/>
      <c r="J16" s="19"/>
      <c r="K16" s="19"/>
      <c r="L16" s="19"/>
      <c r="M16" s="19" t="s">
        <v>23</v>
      </c>
      <c r="N16" s="19" t="s">
        <v>101</v>
      </c>
      <c r="O16" s="19"/>
      <c r="P16" s="19"/>
      <c r="Q16" s="19"/>
      <c r="R16" s="19"/>
      <c r="S16" s="19"/>
      <c r="T16" s="19"/>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126" x14ac:dyDescent="0.2">
      <c r="A17" s="1">
        <v>1961</v>
      </c>
      <c r="B17" s="1" t="s">
        <v>31</v>
      </c>
      <c r="C17" s="1" t="s">
        <v>131</v>
      </c>
      <c r="D17" s="19"/>
      <c r="E17" s="1" t="s">
        <v>132</v>
      </c>
      <c r="F17" s="19"/>
      <c r="G17" s="19"/>
      <c r="H17" s="19"/>
      <c r="I17" s="19"/>
      <c r="J17" s="19"/>
      <c r="K17" s="19"/>
      <c r="L17" s="19"/>
      <c r="M17" s="19" t="s">
        <v>23</v>
      </c>
      <c r="N17" s="19" t="s">
        <v>101</v>
      </c>
      <c r="O17" s="19"/>
      <c r="P17" s="19"/>
      <c r="Q17" s="19"/>
      <c r="R17" s="19"/>
      <c r="S17" s="19"/>
      <c r="T17" s="19"/>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x14ac:dyDescent="0.2">
      <c r="A18" s="1">
        <v>1962</v>
      </c>
      <c r="B18" s="1" t="s">
        <v>31</v>
      </c>
      <c r="C18" s="1" t="s">
        <v>133</v>
      </c>
      <c r="D18" s="1" t="s">
        <v>134</v>
      </c>
      <c r="E18" s="1"/>
      <c r="F18" s="1"/>
      <c r="G18" s="19"/>
      <c r="H18" s="19"/>
      <c r="I18" s="19"/>
      <c r="J18" s="19"/>
      <c r="K18" s="19"/>
      <c r="L18" s="19" t="s">
        <v>135</v>
      </c>
      <c r="M18" s="19" t="s">
        <v>23</v>
      </c>
      <c r="N18" s="19" t="s">
        <v>101</v>
      </c>
      <c r="O18" s="19"/>
      <c r="P18" s="19"/>
      <c r="Q18" s="19"/>
      <c r="R18" s="19"/>
      <c r="S18" s="19"/>
      <c r="T18" s="19"/>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126" x14ac:dyDescent="0.2">
      <c r="A19" s="1">
        <v>1963</v>
      </c>
      <c r="B19" s="1"/>
      <c r="C19" s="1" t="s">
        <v>136</v>
      </c>
      <c r="D19" s="1" t="s">
        <v>137</v>
      </c>
      <c r="E19" s="1" t="s">
        <v>138</v>
      </c>
      <c r="F19" s="1"/>
      <c r="G19" s="19"/>
      <c r="H19" s="23" t="s">
        <v>139</v>
      </c>
      <c r="I19" s="23" t="s">
        <v>140</v>
      </c>
      <c r="J19" s="19" t="s">
        <v>141</v>
      </c>
      <c r="K19" s="19"/>
      <c r="L19" s="19"/>
      <c r="M19" s="19" t="s">
        <v>142</v>
      </c>
      <c r="N19" s="19" t="s">
        <v>143</v>
      </c>
      <c r="O19" s="19"/>
      <c r="P19" s="19"/>
      <c r="Q19" s="19"/>
      <c r="R19" s="19"/>
      <c r="S19" s="19"/>
      <c r="T19" s="19"/>
      <c r="U19" s="2"/>
    </row>
    <row r="20" spans="1:21" ht="28" x14ac:dyDescent="0.2">
      <c r="A20" s="1">
        <v>1964</v>
      </c>
      <c r="B20" s="1"/>
      <c r="C20" s="1"/>
      <c r="D20" s="1"/>
      <c r="E20" s="1" t="s">
        <v>144</v>
      </c>
      <c r="F20" s="1"/>
      <c r="G20" s="19"/>
      <c r="H20" s="20"/>
      <c r="I20" s="19"/>
      <c r="J20" s="19"/>
      <c r="K20" s="19"/>
      <c r="L20" s="19"/>
      <c r="M20" s="19"/>
      <c r="N20" s="19"/>
      <c r="O20" s="19"/>
      <c r="P20" s="19"/>
      <c r="Q20" s="19"/>
      <c r="R20" s="19"/>
      <c r="S20" s="19"/>
      <c r="T20" s="19"/>
      <c r="U20" s="2"/>
    </row>
    <row r="21" spans="1:21" ht="112" x14ac:dyDescent="0.2">
      <c r="A21" s="1">
        <v>1966</v>
      </c>
      <c r="B21" s="1" t="s">
        <v>31</v>
      </c>
      <c r="C21" s="1" t="s">
        <v>145</v>
      </c>
      <c r="D21" s="1" t="s">
        <v>280</v>
      </c>
      <c r="E21" s="1"/>
      <c r="F21" s="1" t="s">
        <v>36</v>
      </c>
      <c r="G21" s="19"/>
      <c r="H21" s="19"/>
      <c r="I21" s="19"/>
      <c r="J21" s="19"/>
      <c r="K21" s="19"/>
      <c r="L21" s="19"/>
      <c r="M21" s="19"/>
      <c r="N21" s="19"/>
      <c r="O21" s="19"/>
      <c r="P21" s="19"/>
      <c r="Q21" s="19"/>
      <c r="R21" s="19"/>
      <c r="S21" s="19"/>
      <c r="T21" s="19"/>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17" x14ac:dyDescent="0.2">
      <c r="A22" s="1">
        <v>1967</v>
      </c>
      <c r="B22" s="1" t="s">
        <v>39</v>
      </c>
      <c r="C22" s="1"/>
      <c r="D22" s="1"/>
      <c r="E22" s="1" t="s">
        <v>146</v>
      </c>
      <c r="F22" s="1"/>
      <c r="G22" s="19"/>
      <c r="H22" s="19"/>
      <c r="I22" s="19"/>
      <c r="J22" s="19"/>
      <c r="K22" s="19"/>
      <c r="L22" s="19"/>
      <c r="M22" s="19"/>
      <c r="N22" s="19"/>
      <c r="O22" s="19"/>
      <c r="P22" s="19"/>
      <c r="Q22" s="19"/>
      <c r="R22" s="19"/>
      <c r="S22" s="19"/>
      <c r="T22" s="19"/>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154" x14ac:dyDescent="0.2">
      <c r="A23" s="1">
        <v>1968</v>
      </c>
      <c r="B23" s="1" t="s">
        <v>39</v>
      </c>
      <c r="C23" s="1" t="s">
        <v>41</v>
      </c>
      <c r="D23" s="1" t="s">
        <v>42</v>
      </c>
      <c r="E23" s="1" t="s">
        <v>43</v>
      </c>
      <c r="F23" s="1" t="s">
        <v>276</v>
      </c>
      <c r="G23" s="24" t="s">
        <v>277</v>
      </c>
      <c r="H23" s="19"/>
      <c r="I23" s="19"/>
      <c r="J23" s="19"/>
      <c r="K23" s="19"/>
      <c r="L23" s="19"/>
      <c r="M23" s="19"/>
      <c r="N23" s="19"/>
      <c r="O23" s="19"/>
      <c r="P23" s="19"/>
      <c r="Q23" s="19"/>
      <c r="R23" s="19"/>
      <c r="S23" s="19"/>
      <c r="T23" s="19"/>
      <c r="U23" s="2"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film-1969-l-amour-est-plus-froid-que-la-mort; film-1969-le-bouc</v>
      </c>
    </row>
    <row r="24" spans="1:21" ht="28" x14ac:dyDescent="0.2">
      <c r="A24" s="1">
        <v>1969</v>
      </c>
      <c r="B24" s="1" t="s">
        <v>39</v>
      </c>
      <c r="C24" s="1" t="s">
        <v>147</v>
      </c>
      <c r="D24" s="1"/>
      <c r="E24" s="1"/>
      <c r="F24" s="1"/>
      <c r="G24" s="24"/>
      <c r="H24" s="19"/>
      <c r="I24" s="19"/>
      <c r="J24" s="19"/>
      <c r="K24" s="19"/>
      <c r="L24" s="19"/>
      <c r="M24" s="19"/>
      <c r="N24" s="19"/>
      <c r="O24" s="19"/>
      <c r="P24" s="19"/>
      <c r="Q24" s="19"/>
      <c r="R24" s="19"/>
      <c r="S24" s="19"/>
      <c r="T24" s="19"/>
      <c r="U24" s="2"/>
    </row>
    <row r="25" spans="1:21" ht="16" x14ac:dyDescent="0.2">
      <c r="A25" s="1">
        <v>1970</v>
      </c>
      <c r="B25" s="1"/>
      <c r="C25" s="1"/>
      <c r="D25" s="1"/>
      <c r="E25" s="1"/>
      <c r="F25" s="1" t="s">
        <v>148</v>
      </c>
      <c r="G25" s="24"/>
      <c r="H25" s="19"/>
      <c r="I25" s="19"/>
      <c r="J25" s="19"/>
      <c r="K25" s="19"/>
      <c r="L25" s="19"/>
      <c r="M25" s="19"/>
      <c r="N25" s="19"/>
      <c r="O25" s="19"/>
      <c r="P25" s="19"/>
      <c r="Q25" s="19"/>
      <c r="R25" s="19"/>
      <c r="S25" s="19"/>
      <c r="T25" s="19"/>
      <c r="U25" s="2"/>
    </row>
    <row r="26" spans="1:21" ht="196" x14ac:dyDescent="0.2">
      <c r="A26" s="1">
        <v>1971</v>
      </c>
      <c r="B26" s="1" t="s">
        <v>44</v>
      </c>
      <c r="C26" s="1" t="s">
        <v>149</v>
      </c>
      <c r="D26" s="1" t="s">
        <v>150</v>
      </c>
      <c r="E26" s="1" t="s">
        <v>151</v>
      </c>
      <c r="F26" s="1" t="s">
        <v>274</v>
      </c>
      <c r="G26" s="19" t="s">
        <v>284</v>
      </c>
      <c r="H26" s="19"/>
      <c r="I26" s="19"/>
      <c r="J26" s="15"/>
      <c r="K26" s="19"/>
      <c r="L26" s="19" t="s">
        <v>281</v>
      </c>
      <c r="M26" s="1" t="s">
        <v>152</v>
      </c>
      <c r="N26" s="21" t="s">
        <v>153</v>
      </c>
      <c r="O26" s="1"/>
      <c r="P26" s="1"/>
      <c r="Q26" s="1"/>
      <c r="R26" s="1"/>
      <c r="S26" s="1" t="s">
        <v>59</v>
      </c>
      <c r="T26" s="19"/>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film-1972-le-marchand-des-quatre-saisons</v>
      </c>
    </row>
    <row r="27" spans="1:21" ht="42" x14ac:dyDescent="0.2">
      <c r="A27" s="1">
        <v>1973</v>
      </c>
      <c r="B27" s="1"/>
      <c r="C27" s="1"/>
      <c r="D27" s="1"/>
      <c r="E27" s="1"/>
      <c r="F27" s="25" t="s">
        <v>154</v>
      </c>
      <c r="G27" s="1"/>
      <c r="H27" s="15"/>
      <c r="I27" s="15"/>
      <c r="J27" s="15"/>
      <c r="K27" s="15"/>
      <c r="L27" s="15"/>
      <c r="M27" s="1"/>
      <c r="N27" s="21"/>
      <c r="O27" s="1"/>
      <c r="P27" s="1"/>
      <c r="Q27" s="1"/>
      <c r="R27" s="1"/>
      <c r="S27" s="1"/>
      <c r="T27" s="15"/>
      <c r="U27" s="2"/>
    </row>
    <row r="28" spans="1:21" ht="56" x14ac:dyDescent="0.2">
      <c r="A28" s="1">
        <v>1974</v>
      </c>
      <c r="B28" s="1"/>
      <c r="C28" s="1"/>
      <c r="D28" s="1"/>
      <c r="E28" s="1"/>
      <c r="F28" s="25" t="s">
        <v>275</v>
      </c>
      <c r="G28" s="1" t="s">
        <v>287</v>
      </c>
      <c r="H28" s="15"/>
      <c r="I28" s="15"/>
      <c r="J28" s="15"/>
      <c r="K28" s="15"/>
      <c r="L28" s="15"/>
      <c r="M28" s="1"/>
      <c r="N28" s="21"/>
      <c r="O28" s="1"/>
      <c r="P28" s="1"/>
      <c r="Q28" s="1"/>
      <c r="R28" s="1"/>
      <c r="S28" s="1"/>
      <c r="T28" s="15"/>
      <c r="U28" s="2"/>
    </row>
    <row r="29" spans="1:21" ht="238" x14ac:dyDescent="0.2">
      <c r="A29" s="1">
        <v>1975</v>
      </c>
      <c r="B29" s="1" t="s">
        <v>48</v>
      </c>
      <c r="C29" s="1" t="s">
        <v>49</v>
      </c>
      <c r="D29" s="1" t="s">
        <v>50</v>
      </c>
      <c r="E29" s="1" t="s">
        <v>51</v>
      </c>
      <c r="F29" s="1" t="s">
        <v>52</v>
      </c>
      <c r="G29" s="1" t="s">
        <v>288</v>
      </c>
      <c r="H29" s="19"/>
      <c r="I29" s="19"/>
      <c r="J29" s="19"/>
      <c r="K29" s="19"/>
      <c r="L29" s="19"/>
      <c r="M29" s="19"/>
      <c r="N29" s="19"/>
      <c r="O29" s="19"/>
      <c r="P29" s="19"/>
      <c r="Q29" s="19"/>
      <c r="R29" s="19"/>
      <c r="S29" s="19"/>
      <c r="T29" s="19"/>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film-1975-le-droit-du-plus-fort; film-1975-maman-kusters-s-en-va-au-ciel</v>
      </c>
    </row>
    <row r="30" spans="1:21" ht="252" x14ac:dyDescent="0.2">
      <c r="A30" s="1">
        <v>1977</v>
      </c>
      <c r="B30" s="1" t="s">
        <v>54</v>
      </c>
      <c r="C30" s="1" t="s">
        <v>291</v>
      </c>
      <c r="D30" s="1" t="s">
        <v>292</v>
      </c>
      <c r="E30" s="1" t="s">
        <v>155</v>
      </c>
      <c r="F30" s="15"/>
      <c r="G30" s="19"/>
      <c r="H30" s="19"/>
      <c r="I30" s="19"/>
      <c r="J30" s="19"/>
      <c r="K30" s="19" t="s">
        <v>156</v>
      </c>
      <c r="L30" s="19" t="s">
        <v>157</v>
      </c>
      <c r="M30" s="19"/>
      <c r="N30" s="19"/>
      <c r="O30" s="19"/>
      <c r="P30" s="19"/>
      <c r="Q30" s="19"/>
      <c r="R30" s="19"/>
      <c r="S30" s="19"/>
      <c r="T30" s="19"/>
      <c r="U30" s="2" t="str">
        <f>IF(E30="","",_xlfn.TEXTJOIN("; ",TRUE(),IF(ISNUMBER(SEARCH(SUBSTITUTE('Référentiel films'!$A$2,"’","'"),SUBSTITUTE(E30,"’","'"))),'Référentiel films'!$B$2,""),IF(ISNUMBER(SEARCH(SUBSTITUTE('Référentiel films'!$A$3,"’","'"),SUBSTITUTE(E30,"’","'"))),'Référentiel films'!$B$3,""),IF(ISNUMBER(SEARCH(SUBSTITUTE('Référentiel films'!$A$4,"’","'"),SUBSTITUTE(E30,"’","'"))),'Référentiel films'!$B$4,""),IF(ISNUMBER(SEARCH(SUBSTITUTE('Référentiel films'!$A$5,"’","'"),SUBSTITUTE(E30,"’","'"))),'Référentiel films'!$B$5,""),IF(ISNUMBER(SEARCH(SUBSTITUTE('Référentiel films'!$A$6,"’","'"),SUBSTITUTE(E30,"’","'"))),'Référentiel films'!$B$6,""),IF(ISNUMBER(SEARCH(SUBSTITUTE('Référentiel films'!$A$7,"’","'"),SUBSTITUTE(E30,"’","'"))),'Référentiel films'!$B$7,""),IF(ISNUMBER(SEARCH(SUBSTITUTE('Référentiel films'!$A$8,"’","'"),SUBSTITUTE(E30,"’","'"))),'Référentiel films'!$B$8,""),IF(ISNUMBER(SEARCH(SUBSTITUTE('Référentiel films'!$A$9,"’","'"),SUBSTITUTE(E30,"’","'"))),'Référentiel films'!$B$9,""),IF(ISNUMBER(SEARCH(SUBSTITUTE('Référentiel films'!$A$10,"’","'"),SUBSTITUTE(E30,"’","'"))),'Référentiel films'!$B$10,""),IF(ISNUMBER(SEARCH(SUBSTITUTE('Référentiel films'!$A$11,"’","'"),SUBSTITUTE(E30,"’","'"))),'Référentiel films'!$B$11,""),IF(ISNUMBER(SEARCH(SUBSTITUTE('Référentiel films'!$A$12,"’","'"),SUBSTITUTE(E30,"’","'"))),'Référentiel films'!$B$12,""),IF(ISNUMBER(SEARCH(SUBSTITUTE('Référentiel films'!$A$13,"’","'"),SUBSTITUTE(E30,"’","'"))),'Référentiel films'!$B$13,""),IF(ISNUMBER(SEARCH(SUBSTITUTE('Référentiel films'!$A$14,"’","'"),SUBSTITUTE(E30,"’","'"))),'Référentiel films'!$B$14,""),IF(ISNUMBER(SEARCH(SUBSTITUTE('Référentiel films'!$A$15,"’","'"),SUBSTITUTE(E30,"’","'"))),'Référentiel films'!$B$15,""),IF(ISNUMBER(SEARCH(SUBSTITUTE('Référentiel films'!$A$16,"’","'"),SUBSTITUTE(E30,"’","'"))),'Référentiel films'!$B$16,""),IF(ISNUMBER(SEARCH(SUBSTITUTE('Référentiel films'!$A$17,"’","'"),SUBSTITUTE(E30,"’","'"))),'Référentiel films'!$B$17,""),IF(ISNUMBER(SEARCH(SUBSTITUTE('Référentiel films'!$A$18,"’","'"),SUBSTITUTE(E30,"’","'"))),'Référentiel films'!$B$18,""),IF(ISNUMBER(SEARCH(SUBSTITUTE('Référentiel films'!$A$19,"’","'"),SUBSTITUTE(E30,"’","'"))),'Référentiel films'!$B$19,""),IF(ISNUMBER(SEARCH(SUBSTITUTE('Référentiel films'!$A$20,"’","'"),SUBSTITUTE(E30,"’","'"))),'Référentiel films'!$B$20,""),IF(ISNUMBER(SEARCH(SUBSTITUTE('Référentiel films'!$A$21,"’","'"),SUBSTITUTE(E30,"’","'"))),'Référentiel films'!$B$21,""),IF(ISNUMBER(SEARCH(SUBSTITUTE('Référentiel films'!$A$22,"’","'"),SUBSTITUTE(E30,"’","'"))),'Référentiel films'!$B$22,""),IF(ISNUMBER(SEARCH(SUBSTITUTE('Référentiel films'!$A$23,"’","'"),SUBSTITUTE(E30,"’","'"))),'Référentiel films'!$B$23,""),IF(ISNUMBER(SEARCH(SUBSTITUTE('Référentiel films'!$A$24,"’","'"),SUBSTITUTE(E30,"’","'"))),'Référentiel films'!$B$24,""),IF(ISNUMBER(SEARCH(SUBSTITUTE('Référentiel films'!$A$25,"’","'"),SUBSTITUTE(E30,"’","'"))),'Référentiel films'!$B$25,""),IF(ISNUMBER(SEARCH(SUBSTITUTE('Référentiel films'!$A$26,"’","'"),SUBSTITUTE(E30,"’","'"))),'Référentiel films'!$B$26,""),IF(ISNUMBER(SEARCH(SUBSTITUTE('Référentiel films'!$A$27,"’","'"),SUBSTITUTE(E30,"’","'"))),'Référentiel films'!$B$27,""),IF(ISNUMBER(SEARCH(SUBSTITUTE('Référentiel films'!$A$28,"’","'"),SUBSTITUTE(E30,"’","'"))),'Référentiel films'!$B$28,""),IF(ISNUMBER(SEARCH(SUBSTITUTE('Référentiel films'!$A$29,"’","'"),SUBSTITUTE(E30,"’","'"))),'Référentiel films'!$B$29,""),IF(ISNUMBER(SEARCH(SUBSTITUTE('Référentiel films'!$A$30,"’","'"),SUBSTITUTE(E30,"’","'"))),'Référentiel films'!$B$30,""),IF(ISNUMBER(SEARCH(SUBSTITUTE('Référentiel films'!$A$31,"’","'"),SUBSTITUTE(E30,"’","'"))),'Référentiel films'!$B$31,""),IF(ISNUMBER(SEARCH(SUBSTITUTE('Référentiel films'!$A$32,"’","'"),SUBSTITUTE(E30,"’","'"))),'Référentiel films'!$B$32,""),IF(ISNUMBER(SEARCH(SUBSTITUTE('Référentiel films'!$A$33,"’","'"),SUBSTITUTE(E30,"’","'"))),'Référentiel films'!$B$33,""),IF(ISNUMBER(SEARCH(SUBSTITUTE('Référentiel films'!$A$34,"’","'"),SUBSTITUTE(E30,"’","'"))),'Référentiel films'!$B$34,""),IF(ISNUMBER(SEARCH(SUBSTITUTE('Référentiel films'!$A$35,"’","'"),SUBSTITUTE(E30,"’","'"))),'Référentiel films'!$B$35,""),IF(ISNUMBER(SEARCH(SUBSTITUTE('Référentiel films'!$A$36,"’","'"),SUBSTITUTE(E30,"’","'"))),'Référentiel films'!$B$36,""),IF(ISNUMBER(SEARCH(SUBSTITUTE('Référentiel films'!$A$37,"’","'"),SUBSTITUTE(E30,"’","'"))),'Référentiel films'!$B$37,""),IF(ISNUMBER(SEARCH(SUBSTITUTE('Référentiel films'!$A$38,"’","'"),SUBSTITUTE(E30,"’","'"))),'Référentiel films'!$B$38,""),IF(ISNUMBER(SEARCH(SUBSTITUTE('Référentiel films'!$A$39,"’","'"),SUBSTITUTE(E30,"’","'"))),'Référentiel films'!$B$39,""),IF(ISNUMBER(SEARCH(SUBSTITUTE('Référentiel films'!$A$40,"’","'"),SUBSTITUTE(E30,"’","'"))),'Référentiel films'!$B$40,""),IF(ISNUMBER(SEARCH(SUBSTITUTE('Référentiel films'!$A$41,"’","'"),SUBSTITUTE(E30,"’","'"))),'Référentiel films'!$B$41,"")))</f>
        <v/>
      </c>
    </row>
    <row r="31" spans="1:21" ht="182" x14ac:dyDescent="0.2">
      <c r="A31" s="1">
        <v>1978</v>
      </c>
      <c r="B31" s="1"/>
      <c r="C31" s="1"/>
      <c r="D31" s="1" t="s">
        <v>290</v>
      </c>
      <c r="E31" s="1" t="s">
        <v>289</v>
      </c>
      <c r="F31" s="1" t="s">
        <v>293</v>
      </c>
      <c r="G31" s="15" t="s">
        <v>296</v>
      </c>
      <c r="H31" s="19"/>
      <c r="I31" s="19"/>
      <c r="J31" s="19"/>
      <c r="K31" s="19"/>
      <c r="L31" s="15" t="s">
        <v>158</v>
      </c>
      <c r="M31" s="19"/>
      <c r="N31" s="19"/>
      <c r="O31" s="19"/>
      <c r="P31" s="19"/>
      <c r="Q31" s="19"/>
      <c r="R31" s="19"/>
      <c r="S31" s="19"/>
      <c r="T31" s="19"/>
      <c r="U31" s="2"/>
    </row>
    <row r="32" spans="1:21" ht="84" x14ac:dyDescent="0.2">
      <c r="A32" s="1">
        <v>1979</v>
      </c>
      <c r="B32" s="1"/>
      <c r="C32" s="1"/>
      <c r="D32" s="1"/>
      <c r="E32" s="1"/>
      <c r="F32" s="15" t="s">
        <v>159</v>
      </c>
      <c r="G32" s="19"/>
      <c r="H32" s="19"/>
      <c r="I32" s="19"/>
      <c r="J32" s="19"/>
      <c r="K32" s="19"/>
      <c r="L32" s="19"/>
      <c r="M32" s="19"/>
      <c r="N32" s="19"/>
      <c r="O32" s="19"/>
      <c r="P32" s="19"/>
      <c r="Q32" s="19"/>
      <c r="R32" s="19"/>
      <c r="S32" s="19"/>
      <c r="T32" s="19"/>
      <c r="U32" s="2"/>
    </row>
    <row r="33" spans="1:21" ht="293" x14ac:dyDescent="0.2">
      <c r="A33" s="1">
        <v>1980</v>
      </c>
      <c r="B33" s="1" t="s">
        <v>60</v>
      </c>
      <c r="C33" s="1" t="s">
        <v>61</v>
      </c>
      <c r="D33" s="1" t="s">
        <v>62</v>
      </c>
      <c r="E33" s="1" t="s">
        <v>63</v>
      </c>
      <c r="F33" s="1" t="s">
        <v>64</v>
      </c>
      <c r="G33" s="1" t="s">
        <v>160</v>
      </c>
      <c r="H33" s="19"/>
      <c r="I33" s="19"/>
      <c r="J33" s="19"/>
      <c r="K33" s="19"/>
      <c r="L33" s="19" t="s">
        <v>161</v>
      </c>
      <c r="M33" s="19"/>
      <c r="N33" s="19"/>
      <c r="O33" s="19"/>
      <c r="P33" s="19"/>
      <c r="Q33" s="19"/>
      <c r="R33" s="19"/>
      <c r="S33" s="19"/>
      <c r="T33" s="19"/>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film-1980-berlin-alexanderplatz; film-1981-lili-marleen; film-1981-lola-une-femme-allemande</v>
      </c>
    </row>
    <row r="34" spans="1:21" ht="126" x14ac:dyDescent="0.2">
      <c r="A34" s="1">
        <v>1982</v>
      </c>
      <c r="B34" s="1">
        <v>1982</v>
      </c>
      <c r="C34" s="1" t="s">
        <v>162</v>
      </c>
      <c r="D34" s="1" t="s">
        <v>66</v>
      </c>
      <c r="E34" s="1" t="s">
        <v>67</v>
      </c>
      <c r="F34" s="1" t="s">
        <v>68</v>
      </c>
      <c r="G34" s="19"/>
      <c r="H34" s="19"/>
      <c r="I34" s="19"/>
      <c r="J34" s="19"/>
      <c r="K34" s="19"/>
      <c r="L34" s="19" t="s">
        <v>163</v>
      </c>
      <c r="M34" s="19"/>
      <c r="N34" s="19"/>
      <c r="O34" s="19"/>
      <c r="P34" s="19"/>
      <c r="Q34" s="19"/>
      <c r="R34" s="19"/>
      <c r="S34" s="19"/>
      <c r="T34" s="19"/>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1" r:id="rId5" xr:uid="{00000000-0004-0000-0100-000004000000}"/>
    <hyperlink ref="H10" r:id="rId6" xr:uid="{58B353DE-712B-314B-AF9D-5EFD2C97FAA8}"/>
    <hyperlink ref="H13" r:id="rId7" xr:uid="{8BED597B-320D-244A-BF54-DD605F46C2B8}"/>
    <hyperlink ref="I19" r:id="rId8" xr:uid="{E9755199-911B-FA49-8D25-961C201765E5}"/>
    <hyperlink ref="H19" r:id="rId9" xr:uid="{348FB49A-F751-5D48-A9BD-36E381E49EE1}"/>
  </hyperlinks>
  <pageMargins left="0.7" right="0.7" top="0.75" bottom="0.75" header="0.511811023622047" footer="0.511811023622047"/>
  <pageSetup paperSize="9" orientation="portrait" horizontalDpi="300" verticalDpi="300"/>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7A15F-9849-0547-90EB-0E0C6153DA22}">
  <dimension ref="A15:D19"/>
  <sheetViews>
    <sheetView workbookViewId="0">
      <selection activeCell="C17" sqref="C17"/>
    </sheetView>
  </sheetViews>
  <sheetFormatPr baseColWidth="10" defaultColWidth="11.5" defaultRowHeight="13" x14ac:dyDescent="0.15"/>
  <cols>
    <col min="2" max="2" width="37.5" customWidth="1"/>
    <col min="3" max="3" width="37" customWidth="1"/>
    <col min="4" max="4" width="30.83203125" customWidth="1"/>
  </cols>
  <sheetData>
    <row r="15" spans="1:4" x14ac:dyDescent="0.15">
      <c r="A15" s="16" t="s">
        <v>164</v>
      </c>
      <c r="B15" s="16" t="s">
        <v>165</v>
      </c>
      <c r="C15" s="16" t="s">
        <v>166</v>
      </c>
      <c r="D15" s="16" t="s">
        <v>167</v>
      </c>
    </row>
    <row r="16" spans="1:4" ht="51" x14ac:dyDescent="0.15">
      <c r="A16" s="17" t="s">
        <v>168</v>
      </c>
      <c r="B16" s="18" t="s">
        <v>169</v>
      </c>
      <c r="C16" s="17" t="s">
        <v>170</v>
      </c>
      <c r="D16" s="17"/>
    </row>
    <row r="17" spans="1:4" ht="51" x14ac:dyDescent="0.15">
      <c r="A17" s="17" t="s">
        <v>171</v>
      </c>
      <c r="B17" s="18" t="s">
        <v>172</v>
      </c>
      <c r="C17" s="17" t="s">
        <v>173</v>
      </c>
      <c r="D17" s="17" t="s">
        <v>174</v>
      </c>
    </row>
    <row r="18" spans="1:4" ht="28" x14ac:dyDescent="0.15">
      <c r="A18" s="17" t="s">
        <v>175</v>
      </c>
      <c r="B18" s="17" t="s">
        <v>176</v>
      </c>
      <c r="C18" s="17" t="s">
        <v>177</v>
      </c>
      <c r="D18" s="17" t="s">
        <v>174</v>
      </c>
    </row>
    <row r="19" spans="1:4" ht="28" x14ac:dyDescent="0.15">
      <c r="A19" s="17" t="s">
        <v>178</v>
      </c>
      <c r="B19" s="17" t="s">
        <v>179</v>
      </c>
      <c r="C19" s="17" t="s">
        <v>180</v>
      </c>
      <c r="D19" s="17" t="s">
        <v>181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1"/>
  <sheetViews>
    <sheetView zoomScaleNormal="100" workbookViewId="0"/>
  </sheetViews>
  <sheetFormatPr baseColWidth="10" defaultColWidth="10.5" defaultRowHeight="13" x14ac:dyDescent="0.15"/>
  <cols>
    <col min="1" max="1" width="46.83203125" customWidth="1"/>
    <col min="2" max="2" width="59.1640625" customWidth="1"/>
  </cols>
  <sheetData>
    <row r="1" spans="1:2" ht="17" x14ac:dyDescent="0.2">
      <c r="A1" s="7" t="s">
        <v>182</v>
      </c>
      <c r="B1" s="7" t="s">
        <v>183</v>
      </c>
    </row>
    <row r="2" spans="1:2" ht="17" x14ac:dyDescent="0.2">
      <c r="A2" s="9" t="s">
        <v>184</v>
      </c>
      <c r="B2" s="9" t="s">
        <v>185</v>
      </c>
    </row>
    <row r="3" spans="1:2" ht="17" x14ac:dyDescent="0.2">
      <c r="A3" s="9" t="s">
        <v>186</v>
      </c>
      <c r="B3" s="9" t="s">
        <v>187</v>
      </c>
    </row>
    <row r="4" spans="1:2" ht="17" x14ac:dyDescent="0.2">
      <c r="A4" s="9" t="s">
        <v>188</v>
      </c>
      <c r="B4" s="9" t="s">
        <v>189</v>
      </c>
    </row>
    <row r="5" spans="1:2" ht="17" x14ac:dyDescent="0.2">
      <c r="A5" s="9" t="s">
        <v>190</v>
      </c>
      <c r="B5" s="9" t="s">
        <v>191</v>
      </c>
    </row>
    <row r="6" spans="1:2" ht="17" x14ac:dyDescent="0.2">
      <c r="A6" s="9" t="s">
        <v>192</v>
      </c>
      <c r="B6" s="9" t="s">
        <v>193</v>
      </c>
    </row>
    <row r="7" spans="1:2" ht="17" x14ac:dyDescent="0.2">
      <c r="A7" s="9" t="s">
        <v>194</v>
      </c>
      <c r="B7" s="9" t="s">
        <v>195</v>
      </c>
    </row>
    <row r="8" spans="1:2" ht="17" x14ac:dyDescent="0.2">
      <c r="A8" s="9" t="s">
        <v>196</v>
      </c>
      <c r="B8" s="9" t="s">
        <v>197</v>
      </c>
    </row>
    <row r="9" spans="1:2" ht="17" x14ac:dyDescent="0.2">
      <c r="A9" s="9" t="s">
        <v>198</v>
      </c>
      <c r="B9" s="9" t="s">
        <v>199</v>
      </c>
    </row>
    <row r="10" spans="1:2" ht="17" x14ac:dyDescent="0.2">
      <c r="A10" s="9" t="s">
        <v>200</v>
      </c>
      <c r="B10" s="9" t="s">
        <v>201</v>
      </c>
    </row>
    <row r="11" spans="1:2" ht="17" x14ac:dyDescent="0.2">
      <c r="A11" s="9" t="s">
        <v>202</v>
      </c>
      <c r="B11" s="9" t="s">
        <v>203</v>
      </c>
    </row>
    <row r="12" spans="1:2" ht="17" x14ac:dyDescent="0.2">
      <c r="A12" s="9" t="s">
        <v>204</v>
      </c>
      <c r="B12" s="9" t="s">
        <v>205</v>
      </c>
    </row>
    <row r="13" spans="1:2" ht="17" x14ac:dyDescent="0.2">
      <c r="A13" s="9" t="s">
        <v>206</v>
      </c>
      <c r="B13" s="9" t="s">
        <v>207</v>
      </c>
    </row>
    <row r="14" spans="1:2" ht="17" x14ac:dyDescent="0.2">
      <c r="A14" s="9" t="s">
        <v>208</v>
      </c>
      <c r="B14" s="9" t="s">
        <v>209</v>
      </c>
    </row>
    <row r="15" spans="1:2" ht="17" x14ac:dyDescent="0.2">
      <c r="A15" s="9" t="s">
        <v>210</v>
      </c>
      <c r="B15" s="9" t="s">
        <v>211</v>
      </c>
    </row>
    <row r="16" spans="1:2" ht="17" x14ac:dyDescent="0.2">
      <c r="A16" s="9" t="s">
        <v>212</v>
      </c>
      <c r="B16" s="9" t="s">
        <v>213</v>
      </c>
    </row>
    <row r="17" spans="1:2" ht="17" x14ac:dyDescent="0.2">
      <c r="A17" s="9" t="s">
        <v>214</v>
      </c>
      <c r="B17" s="9" t="s">
        <v>215</v>
      </c>
    </row>
    <row r="18" spans="1:2" ht="17" x14ac:dyDescent="0.2">
      <c r="A18" s="9" t="s">
        <v>216</v>
      </c>
      <c r="B18" s="9" t="s">
        <v>217</v>
      </c>
    </row>
    <row r="19" spans="1:2" ht="17" x14ac:dyDescent="0.2">
      <c r="A19" s="9" t="s">
        <v>218</v>
      </c>
      <c r="B19" s="9" t="s">
        <v>219</v>
      </c>
    </row>
    <row r="20" spans="1:2" ht="17" x14ac:dyDescent="0.2">
      <c r="A20" s="9" t="s">
        <v>220</v>
      </c>
      <c r="B20" s="9" t="s">
        <v>221</v>
      </c>
    </row>
    <row r="21" spans="1:2" ht="17" x14ac:dyDescent="0.2">
      <c r="A21" s="9" t="s">
        <v>222</v>
      </c>
      <c r="B21" s="9" t="s">
        <v>223</v>
      </c>
    </row>
    <row r="22" spans="1:2" ht="17" x14ac:dyDescent="0.2">
      <c r="A22" s="9" t="s">
        <v>224</v>
      </c>
      <c r="B22" s="9" t="s">
        <v>225</v>
      </c>
    </row>
    <row r="23" spans="1:2" ht="17" x14ac:dyDescent="0.2">
      <c r="A23" s="9" t="s">
        <v>226</v>
      </c>
      <c r="B23" s="9" t="s">
        <v>227</v>
      </c>
    </row>
    <row r="24" spans="1:2" ht="17" x14ac:dyDescent="0.2">
      <c r="A24" s="9" t="s">
        <v>228</v>
      </c>
      <c r="B24" s="9" t="s">
        <v>229</v>
      </c>
    </row>
    <row r="25" spans="1:2" ht="17" x14ac:dyDescent="0.2">
      <c r="A25" s="9" t="s">
        <v>230</v>
      </c>
      <c r="B25" s="9" t="s">
        <v>231</v>
      </c>
    </row>
    <row r="26" spans="1:2" ht="17" x14ac:dyDescent="0.2">
      <c r="A26" s="9" t="s">
        <v>232</v>
      </c>
      <c r="B26" s="9" t="s">
        <v>233</v>
      </c>
    </row>
    <row r="27" spans="1:2" ht="17" x14ac:dyDescent="0.2">
      <c r="A27" s="9" t="s">
        <v>234</v>
      </c>
      <c r="B27" s="9" t="s">
        <v>235</v>
      </c>
    </row>
    <row r="28" spans="1:2" ht="17" x14ac:dyDescent="0.2">
      <c r="A28" s="9" t="s">
        <v>236</v>
      </c>
      <c r="B28" s="9" t="s">
        <v>237</v>
      </c>
    </row>
    <row r="29" spans="1:2" ht="17" x14ac:dyDescent="0.2">
      <c r="A29" s="9" t="s">
        <v>238</v>
      </c>
      <c r="B29" s="9" t="s">
        <v>239</v>
      </c>
    </row>
    <row r="30" spans="1:2" ht="17" x14ac:dyDescent="0.2">
      <c r="A30" s="9" t="s">
        <v>240</v>
      </c>
      <c r="B30" s="9" t="s">
        <v>241</v>
      </c>
    </row>
    <row r="31" spans="1:2" ht="17" x14ac:dyDescent="0.2">
      <c r="A31" s="9" t="s">
        <v>242</v>
      </c>
      <c r="B31" s="9" t="s">
        <v>243</v>
      </c>
    </row>
    <row r="32" spans="1:2" ht="17" x14ac:dyDescent="0.2">
      <c r="A32" s="9" t="s">
        <v>244</v>
      </c>
      <c r="B32" s="9" t="s">
        <v>245</v>
      </c>
    </row>
    <row r="33" spans="1:2" ht="17" x14ac:dyDescent="0.2">
      <c r="A33" s="9" t="s">
        <v>246</v>
      </c>
      <c r="B33" s="9" t="s">
        <v>247</v>
      </c>
    </row>
    <row r="34" spans="1:2" ht="17" x14ac:dyDescent="0.2">
      <c r="A34" s="9" t="s">
        <v>248</v>
      </c>
      <c r="B34" s="9" t="s">
        <v>249</v>
      </c>
    </row>
    <row r="35" spans="1:2" ht="17" x14ac:dyDescent="0.2">
      <c r="A35" s="9" t="s">
        <v>250</v>
      </c>
      <c r="B35" s="9" t="s">
        <v>251</v>
      </c>
    </row>
    <row r="36" spans="1:2" ht="17" x14ac:dyDescent="0.2">
      <c r="A36" s="9" t="s">
        <v>252</v>
      </c>
      <c r="B36" s="9" t="s">
        <v>253</v>
      </c>
    </row>
    <row r="37" spans="1:2" ht="17" x14ac:dyDescent="0.2">
      <c r="A37" s="9" t="s">
        <v>254</v>
      </c>
      <c r="B37" s="9" t="s">
        <v>255</v>
      </c>
    </row>
    <row r="38" spans="1:2" ht="17" x14ac:dyDescent="0.2">
      <c r="A38" s="9" t="s">
        <v>256</v>
      </c>
      <c r="B38" s="9" t="s">
        <v>257</v>
      </c>
    </row>
    <row r="39" spans="1:2" ht="17" x14ac:dyDescent="0.2">
      <c r="A39" s="9" t="s">
        <v>258</v>
      </c>
      <c r="B39" s="9" t="s">
        <v>259</v>
      </c>
    </row>
    <row r="40" spans="1:2" ht="17" x14ac:dyDescent="0.2">
      <c r="A40" s="9" t="s">
        <v>260</v>
      </c>
      <c r="B40" s="9" t="s">
        <v>261</v>
      </c>
    </row>
    <row r="41" spans="1:2" ht="17" x14ac:dyDescent="0.2">
      <c r="A41" s="9" t="s">
        <v>262</v>
      </c>
      <c r="B41" s="9" t="s">
        <v>263</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
  <sheetViews>
    <sheetView zoomScaleNormal="100" workbookViewId="0"/>
  </sheetViews>
  <sheetFormatPr baseColWidth="10" defaultColWidth="10.5" defaultRowHeight="13" x14ac:dyDescent="0.15"/>
  <cols>
    <col min="1" max="1" width="29.6640625" customWidth="1"/>
    <col min="2" max="2" width="101.1640625" customWidth="1"/>
  </cols>
  <sheetData>
    <row r="1" spans="1:2" ht="30" customHeight="1" x14ac:dyDescent="0.25">
      <c r="A1" s="10" t="s">
        <v>264</v>
      </c>
      <c r="B1" s="10"/>
    </row>
    <row r="2" spans="1:2" ht="34" customHeight="1" x14ac:dyDescent="0.2">
      <c r="A2" s="11" t="s">
        <v>265</v>
      </c>
      <c r="B2" s="7" t="s">
        <v>266</v>
      </c>
    </row>
    <row r="3" spans="1:2" ht="34" customHeight="1" x14ac:dyDescent="0.2">
      <c r="A3" s="11" t="s">
        <v>267</v>
      </c>
      <c r="B3" s="7" t="s">
        <v>268</v>
      </c>
    </row>
    <row r="4" spans="1:2" ht="34" customHeight="1" x14ac:dyDescent="0.2">
      <c r="A4" s="11" t="s">
        <v>269</v>
      </c>
      <c r="B4" s="7" t="s">
        <v>270</v>
      </c>
    </row>
    <row r="5" spans="1:2" ht="34" customHeight="1" x14ac:dyDescent="0.2">
      <c r="A5" s="11" t="s">
        <v>271</v>
      </c>
      <c r="B5" s="7" t="s">
        <v>272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0</cp:revision>
  <dcterms:created xsi:type="dcterms:W3CDTF">2026-07-20T16:45:25Z</dcterms:created>
  <dcterms:modified xsi:type="dcterms:W3CDTF">2026-07-24T07:30:14Z</dcterms:modified>
  <cp:category/>
  <cp:contentStatus/>
</cp:coreProperties>
</file>