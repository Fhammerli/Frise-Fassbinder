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d.docs.live.net/23f243e0dd638448/cours/KH/RWF/Fiches/Frise/Frise_Fassbinder/"/>
    </mc:Choice>
  </mc:AlternateContent>
  <xr:revisionPtr revIDLastSave="134" documentId="11_6BE08DF89F0657832A60AF55EF513509DE63B29B" xr6:coauthVersionLast="47" xr6:coauthVersionMax="47" xr10:uidLastSave="{412FD772-A3AC-E246-A2E3-050742830F16}"/>
  <bookViews>
    <workbookView xWindow="8660" yWindow="600" windowWidth="35120" windowHeight="24600" tabRatio="500" activeTab="1" xr2:uid="{00000000-000D-0000-FFFF-FFFF00000000}"/>
  </bookViews>
  <sheets>
    <sheet name="Périodes" sheetId="1" r:id="rId1"/>
    <sheet name="Années" sheetId="2" r:id="rId2"/>
    <sheet name="Référentiel films" sheetId="3" r:id="rId3"/>
    <sheet name="Mode_emploi"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U28" i="2" l="1"/>
  <c r="U27" i="2"/>
  <c r="U26" i="2"/>
  <c r="U25" i="2"/>
  <c r="U24" i="2"/>
  <c r="U23" i="2"/>
  <c r="U22" i="2"/>
  <c r="U21" i="2"/>
  <c r="U18" i="2"/>
  <c r="U17" i="2"/>
  <c r="U16" i="2"/>
  <c r="U15" i="2"/>
  <c r="U13" i="2"/>
  <c r="U12" i="2"/>
  <c r="U11" i="2"/>
  <c r="U10" i="2"/>
  <c r="U9" i="2"/>
  <c r="U8" i="2"/>
  <c r="U7" i="2"/>
  <c r="U6" i="2"/>
  <c r="U5" i="2"/>
  <c r="U4" i="2"/>
  <c r="U3" i="2"/>
  <c r="U2" i="2"/>
  <c r="H10" i="1"/>
  <c r="H9" i="1"/>
  <c r="H8" i="1"/>
  <c r="H7" i="1"/>
  <c r="H6" i="1"/>
  <c r="H5" i="1"/>
  <c r="H4" i="1"/>
  <c r="H3" i="1"/>
  <c r="H2" i="1"/>
</calcChain>
</file>

<file path=xl/sharedStrings.xml><?xml version="1.0" encoding="utf-8"?>
<sst xmlns="http://schemas.openxmlformats.org/spreadsheetml/2006/main" count="316" uniqueCount="253">
  <si>
    <t>ID période</t>
  </si>
  <si>
    <t>Titre période</t>
  </si>
  <si>
    <t>question directrice</t>
  </si>
  <si>
    <t>Événement histoire et politique</t>
  </si>
  <si>
    <t>Contexte culturel</t>
  </si>
  <si>
    <t>Biographie de Fassbinder</t>
  </si>
  <si>
    <t>Œuvres</t>
  </si>
  <si>
    <t>ID films - Œuvres</t>
  </si>
  <si>
    <t>Analyse et réception critique</t>
  </si>
  <si>
    <t>Lien vidéo</t>
  </si>
  <si>
    <t>Citation</t>
  </si>
  <si>
    <t>Image</t>
  </si>
  <si>
    <t>Legende</t>
  </si>
  <si>
    <t>Notion</t>
  </si>
  <si>
    <t>1945-1946</t>
  </si>
  <si>
    <t>Les ruines</t>
  </si>
  <si>
    <t>Le "point zéro" de l'histoire de l'Allemagne d'après-guerre est-il un point zéro pour la vie et l'œuvre de RWF ?</t>
  </si>
  <si>
    <t xml:space="preserve">Capitulation du Troisième Reich (mai). L'Allemagne est en ruines (Année Zéro). Début de l'occupation alliée et de l'amnésie collective sur le passé nazi. Le pays et berlin sont partagés en zone sous contrôle des différentes forces alliées. </t>
  </si>
  <si>
    <t>Le cinéma est en ruines. Période des films de décombres ( Trümmerfilme ) comme Les assassins sont parmi nous (Staudte, 1946).</t>
  </si>
  <si>
    <t>Naissance de Rainer Werner Fassbinder le 31 mai à Bad Wörishofen, Bavière.</t>
  </si>
  <si>
    <t>L'œuvre de Fassbinder proposera plus tard une radiographie critique de ce "point zéro" de la nouvelle Allemagne.</t>
  </si>
  <si>
    <t>Les génériques de Fassbinder</t>
  </si>
  <si>
    <t>Adenauer.jpeg</t>
  </si>
  <si>
    <t>Adénauer</t>
  </si>
  <si>
    <t>1947-1960</t>
  </si>
  <si>
    <t>Le miracle économique</t>
  </si>
  <si>
    <t>Domination du "cinéma de papa" ( Papas Kino ) : films de terroir ( Heimatfilm ) et comédies légères dépolitisées.</t>
  </si>
  <si>
    <t>Enfance marquée par le divorce de ses parents (1951) et l'absence du père. Passion précoce pour le cinéma (refuge). Première lecture de Berlin Alexanderplatz vers 14 ans.</t>
  </si>
  <si>
    <t>Fassbinder analyse rétrospectivement cette période (mensonges du miracle économique) dans la future Trilogie de la RFA .</t>
  </si>
  <si>
    <t>1961-1966</t>
  </si>
  <si>
    <t>naissance du Nouveau cinéma allemand</t>
  </si>
  <si>
    <t>Construction du Mur de Berlin (1961). Procès d'Auschwitz à Francfort (1963-1965). Démission d'Adenauer. Grande Coalition (1966).</t>
  </si>
  <si>
    <t>Manifeste d'Oberhausen (1962) : naissance du Nouveau Cinéma Allemand. Fondation de l'école de cinéma DFFB à Berlin (1966).</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</si>
  <si>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</si>
  <si>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</si>
  <si>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Documentaire sur le nouveau cinéma allemand</t>
  </si>
  <si>
    <t>"Le cinéma de Papa est mort. Nous croyons au nouveau cinéma " Manifeste d'Oberhausen (1962)</t>
  </si>
  <si>
    <t>1967-1970</t>
  </si>
  <si>
    <t>Antitheater et politisation</t>
  </si>
  <si>
    <t>Mouvements étudiants de 1968. Tentative d'assassinat contre Rudi Dutschke. Victoire de Willy Brandt (SPD, 1969). Abrogation partielle de l'article 175 (homosexualité).</t>
  </si>
  <si>
    <t>Émergence de l'Anti-teater à Munich. Influence de la Nouvelle Vague française. Le cinéma devient politique et théorique.</t>
  </si>
  <si>
    <t>Fonde l' antiteater (1968). Collaboration intense avec sa "troupe" (Schygulla, Hermann, Raab, Baer, Lommel). Mariage avec Ingrid Caven (1970).</t>
  </si>
  <si>
    <t>L'amour est plus froid que la mort (1969),  Le Bouc (1969, succès à Mannheim) : critique de la xénophobie et de l'apathie bourgeoise.</t>
  </si>
  <si>
    <t>Premier film accueilli froidement à Berlin. Le second est une critique de la xénophobie et de l'apathie bourgeoise</t>
  </si>
  <si>
    <t>1971-1974</t>
  </si>
  <si>
    <t>Terrorisme et mélodrame</t>
  </si>
  <si>
    <t>Terrorisme de la RAF (arrestations en 1972). Attentat des JO de Munich (1972). Démission de Willy Brandt (1974) suite à l'affaire Guillaume.</t>
  </si>
  <si>
    <t>Découverte des mélodrames de Douglas Sirk . Fondation du Filmverlag der Autoren (1971). Accords Film-Télévision (1974) favorisant les coproductions (WDR).</t>
  </si>
  <si>
    <t>Liaison avec El Hedi ben Salem. Direction du TAT à Francfort. Collaboration avec le caméraman Michael Ballhaus. Succès international.</t>
  </si>
  <si>
    <t>Période Sirkienne : Le Marchand des quatre saisons (1971). Tous les autres s'appellent Ali (1974, succès mondial à Cannes) : critique du racisme ordinaire. Martha (1974).</t>
  </si>
  <si>
    <t>1975-1976</t>
  </si>
  <si>
    <t>,,,,,,,,,,,,,,,,</t>
  </si>
  <si>
    <t>Tensions sociales et crises du logement (Westend). Débats sur la visibilité des minorités. Lois limitant les libertés civiles.</t>
  </si>
  <si>
    <t>Développement du "film amphibie" (cinéma/TV). Le cinéma devient un outil de critique sociale directe.</t>
  </si>
  <si>
    <t>Scandale théâtral autour de la pièce L'Ordure, la ville et la mort (accusations d'antisémitisme). Liaison avec Armin Meier.</t>
  </si>
  <si>
    <t xml:space="preserve">Maman Küsters s'en va au ciel (1975). Le Droit du plus fort (1975) : </t>
  </si>
  <si>
    <t>Fassbinder y joue un rôle principal, assumant une visibilité politique de son homosexualité.</t>
  </si>
  <si>
    <t>1977-1979</t>
  </si>
  <si>
    <t>Automne Allemand (1977) : enlèvement de Schleyer, détournement du Landshut, morts à Stammheim. Diffusion de la série Holocaust (1979).</t>
  </si>
  <si>
    <t>Film collectif L'Allemagne en automne (1978). Le mouvement atteint son apogée thématique et politique.</t>
  </si>
  <si>
    <t>Suicide d'Armin Meier (31 mai 1978). Début de la collaboration avec Juliane Lorenz. Fassbinder se filme en crise, exposant son angoisse face à l'État.</t>
  </si>
  <si>
    <t>L'Année des treize lunes (1978) : œuvre radicale sur le désespoir. Le Mariage de Maria Braun (1979) : triomphe international, allégorie de la reconstruction.</t>
  </si>
  <si>
    <t>mélodrame</t>
  </si>
  <si>
    <t>1980-1981</t>
  </si>
  <si>
    <t>Fondation des Verts (1980). Manifestations écologistes. Fin de l'ère sociale-libérale.</t>
  </si>
  <si>
    <t>Production de séries monumentales pour la télévision. Le Nouveau Cinéma Allemand atteint une maturité formelle extrême.</t>
  </si>
  <si>
    <t>Travaille frénétiquement. Réalise son projet de vie : l'adaptation de Döblin. Épuisement physique dû aux excès.</t>
  </si>
  <si>
    <t>Monumental Berlin Alexanderplatz (1980, 15h). Suite de la Trilogie de la RFA : Lola, une femme allemande (1981) et Lili Marleen (1981).</t>
  </si>
  <si>
    <t>Victoire d'Helmut Kohl (CDU) en octobre. Fin d'une époque artistique et politique radicale.</t>
  </si>
  <si>
    <t>Mort de Fassbinder marquant symboliquement la fin du Nouveau Cinéma Allemand.</t>
  </si>
  <si>
    <t>Décès de Fassbinder le 10 juin à Munich, à l'âge de 37 ans (épuisement et overdose).</t>
  </si>
  <si>
    <t>Le Secret de Veronika Voss (Ours d'Or à Berlin). Querelle (œuvre posthume). Fassbinder laisse un héritage de plus de 40 films.</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</si>
  <si>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</si>
  <si>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</si>
  <si>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</si>
  <si>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</si>
  <si>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</si>
  <si>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</si>
  <si>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</si>
  <si>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</si>
  <si>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</si>
  <si>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</si>
  <si>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</si>
  <si>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</si>
  <si>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</si>
  <si>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 xml:space="preserve">Le cinéma est en ruines. Premières projection des Moulins de la mort (Todesmühen), un documentaire sur les camps de concentration. </t>
  </si>
  <si>
    <t>Naissance de Rainer Werner Fassbinder le 31 mai à Bad Wörishofen, Bavière. Père médecin généraliste, mère traductrice. Première année passée chez son oncle paternel</t>
  </si>
  <si>
    <t>Fassbinder.jpeg</t>
  </si>
  <si>
    <t>Fassbinder enfant</t>
  </si>
  <si>
    <t>Bohm.jpg</t>
  </si>
  <si>
    <t>Bohm</t>
  </si>
  <si>
    <t>Portrait d'Adenauer</t>
  </si>
  <si>
    <t xml:space="preserve">Le couple Fassbinder prend l'enfant avec eux à Munich. Une partie de la famille vit dans le même appartement, notamment la grand-mère de Rainer. </t>
  </si>
  <si>
    <t>Le procès de Nuremberg</t>
  </si>
  <si>
    <t>A l'initiative de Hans Werner Richter, fondation du Groupe 47 qui réunit l'avant-garde littéraire allemande qui compte dans ses membres Gunter Grass et Heinrich Boll.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t>
  </si>
  <si>
    <t>Elsaesser, Wikipedia</t>
  </si>
  <si>
    <t>Le blocus de Berlin en 3 minutes</t>
  </si>
  <si>
    <t>Comment Rossellini traduit-il une relation complexe avec l'Histoire, entre fascination, terreur, et hantise ?</t>
  </si>
  <si>
    <t xml:space="preserve">Création de l'OTAN. Création de la RFA. Konrad Adenauer est élu chancelier fédéral avec une courte majorité. La division de l'Allemande en deux états indépendants est reconnue par la communauté internationale. </t>
  </si>
  <si>
    <t>Bande Annonce de Fatherland de Pavel Pawlikoski</t>
  </si>
  <si>
    <t>,,,,,,,,,,,,,,,,,,,,,,,,,,,,,,,,,,,,,,,,,,,,,,,,,,,,,,,,,,,,,,,,,,,,,,,,,,,,,,,,,,,,,,,,,,,,,,,,,,,,,,,,,,,,,,,,,,,,,,,,,,,,,,,,,,,,,,,,,,,,,,,,,,,,,,,,,,,,,,,,,,,,,,,,,,,,,,,,,,,,,,,,,,,,,,,,,,,,,,,,,,,,,,,,,,,,,,,,,,,,,</t>
  </si>
  <si>
    <t xml:space="preserve">Création du Traité de "la communauté du charbon et de l'acier", début de la construction européenne autour de 6 pays. </t>
  </si>
  <si>
    <t xml:space="preserve">Traité de réparation avec Israël signé par Adenauer. </t>
  </si>
  <si>
    <t>Première émission de télévision dans le nord et l'ouest de la RFA</t>
  </si>
  <si>
    <t xml:space="preserve">La mère de RWF l'inscrit dans une école Rudolf Steiner. Nbx séjours de la mère à l'hopital ou en sanatorium. RWF est confié à des voisins ou parents. Il commence à fréquenter assidument les salles de cinéma. </t>
  </si>
  <si>
    <t>Fassbinder_enfant.jpeg</t>
  </si>
  <si>
    <t>Premiers concerts de rock'n'roll en RFA à Hambourg et Francfort.</t>
  </si>
  <si>
    <t>Bande Annonce de Sissi (1955)</t>
  </si>
  <si>
    <t>Karlheinz Böhm</t>
  </si>
  <si>
    <t xml:space="preserve">RWF est lycéen à Munich. </t>
  </si>
  <si>
    <t xml:space="preserve">RWF est pensionnaire à Augsbourg, sa mère étant hospitalisée pendant près de deux ans à la suite d'une opération. Il continue à fréquenter les salles obscures. </t>
  </si>
  <si>
    <t>RWF commence à écrire des nouvelles et de petites pièces de théâtre</t>
  </si>
  <si>
    <t>Rejoint l'Action-Theater (1967).</t>
  </si>
  <si>
    <t>Premier film accueili froidement à Berlin. Le second est une critique de la xénophobie et de l'apathie bourgeoise</t>
  </si>
  <si>
    <t>Fondation du Filmverlag der Autoren (1971). Accords Film-Télévision (1974) favorisant les coproductions (WDR).</t>
  </si>
  <si>
    <t>Découverte des mélodrames de Douglas Sirk . Période Sirkienne : Le Marchand des quatre saisons (1971). Tous les autres s'appellent Ali (1974, succès mondial à Cannes) : critique du racisme ordinaire. Martha (1974).</t>
  </si>
  <si>
    <t>Maria_braun.jpeg</t>
  </si>
  <si>
    <t>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</si>
  <si>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</si>
  <si>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</si>
  <si>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</si>
  <si>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</si>
  <si>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</si>
  <si>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</si>
  <si>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</si>
  <si>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</si>
  <si>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</si>
  <si>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</si>
  <si>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</si>
  <si>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</si>
  <si>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</si>
  <si>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</si>
  <si>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</si>
  <si>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</si>
  <si>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</si>
  <si>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</si>
  <si>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</si>
  <si>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</si>
  <si>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</si>
  <si>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</si>
  <si>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</si>
  <si>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</si>
  <si>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</si>
  <si>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</si>
  <si>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</si>
  <si>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</si>
  <si>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</si>
  <si>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</si>
  <si>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</si>
  <si>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</si>
  <si>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</si>
  <si>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</si>
  <si>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</si>
  <si>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</si>
  <si>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</si>
  <si>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</si>
  <si>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</si>
  <si>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</si>
  <si>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</si>
  <si>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</si>
  <si>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</si>
  <si>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</si>
  <si>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</si>
  <si>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</si>
  <si>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</si>
  <si>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</si>
  <si>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</si>
  <si>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</si>
  <si>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</si>
  <si>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</si>
  <si>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</si>
  <si>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</si>
  <si>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</si>
  <si>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</si>
  <si>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</si>
  <si>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</si>
  <si>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</si>
  <si>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</si>
  <si>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</si>
  <si>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</si>
  <si>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</si>
  <si>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</si>
  <si>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</si>
  <si>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</si>
  <si>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</si>
  <si>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film-1979-le-mariage-de-maria-braun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</si>
  <si>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</si>
  <si>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</si>
  <si>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</si>
  <si>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</si>
  <si>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</si>
  <si>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</si>
  <si>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</si>
  <si>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</si>
  <si>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</si>
  <si>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</si>
  <si>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</si>
  <si>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</si>
  <si>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</si>
  <si>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</si>
  <si>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</si>
  <si>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</si>
  <si>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</si>
  <si>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</si>
  <si>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</si>
  <si>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</si>
  <si>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</si>
  <si>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</si>
  <si>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</si>
  <si>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r>
      <t>Sissi</t>
    </r>
    <r>
      <rPr>
        <sz val="10"/>
        <color rgb="FF000000"/>
        <rFont val="Arial"/>
        <family val="2"/>
        <charset val="1"/>
      </rPr>
      <t xml:space="preserve"> d'Ernst Marischka avec Romy Schneider et Karlheinz Böhm, qui deviendra un acteur récurrent du cinéma de Fassbinder </t>
    </r>
  </si>
  <si>
    <r>
      <t xml:space="preserve">Avec sa femme Helene Weigel, Brecht fonde le Berliner Ensemble à Berlin-Est, où il crée </t>
    </r>
    <r>
      <rPr>
        <i/>
        <sz val="10"/>
        <color rgb="FF000000"/>
        <rFont val="Cambria"/>
        <family val="1"/>
      </rPr>
      <t>Mère courage et ses enfants</t>
    </r>
    <r>
      <rPr>
        <sz val="10"/>
        <color rgb="FF000000"/>
        <rFont val="Cambria"/>
        <family val="1"/>
      </rPr>
      <t>. Thomas Mann donne des conférences  en Allemagne de l'ouest et en République démocratique (voir le film de Pavec Pwalikoscki Fatherland (2026))</t>
    </r>
  </si>
  <si>
    <t xml:space="preserve">La mère de Fassbinder Lisolette Eder, née Pempeit, dite aussi Lilo Pempeit, est hospitalisée pour cause de tuberculose. </t>
  </si>
  <si>
    <t xml:space="preserve">Divorce des parents. Le père de RWF, Helmut Fassbinder, s'installe à Cologne. RWF reste à Munich avec sa mère. </t>
  </si>
  <si>
    <t>Allemagne_annee_0_Reichstag.mp4</t>
  </si>
  <si>
    <t>Révolte des ouvriers berlinois est-allemands écrasée par les chars soviétiques. 
Adenauer est réélu chancelier avec une coalition de centre droit</t>
  </si>
  <si>
    <t xml:space="preserve">La RFA devient un état souverain, doté de sa propre armée. Elle est admise au sein de l'OTAN.
Les premiers travailleurs immigrés commencent à arriver de Grèce et d'Italie pour soutenir le "miracle économique". </t>
  </si>
  <si>
    <t>La révolte des ouvriers est-allemands</t>
  </si>
  <si>
    <r>
      <t xml:space="preserve">Le film de Rossellini </t>
    </r>
    <r>
      <rPr>
        <i/>
        <sz val="10"/>
        <color rgb="FF000000"/>
        <rFont val="Arial"/>
        <family val="2"/>
        <charset val="1"/>
      </rPr>
      <t>Allemagne année zéro</t>
    </r>
    <r>
      <rPr>
        <sz val="10"/>
        <color rgb="FF000000"/>
        <rFont val="Arial"/>
        <family val="2"/>
        <charset val="1"/>
      </rPr>
      <t xml:space="preserve"> offre une vision réaliste et critique de l'Allemagne en ruine</t>
    </r>
  </si>
  <si>
    <r>
      <t xml:space="preserve">Allemagne année zéro </t>
    </r>
    <r>
      <rPr>
        <sz val="10"/>
        <color rgb="FF000000"/>
        <rFont val="Arial"/>
        <family val="2"/>
        <charset val="1"/>
      </rPr>
      <t>de Rossellini (1948) ) Le protagoniste Edmund tente de vendre un enregistrement d'un discours d'Hitler sur disque à des soldats alliés. La voix du Fürher se met à résonner dans les ruines du Reichstag, siège du parlement incendié en 1933</t>
    </r>
  </si>
  <si>
    <r>
      <t xml:space="preserve">Affiche du </t>
    </r>
    <r>
      <rPr>
        <i/>
        <sz val="10"/>
        <color rgb="FF000000"/>
        <rFont val="Arial"/>
        <family val="2"/>
        <charset val="1"/>
      </rPr>
      <t>Mariage de Maria Braun</t>
    </r>
  </si>
  <si>
    <t xml:space="preserve">Remariage de Lilo avec un journaliste, Wolff Eder. Relations difficiles entre RWF et son beau-père. 
RWF revient à Munich mais vit dans un pensionnat. </t>
  </si>
  <si>
    <t xml:space="preserve">Adenauer fête ses 80 ans. 
Le KDP, parti communiste ouest-allemand, est interdit. </t>
  </si>
  <si>
    <t>découvrir Brecht avec l'INA</t>
  </si>
  <si>
    <r>
      <t xml:space="preserve">Décès de Bertold Brecht
</t>
    </r>
    <r>
      <rPr>
        <i/>
        <sz val="10"/>
        <color theme="1"/>
        <rFont val="Arial"/>
        <family val="2"/>
      </rPr>
      <t xml:space="preserve">Nuit et brouillard </t>
    </r>
    <r>
      <rPr>
        <sz val="10"/>
        <color theme="1"/>
        <rFont val="Arial"/>
        <family val="2"/>
      </rPr>
      <t>d'Alain Resnais</t>
    </r>
  </si>
  <si>
    <t>Les alliés aident à la relance de médias d'information et promeuvent une nouvelle politique éducative. 
Les alliés organisent un vaste programme de démocratisation, décartellisation, démilatarisation et dénazification</t>
  </si>
  <si>
    <t xml:space="preserve">Fondation de la DEFA (Deutsch Film AG) à Berlin Est. Premières productions de films allemands de fiction depuis la fin de la guerre. 
Vogue de l'évocation mélancolique de la patrie dans la chanson de variété allemande avec "Möwe, di fliegst in die Heimat" de Magda Hein. </t>
  </si>
  <si>
    <t xml:space="preserve">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t>
  </si>
  <si>
    <t>Période de disette la plus terrible depuis la fin de la guerre. Les Trümmerfrauen (les femmes des ruines) constituent un des piliers de la reconstruction.</t>
  </si>
  <si>
    <t xml:space="preserve">"Nous devons nous débarrasser du passé pour construire l'avenir". </t>
  </si>
  <si>
    <t>De l'année zéro au miracle économique</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</si>
  <si>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mise en place à l'initiative des Etats-Unis et de la Grande-Bretagne.</t>
  </si>
  <si>
    <t>Création de la RFA (1949). Ère Adenauer. Miracle économique ( Wirtschaftswunder )  entre 1950 et 1965 l'économie ouest-allemande croît de 8,2% en moyenne (contre 5% en France pendant les 30 glorieuses). La coccinelle de Wolkswagen devient l'emblème du "miracle économique". 
Parallèmement, l'état  développe une politique sociale conservatrice. Réarmement de la RFA (1955).</t>
  </si>
  <si>
    <t>l-industrie-de-l-industrie-automobile-l-usine-volkswagen-vue-de-l-interieur-usine-wolfsburg-vers-1950.jpg</t>
  </si>
  <si>
    <t>La RFA signe le traité de Rome qui institue la Communautée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t>
  </si>
  <si>
    <t xml:space="preserve">Le constructeur automobile Volkswagen est privatisé à hauteur de 60% de son capital. 78% des ménages ouest-allemands disposent d'un réfrigérateur contre 25% en France. 42% mossèdent une voiture. La société de consommation de masse est une réalité en RFA.
Adolf Eichamnn est extradé en Israel. </t>
  </si>
  <si>
    <t xml:space="preserve">Le SPD (parti social-démocrate allemand), adopte le programme de Bad-Godesberg : pour la première fois, le SPD abandonne formellement les idées d'inspiration marxiste. Il reconnaît l'économie de marché et se dit lié au peuple entier, non aux seuls travailleurs.
</t>
  </si>
  <si>
    <r>
      <t xml:space="preserve">La vogue du </t>
    </r>
    <r>
      <rPr>
        <i/>
        <sz val="10"/>
        <color theme="1"/>
        <rFont val="Arial"/>
        <family val="2"/>
      </rPr>
      <t xml:space="preserve">hula-hoop </t>
    </r>
    <r>
      <rPr>
        <sz val="10"/>
        <color theme="1"/>
        <rFont val="Arial"/>
        <family val="2"/>
      </rPr>
      <t>déferle sur l'Allemagne</t>
    </r>
  </si>
  <si>
    <r>
      <t xml:space="preserve">Les œuvres de Fassbinder témoignent de l'influence du Rock'nRoll sur la culture populaire ouest-allemande, notamment dans </t>
    </r>
    <r>
      <rPr>
        <i/>
        <sz val="10"/>
        <rFont val="Arial"/>
        <family val="2"/>
      </rPr>
      <t xml:space="preserve">huit heures ne font pas un jour. </t>
    </r>
  </si>
  <si>
    <t>Exécution d'Eichmann après sa condamnation à la peine de mort</t>
  </si>
  <si>
    <r>
      <t xml:space="preserve">Fin de la série télévisée </t>
    </r>
    <r>
      <rPr>
        <i/>
        <sz val="10"/>
        <color theme="1"/>
        <rFont val="Arial"/>
        <family val="2"/>
      </rPr>
      <t xml:space="preserve">Die familie Schölermann </t>
    </r>
    <r>
      <rPr>
        <sz val="10"/>
        <color theme="1"/>
        <rFont val="Arial"/>
        <family val="2"/>
      </rPr>
      <t xml:space="preserve">(111 épisodes depuis 1954), extrêmement populaire (70% à 90% d'audience). Elle est remplacée par un nouveau feuilleton </t>
    </r>
    <r>
      <rPr>
        <i/>
        <sz val="10"/>
        <color theme="1"/>
        <rFont val="Arial"/>
        <family val="2"/>
      </rPr>
      <t>Die Firma Hesselbach</t>
    </r>
  </si>
  <si>
    <t xml:space="preserve">RWF interrompt ses études avant le baccalauréat. Il rejoint son père à Cologne. Il collecte pour lui des loyers dans des immeubles principalement occupés par des Gastarbeiters (travaillers "invités" c'est-à-dire immigrés). RWF prend des cours du soir, écrit, f'équente les bars homosexuels. </t>
  </si>
  <si>
    <t>RWF s'inscrit à l'école d'art dramatique Fridl Loeonhard</t>
  </si>
  <si>
    <t>RWF retourne à Munich et contitnue d'écire, pièces, romans, scénarios. Il travaille quelques temps au département documentation au journal Südedeutsche Zeitung . 
RWF prend des cours privés de théâtre.</t>
  </si>
  <si>
    <r>
      <rPr>
        <i/>
        <sz val="10"/>
        <color theme="1"/>
        <rFont val="Arial"/>
        <family val="2"/>
      </rPr>
      <t>L'opéra de quat'sous</t>
    </r>
    <r>
      <rPr>
        <sz val="10"/>
        <color theme="1"/>
        <rFont val="Arial"/>
        <family val="2"/>
      </rPr>
      <t xml:space="preserve"> de Brecht (1928) est diffusé à la télévision est obient un taux d'audience de 81,2%. 
L'appel à boycotter les pièces de Brecht est refusé par la plupart des théâtres ouest-allemands. </t>
    </r>
  </si>
  <si>
    <t>Construction du Mur de Berlin (1961). Adenauer est rééel chancelier fédéral.
Procès d'Eichmann en Israel.</t>
  </si>
  <si>
    <t>Visite de J.F Kennedy à Berlin-ouest : "ich bin ein Berliner". 
Procès d'Auschwitz à Francfort (1963-1965)
Démission d'Adenauer à 87 ans.</t>
  </si>
  <si>
    <t>A l'occaision du festival du film documentaire d'Oberhausen, publication du Manifeste d'Oberhausen : naissance du Nouveau Cinéma Allemand ("Le vieux cinéma est mort").
Les Beatles commencent leur carrière par un concert à Hambourg</t>
  </si>
  <si>
    <t>Machorka Muff de Jean-Marie Straub</t>
  </si>
  <si>
    <t>Jean-Marie Straub.jpg</t>
  </si>
  <si>
    <t>Jean-Marie Straub</t>
  </si>
  <si>
    <t xml:space="preserve">Court-métrage de Jean-Marie Straub. Straub exercera une influence certaine sur le début de carrière de RWF. Le court-métrage s'inscrit dans une réflexion sur le passé nazi de l'Allemagne et dénonce la remilitarisation de l'Allemagne. Pour en savoir plus : </t>
  </si>
  <si>
    <r>
      <t xml:space="preserve">Jean-Marie Straub sort son premier court-métrage, </t>
    </r>
    <r>
      <rPr>
        <i/>
        <sz val="10"/>
        <color theme="1"/>
        <rFont val="Arial"/>
        <family val="2"/>
      </rPr>
      <t>Machorka Muff,</t>
    </r>
    <r>
      <rPr>
        <sz val="10"/>
        <color theme="1"/>
        <rFont val="Arial"/>
        <family val="2"/>
      </rPr>
      <t xml:space="preserve"> d'après un roman d'Heinrich Böll.
Création de la deuxième chaîne de télévision ouest-allemande, la ZDF.
Hannah Arendt, qui a suivi le procès d'Eichmann pour la revue Le New-Yorke</t>
    </r>
    <r>
      <rPr>
        <i/>
        <sz val="10"/>
        <color theme="1"/>
        <rFont val="Arial"/>
        <family val="2"/>
      </rPr>
      <t>r</t>
    </r>
    <r>
      <rPr>
        <sz val="10"/>
        <color theme="1"/>
        <rFont val="Arial"/>
        <family val="2"/>
      </rPr>
      <t xml:space="preserve">,  publie </t>
    </r>
    <r>
      <rPr>
        <i/>
        <sz val="10"/>
        <color theme="1"/>
        <rFont val="Arial"/>
        <family val="2"/>
      </rPr>
      <t>Eichmann à Jérusalem : Rapport sur la banalité du mal</t>
    </r>
  </si>
  <si>
    <t>Portrait de Straub et carrière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</si>
</sst>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0"/>
      <name val="Arial"/>
      <family val="2"/>
    </font>
    <font>
      <sz val="12"/>
      <color theme="10"/>
      <name val="Aptos Narrow"/>
    </font>
    <font>
      <sz val="12"/>
      <color theme="1"/>
      <name val="Aptos Narrow"/>
    </font>
    <font>
      <sz val="10"/>
      <color theme="1"/>
      <name val="Arial"/>
      <family val="2"/>
    </font>
    <font>
      <sz val="12"/>
      <color rgb="FF1F4E78"/>
      <name val="Aptos Narrow"/>
    </font>
    <font>
      <sz val="10"/>
      <color rgb="FF1F4E78"/>
      <name val="Arial"/>
      <family val="2"/>
    </font>
    <font>
      <sz val="10"/>
      <color theme="0"/>
      <name val="Arial"/>
      <family val="2"/>
    </font>
    <font>
      <sz val="10"/>
      <color rgb="FF000000"/>
      <name val="Cambria"/>
      <family val="1"/>
    </font>
    <font>
      <i/>
      <sz val="10"/>
      <color rgb="FF000000"/>
      <name val="Arial"/>
      <family val="2"/>
      <charset val="1"/>
    </font>
    <font>
      <sz val="10"/>
      <color rgb="FF000000"/>
      <name val="Arial"/>
      <family val="2"/>
      <charset val="1"/>
    </font>
    <font>
      <b/>
      <sz val="15"/>
      <color rgb="FFFFFFFF"/>
      <name val="Aptos Narrow"/>
    </font>
    <font>
      <b/>
      <sz val="12"/>
      <color rgb="FF1F4E78"/>
      <name val="Aptos Narrow"/>
    </font>
    <font>
      <sz val="10"/>
      <name val="Arial"/>
      <family val="2"/>
    </font>
    <font>
      <i/>
      <sz val="10"/>
      <color rgb="FF000000"/>
      <name val="Cambria"/>
      <family val="1"/>
    </font>
    <font>
      <sz val="10"/>
      <color theme="1"/>
      <name val="Aptos Narrow"/>
    </font>
    <font>
      <sz val="10"/>
      <color theme="10"/>
      <name val="Aptos Narrow"/>
    </font>
    <font>
      <i/>
      <sz val="10"/>
      <color theme="1"/>
      <name val="Arial"/>
      <family val="2"/>
    </font>
    <font>
      <i/>
      <sz val="10"/>
      <name val="Arial"/>
      <family val="2"/>
    </font>
  </fonts>
  <fills count="6">
    <fill>
      <patternFill patternType="none"/>
    </fill>
    <fill>
      <patternFill patternType="gray125"/>
    </fill>
    <fill>
      <patternFill patternType="solid">
        <fgColor rgb="FFEEF5FA"/>
        <bgColor rgb="FFF2F7FB"/>
      </patternFill>
    </fill>
    <fill>
      <patternFill patternType="solid">
        <fgColor rgb="FFF2F7FB"/>
        <bgColor rgb="FFEEF5FA"/>
      </patternFill>
    </fill>
    <fill>
      <patternFill patternType="solid">
        <fgColor rgb="FF1F4E78"/>
        <bgColor rgb="FF003366"/>
      </patternFill>
    </fill>
    <fill>
      <patternFill patternType="solid">
        <fgColor rgb="FFD9EAF4"/>
        <bgColor rgb="FFEEF5FA"/>
      </patternFill>
    </fill>
  </fills>
  <borders count="1">
    <border>
      <left/>
      <right/>
      <top/>
      <bottom/>
      <diagonal/>
    </border>
  </borders>
  <cellStyleXfs count="3">
    <xf numFmtId="0" fontId="0" fillId="0" borderId="0"/>
    <xf numFmtId="0" fontId="1" fillId="0" borderId="0"/>
    <xf numFmtId="0" fontId="2" fillId="0" borderId="0"/>
  </cellStyleXfs>
  <cellXfs count="29">
    <xf numFmtId="0" fontId="0" fillId="0" borderId="0" xfId="0"/>
    <xf numFmtId="0" fontId="3" fillId="0" borderId="0" xfId="2" applyFont="1" applyAlignment="1">
      <alignment vertical="top" wrapText="1"/>
    </xf>
    <xf numFmtId="0" fontId="4" fillId="2" borderId="0" xfId="2" applyFont="1" applyFill="1" applyAlignment="1">
      <alignment wrapText="1"/>
    </xf>
    <xf numFmtId="0" fontId="1" fillId="0" borderId="0" xfId="1" applyAlignment="1">
      <alignment wrapText="1"/>
    </xf>
    <xf numFmtId="0" fontId="5" fillId="2" borderId="0" xfId="2" applyFont="1" applyFill="1" applyAlignment="1">
      <alignment vertical="top" wrapText="1"/>
    </xf>
    <xf numFmtId="0" fontId="2" fillId="0" borderId="0" xfId="2" applyAlignment="1">
      <alignment vertical="top" wrapText="1"/>
    </xf>
    <xf numFmtId="0" fontId="2" fillId="0" borderId="0" xfId="2" applyAlignment="1">
      <alignment horizontal="left" vertical="top" wrapText="1"/>
    </xf>
    <xf numFmtId="0" fontId="2" fillId="0" borderId="0" xfId="2" applyAlignment="1">
      <alignment wrapText="1"/>
    </xf>
    <xf numFmtId="0" fontId="6" fillId="0" borderId="0" xfId="2" applyFont="1" applyAlignment="1">
      <alignment vertical="top" wrapText="1"/>
    </xf>
    <xf numFmtId="0" fontId="7" fillId="0" borderId="0" xfId="2" applyFont="1" applyAlignment="1">
      <alignment vertical="top" wrapText="1"/>
    </xf>
    <xf numFmtId="0" fontId="8" fillId="0" borderId="0" xfId="2" applyFont="1" applyAlignment="1">
      <alignment vertical="top" wrapText="1"/>
    </xf>
    <xf numFmtId="0" fontId="3" fillId="0" borderId="0" xfId="2" applyFont="1" applyAlignment="1">
      <alignment wrapText="1"/>
    </xf>
    <xf numFmtId="0" fontId="2" fillId="3" borderId="0" xfId="2" applyFill="1" applyAlignment="1">
      <alignment wrapText="1"/>
    </xf>
    <xf numFmtId="0" fontId="10" fillId="4" borderId="0" xfId="2" applyFont="1" applyFill="1" applyAlignment="1">
      <alignment wrapText="1"/>
    </xf>
    <xf numFmtId="0" fontId="11" fillId="5" borderId="0" xfId="2" applyFont="1" applyFill="1" applyAlignment="1">
      <alignment wrapText="1"/>
    </xf>
    <xf numFmtId="0" fontId="6" fillId="0" borderId="0" xfId="0" applyFont="1"/>
    <xf numFmtId="0" fontId="1" fillId="0" borderId="0" xfId="1"/>
    <xf numFmtId="0" fontId="14" fillId="0" borderId="0" xfId="2" applyFont="1" applyAlignment="1">
      <alignment vertical="top"/>
    </xf>
    <xf numFmtId="0" fontId="15" fillId="0" borderId="0" xfId="1" applyFont="1" applyAlignment="1">
      <alignment wrapText="1"/>
    </xf>
    <xf numFmtId="0" fontId="12" fillId="0" borderId="0" xfId="0" applyFont="1"/>
    <xf numFmtId="0" fontId="14" fillId="0" borderId="0" xfId="2" applyFont="1" applyAlignment="1">
      <alignment wrapText="1"/>
    </xf>
    <xf numFmtId="0" fontId="15" fillId="0" borderId="0" xfId="1" applyFont="1"/>
    <xf numFmtId="0" fontId="14" fillId="0" borderId="0" xfId="2" applyFont="1" applyAlignment="1">
      <alignment horizontal="left" vertical="top" wrapText="1"/>
    </xf>
    <xf numFmtId="0" fontId="0" fillId="0" borderId="0" xfId="0" applyFont="1"/>
    <xf numFmtId="0" fontId="1" fillId="0" borderId="0" xfId="1" applyAlignment="1">
      <alignment vertical="top" wrapText="1"/>
    </xf>
    <xf numFmtId="0" fontId="0" fillId="0" borderId="0" xfId="0" applyAlignment="1">
      <alignment vertical="top"/>
    </xf>
    <xf numFmtId="0" fontId="0" fillId="0" borderId="0" xfId="0" applyFont="1" applyAlignment="1">
      <alignment wrapText="1"/>
    </xf>
    <xf numFmtId="0" fontId="0" fillId="0" borderId="0" xfId="0" applyAlignment="1">
      <alignment vertical="top" wrapText="1"/>
    </xf>
    <xf numFmtId="0" fontId="0" fillId="0" borderId="0" xfId="0" applyFont="1" applyAlignment="1">
      <alignment vertical="top" wrapText="1"/>
    </xf>
  </cellXfs>
  <cellStyles count="3">
    <cellStyle name="Lien hypertexte" xfId="1" xr:uid="{00000000-0005-0000-0000-000006000000}"/>
    <cellStyle name="Normal" xfId="0" builtinId="0"/>
    <cellStyle name="Normal 2" xfId="2" xr:uid="{00000000-0005-0000-0000-000007000000}"/>
  </cellStyles>
  <dxfs count="23">
    <dxf>
      <font>
        <strike val="0"/>
        <outline val="0"/>
        <shadow val="0"/>
        <u val="none"/>
        <vertAlign val="baseline"/>
        <sz val="10"/>
        <color theme="0"/>
        <name val="Arial"/>
        <family val="2"/>
        <scheme val="none"/>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color theme="0"/>
        <name val="Arial"/>
        <family val="2"/>
        <scheme val="none"/>
      </font>
    </dxf>
  </dxfs>
  <tableStyles count="0"/>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10" totalsRowShown="0" headerRowDxfId="0">
  <autoFilter ref="A1:N10" xr:uid="{00000000-0009-0000-0100-000003000000}"/>
  <tableColumns count="14">
    <tableColumn id="1" xr3:uid="{00000000-0010-0000-0000-000001000000}" name="ID période"/>
    <tableColumn id="2" xr3:uid="{00000000-0010-0000-0000-000002000000}" name="Titre période"/>
    <tableColumn id="3" xr3:uid="{00000000-0010-0000-0000-000003000000}" name="question directrice"/>
    <tableColumn id="4" xr3:uid="{00000000-0010-0000-0000-000004000000}" name="Événement histoire et politique"/>
    <tableColumn id="5" xr3:uid="{00000000-0010-0000-0000-000005000000}" name="Contexte culturel"/>
    <tableColumn id="6" xr3:uid="{00000000-0010-0000-0000-000006000000}" name="Biographie de Fassbinder"/>
    <tableColumn id="7" xr3:uid="{00000000-0010-0000-0000-000007000000}" name="Œuvres"/>
    <tableColumn id="8" xr3:uid="{00000000-0010-0000-0000-000008000000}" name="ID films - Œuvres"/>
    <tableColumn id="9" xr3:uid="{00000000-0010-0000-0000-000009000000}" name="Analyse et réception critique"/>
    <tableColumn id="10" xr3:uid="{00000000-0010-0000-0000-00000A000000}" name="Lien vidéo"/>
    <tableColumn id="11" xr3:uid="{00000000-0010-0000-0000-00000B000000}" name="Citation"/>
    <tableColumn id="12" xr3:uid="{00000000-0010-0000-0000-00000C000000}" name="Image"/>
    <tableColumn id="13" xr3:uid="{00000000-0010-0000-0000-00000D000000}" name="Legende"/>
    <tableColumn id="14" xr3:uid="{00000000-0010-0000-0000-00000E000000}" name="Notion"/>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28" totalsRowShown="0" headerRowDxfId="22" dataDxfId="1">
  <autoFilter ref="A1:T28" xr:uid="{00000000-0009-0000-0100-000002000000}"/>
  <tableColumns count="20">
    <tableColumn id="1" xr3:uid="{00000000-0010-0000-0100-000001000000}" name="Année" dataDxfId="21"/>
    <tableColumn id="2" xr3:uid="{00000000-0010-0000-0100-000002000000}" name="ID période" dataDxfId="20"/>
    <tableColumn id="3" xr3:uid="{00000000-0010-0000-0100-000003000000}" name="Événement histoire et politique" dataDxfId="19"/>
    <tableColumn id="4" xr3:uid="{00000000-0010-0000-0100-000004000000}" name="Contexte culturel" dataDxfId="18"/>
    <tableColumn id="5" xr3:uid="{00000000-0010-0000-0100-000005000000}" name="Biographie de Fassbinder" dataDxfId="17"/>
    <tableColumn id="6" xr3:uid="{00000000-0010-0000-0100-000006000000}" name="Œuvres" dataDxfId="16"/>
    <tableColumn id="7" xr3:uid="{00000000-0010-0000-0100-000007000000}" name="Analyse et Réception critique" dataDxfId="15"/>
    <tableColumn id="8" xr3:uid="{00000000-0010-0000-0100-000008000000}" name="Lien vidéo" dataDxfId="14"/>
    <tableColumn id="9" xr3:uid="{00000000-0010-0000-0100-000009000000}" name="Extraits" dataDxfId="13"/>
    <tableColumn id="10" xr3:uid="{00000000-0010-0000-0100-00000A000000}" name="Description de l'extrait" dataDxfId="12"/>
    <tableColumn id="11" xr3:uid="{00000000-0010-0000-0100-00000B000000}" name="Consigne d'analyse" dataDxfId="11"/>
    <tableColumn id="12" xr3:uid="{00000000-0010-0000-0100-00000C000000}" name="Citation" dataDxfId="10"/>
    <tableColumn id="13" xr3:uid="{00000000-0010-0000-0100-00000D000000}" name="Image 1" dataDxfId="9"/>
    <tableColumn id="14" xr3:uid="{00000000-0010-0000-0100-00000E000000}" name="Légende 1" dataDxfId="8"/>
    <tableColumn id="15" xr3:uid="{00000000-0010-0000-0100-00000F000000}" name="Image 2" dataDxfId="7"/>
    <tableColumn id="16" xr3:uid="{00000000-0010-0000-0100-000010000000}" name="Légende 2" dataDxfId="6"/>
    <tableColumn id="17" xr3:uid="{00000000-0010-0000-0100-000011000000}" name="Image 3" dataDxfId="5"/>
    <tableColumn id="18" xr3:uid="{00000000-0010-0000-0100-000012000000}" name="Légende 3" dataDxfId="4"/>
    <tableColumn id="19" xr3:uid="{00000000-0010-0000-0100-000013000000}" name="Notion" dataDxfId="3"/>
    <tableColumn id="20" xr3:uid="{00000000-0010-0000-0100-000014000000}" name="Source" dataDxfId="2"/>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youtube.com/watch?v=BC4BffkWyY8" TargetMode="Externa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youtube.com/watch?v=LdxyHs5IgLg"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www.lhistoire.fr/17-juin-1953-insurrection-&#224;-berlin-une-m&#233;moire-allemande" TargetMode="External"/><Relationship Id="rId5" Type="http://schemas.openxmlformats.org/officeDocument/2006/relationships/hyperlink" Target="https://youtu.be/Re2pxEMbZtA?si=l6bk_kzEIePjcE5M"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lemonde.fr/disparitions/article/2022/11/20/le-cineaste-jean-marie-straub-est-mort_6150761_3382.html?srsltid=ARcRdnpDLpgbyMuJ_BMuHIlLiO-ZJquwo9Xa-RH838OCOEYmmoYM1tFp"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zoomScaleNormal="100" workbookViewId="0">
      <selection activeCell="F4" sqref="F4"/>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15" customFormat="1" ht="28" customHeight="1" x14ac:dyDescent="0.15">
      <c r="A1" s="8" t="s">
        <v>0</v>
      </c>
      <c r="B1" s="8" t="s">
        <v>1</v>
      </c>
      <c r="C1" s="8" t="s">
        <v>2</v>
      </c>
      <c r="D1" s="8" t="s">
        <v>3</v>
      </c>
      <c r="E1" s="8" t="s">
        <v>4</v>
      </c>
      <c r="F1" s="8" t="s">
        <v>5</v>
      </c>
      <c r="G1" s="8" t="s">
        <v>6</v>
      </c>
      <c r="H1" s="8" t="s">
        <v>7</v>
      </c>
      <c r="I1" s="8" t="s">
        <v>8</v>
      </c>
      <c r="J1" s="8" t="s">
        <v>9</v>
      </c>
      <c r="K1" s="8" t="s">
        <v>10</v>
      </c>
      <c r="L1" s="8" t="s">
        <v>11</v>
      </c>
      <c r="M1" s="8" t="s">
        <v>12</v>
      </c>
      <c r="N1" s="8" t="s">
        <v>13</v>
      </c>
    </row>
    <row r="2" spans="1:14" ht="84" customHeight="1" x14ac:dyDescent="0.2">
      <c r="A2" s="1" t="s">
        <v>14</v>
      </c>
      <c r="B2" s="1" t="s">
        <v>15</v>
      </c>
      <c r="C2" s="1" t="s">
        <v>16</v>
      </c>
      <c r="D2" s="1" t="s">
        <v>17</v>
      </c>
      <c r="E2" s="1" t="s">
        <v>18</v>
      </c>
      <c r="F2" s="1" t="s">
        <v>19</v>
      </c>
      <c r="H2" s="2"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 t="s">
        <v>20</v>
      </c>
      <c r="J2" s="3" t="s">
        <v>21</v>
      </c>
      <c r="K2" t="s">
        <v>228</v>
      </c>
      <c r="L2" t="s">
        <v>22</v>
      </c>
      <c r="M2" t="s">
        <v>23</v>
      </c>
    </row>
    <row r="3" spans="1:14" s="25" customFormat="1" ht="98" customHeight="1" x14ac:dyDescent="0.15">
      <c r="A3" s="1" t="s">
        <v>24</v>
      </c>
      <c r="B3" s="1" t="s">
        <v>25</v>
      </c>
      <c r="C3" s="1"/>
      <c r="D3" s="1" t="s">
        <v>231</v>
      </c>
      <c r="E3" s="1" t="s">
        <v>26</v>
      </c>
      <c r="F3" s="1" t="s">
        <v>27</v>
      </c>
      <c r="G3" s="1"/>
      <c r="H3" s="4"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28</v>
      </c>
      <c r="J3" s="24" t="s">
        <v>229</v>
      </c>
      <c r="L3" s="27" t="s">
        <v>232</v>
      </c>
    </row>
    <row r="4" spans="1:14" ht="84" customHeight="1" x14ac:dyDescent="0.2">
      <c r="A4" s="1" t="s">
        <v>29</v>
      </c>
      <c r="B4" s="1" t="s">
        <v>30</v>
      </c>
      <c r="C4" s="1"/>
      <c r="D4" s="1" t="s">
        <v>31</v>
      </c>
      <c r="E4" s="1" t="s">
        <v>32</v>
      </c>
      <c r="F4" s="1" t="s">
        <v>33</v>
      </c>
      <c r="G4" s="1" t="s">
        <v>34</v>
      </c>
      <c r="H4" s="4"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J4" s="3" t="s">
        <v>35</v>
      </c>
      <c r="K4" s="5" t="s">
        <v>36</v>
      </c>
    </row>
    <row r="5" spans="1:14" ht="85" customHeight="1" x14ac:dyDescent="0.15">
      <c r="A5" s="1" t="s">
        <v>37</v>
      </c>
      <c r="B5" s="1" t="s">
        <v>38</v>
      </c>
      <c r="C5" s="1"/>
      <c r="D5" s="1" t="s">
        <v>39</v>
      </c>
      <c r="E5" s="1" t="s">
        <v>40</v>
      </c>
      <c r="F5" s="1" t="s">
        <v>41</v>
      </c>
      <c r="G5" s="1" t="s">
        <v>42</v>
      </c>
      <c r="H5" s="4"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v>
      </c>
      <c r="I5" s="6" t="s">
        <v>43</v>
      </c>
    </row>
    <row r="6" spans="1:14" ht="98" customHeight="1" x14ac:dyDescent="0.15">
      <c r="A6" s="1" t="s">
        <v>44</v>
      </c>
      <c r="B6" s="1" t="s">
        <v>45</v>
      </c>
      <c r="C6" s="1"/>
      <c r="D6" s="1" t="s">
        <v>46</v>
      </c>
      <c r="E6" s="1" t="s">
        <v>47</v>
      </c>
      <c r="F6" s="1" t="s">
        <v>48</v>
      </c>
      <c r="G6" s="1" t="s">
        <v>49</v>
      </c>
      <c r="H6" s="4"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film-1972-le-marchand-des-quatre-saisons; film-1974-tous-les-autres-s-appellent-ali; film-1974-martha</v>
      </c>
      <c r="I6" s="1"/>
    </row>
    <row r="7" spans="1:14" ht="70" customHeight="1" x14ac:dyDescent="0.2">
      <c r="A7" s="1" t="s">
        <v>50</v>
      </c>
      <c r="B7" s="1" t="s">
        <v>51</v>
      </c>
      <c r="C7" s="1"/>
      <c r="D7" s="1" t="s">
        <v>52</v>
      </c>
      <c r="E7" s="1" t="s">
        <v>53</v>
      </c>
      <c r="F7" s="1" t="s">
        <v>54</v>
      </c>
      <c r="G7" s="1" t="s">
        <v>55</v>
      </c>
      <c r="H7" s="4"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film-1975-le-droit-du-plus-fort; film-1975-maman-kusters-s-en-va-au-ciel</v>
      </c>
      <c r="I7" s="7" t="s">
        <v>56</v>
      </c>
    </row>
    <row r="8" spans="1:14" ht="84" customHeight="1" x14ac:dyDescent="0.15">
      <c r="A8" s="1" t="s">
        <v>57</v>
      </c>
      <c r="B8" s="1"/>
      <c r="C8" s="1"/>
      <c r="D8" s="1" t="s">
        <v>58</v>
      </c>
      <c r="E8" s="1" t="s">
        <v>59</v>
      </c>
      <c r="F8" s="1" t="s">
        <v>60</v>
      </c>
      <c r="G8" s="1" t="s">
        <v>61</v>
      </c>
      <c r="H8" s="4" t="str">
        <f>IF(G8="","",_xlfn.TEXTJOIN("; ",TRUE(),IF(ISNUMBER(SEARCH(SUBSTITUTE('Référentiel films'!$A$2,"’","'"),SUBSTITUTE(G8,"’","'"))),'Référentiel films'!$B$2,""),IF(ISNUMBER(SEARCH(SUBSTITUTE('Référentiel films'!$A$3,"’","'"),SUBSTITUTE(G8,"’","'"))),'Référentiel films'!$B$3,""),IF(ISNUMBER(SEARCH(SUBSTITUTE('Référentiel films'!$A$4,"’","'"),SUBSTITUTE(G8,"’","'"))),'Référentiel films'!$B$4,""),IF(ISNUMBER(SEARCH(SUBSTITUTE('Référentiel films'!$A$5,"’","'"),SUBSTITUTE(G8,"’","'"))),'Référentiel films'!$B$5,""),IF(ISNUMBER(SEARCH(SUBSTITUTE('Référentiel films'!$A$6,"’","'"),SUBSTITUTE(G8,"’","'"))),'Référentiel films'!$B$6,""),IF(ISNUMBER(SEARCH(SUBSTITUTE('Référentiel films'!$A$7,"’","'"),SUBSTITUTE(G8,"’","'"))),'Référentiel films'!$B$7,""),IF(ISNUMBER(SEARCH(SUBSTITUTE('Référentiel films'!$A$8,"’","'"),SUBSTITUTE(G8,"’","'"))),'Référentiel films'!$B$8,""),IF(ISNUMBER(SEARCH(SUBSTITUTE('Référentiel films'!$A$9,"’","'"),SUBSTITUTE(G8,"’","'"))),'Référentiel films'!$B$9,""),IF(ISNUMBER(SEARCH(SUBSTITUTE('Référentiel films'!$A$10,"’","'"),SUBSTITUTE(G8,"’","'"))),'Référentiel films'!$B$10,""),IF(ISNUMBER(SEARCH(SUBSTITUTE('Référentiel films'!$A$11,"’","'"),SUBSTITUTE(G8,"’","'"))),'Référentiel films'!$B$11,""),IF(ISNUMBER(SEARCH(SUBSTITUTE('Référentiel films'!$A$12,"’","'"),SUBSTITUTE(G8,"’","'"))),'Référentiel films'!$B$12,""),IF(ISNUMBER(SEARCH(SUBSTITUTE('Référentiel films'!$A$13,"’","'"),SUBSTITUTE(G8,"’","'"))),'Référentiel films'!$B$13,""),IF(ISNUMBER(SEARCH(SUBSTITUTE('Référentiel films'!$A$14,"’","'"),SUBSTITUTE(G8,"’","'"))),'Référentiel films'!$B$14,""),IF(ISNUMBER(SEARCH(SUBSTITUTE('Référentiel films'!$A$15,"’","'"),SUBSTITUTE(G8,"’","'"))),'Référentiel films'!$B$15,""),IF(ISNUMBER(SEARCH(SUBSTITUTE('Référentiel films'!$A$16,"’","'"),SUBSTITUTE(G8,"’","'"))),'Référentiel films'!$B$16,""),IF(ISNUMBER(SEARCH(SUBSTITUTE('Référentiel films'!$A$17,"’","'"),SUBSTITUTE(G8,"’","'"))),'Référentiel films'!$B$17,""),IF(ISNUMBER(SEARCH(SUBSTITUTE('Référentiel films'!$A$18,"’","'"),SUBSTITUTE(G8,"’","'"))),'Référentiel films'!$B$18,""),IF(ISNUMBER(SEARCH(SUBSTITUTE('Référentiel films'!$A$19,"’","'"),SUBSTITUTE(G8,"’","'"))),'Référentiel films'!$B$19,""),IF(ISNUMBER(SEARCH(SUBSTITUTE('Référentiel films'!$A$20,"’","'"),SUBSTITUTE(G8,"’","'"))),'Référentiel films'!$B$20,""),IF(ISNUMBER(SEARCH(SUBSTITUTE('Référentiel films'!$A$21,"’","'"),SUBSTITUTE(G8,"’","'"))),'Référentiel films'!$B$21,""),IF(ISNUMBER(SEARCH(SUBSTITUTE('Référentiel films'!$A$22,"’","'"),SUBSTITUTE(G8,"’","'"))),'Référentiel films'!$B$22,""),IF(ISNUMBER(SEARCH(SUBSTITUTE('Référentiel films'!$A$23,"’","'"),SUBSTITUTE(G8,"’","'"))),'Référentiel films'!$B$23,""),IF(ISNUMBER(SEARCH(SUBSTITUTE('Référentiel films'!$A$24,"’","'"),SUBSTITUTE(G8,"’","'"))),'Référentiel films'!$B$24,""),IF(ISNUMBER(SEARCH(SUBSTITUTE('Référentiel films'!$A$25,"’","'"),SUBSTITUTE(G8,"’","'"))),'Référentiel films'!$B$25,""),IF(ISNUMBER(SEARCH(SUBSTITUTE('Référentiel films'!$A$26,"’","'"),SUBSTITUTE(G8,"’","'"))),'Référentiel films'!$B$26,""),IF(ISNUMBER(SEARCH(SUBSTITUTE('Référentiel films'!$A$27,"’","'"),SUBSTITUTE(G8,"’","'"))),'Référentiel films'!$B$27,""),IF(ISNUMBER(SEARCH(SUBSTITUTE('Référentiel films'!$A$28,"’","'"),SUBSTITUTE(G8,"’","'"))),'Référentiel films'!$B$28,""),IF(ISNUMBER(SEARCH(SUBSTITUTE('Référentiel films'!$A$29,"’","'"),SUBSTITUTE(G8,"’","'"))),'Référentiel films'!$B$29,""),IF(ISNUMBER(SEARCH(SUBSTITUTE('Référentiel films'!$A$30,"’","'"),SUBSTITUTE(G8,"’","'"))),'Référentiel films'!$B$30,""),IF(ISNUMBER(SEARCH(SUBSTITUTE('Référentiel films'!$A$31,"’","'"),SUBSTITUTE(G8,"’","'"))),'Référentiel films'!$B$31,""),IF(ISNUMBER(SEARCH(SUBSTITUTE('Référentiel films'!$A$32,"’","'"),SUBSTITUTE(G8,"’","'"))),'Référentiel films'!$B$32,""),IF(ISNUMBER(SEARCH(SUBSTITUTE('Référentiel films'!$A$33,"’","'"),SUBSTITUTE(G8,"’","'"))),'Référentiel films'!$B$33,""),IF(ISNUMBER(SEARCH(SUBSTITUTE('Référentiel films'!$A$34,"’","'"),SUBSTITUTE(G8,"’","'"))),'Référentiel films'!$B$34,""),IF(ISNUMBER(SEARCH(SUBSTITUTE('Référentiel films'!$A$35,"’","'"),SUBSTITUTE(G8,"’","'"))),'Référentiel films'!$B$35,""),IF(ISNUMBER(SEARCH(SUBSTITUTE('Référentiel films'!$A$36,"’","'"),SUBSTITUTE(G8,"’","'"))),'Référentiel films'!$B$36,""),IF(ISNUMBER(SEARCH(SUBSTITUTE('Référentiel films'!$A$37,"’","'"),SUBSTITUTE(G8,"’","'"))),'Référentiel films'!$B$37,""),IF(ISNUMBER(SEARCH(SUBSTITUTE('Référentiel films'!$A$38,"’","'"),SUBSTITUTE(G8,"’","'"))),'Référentiel films'!$B$38,""),IF(ISNUMBER(SEARCH(SUBSTITUTE('Référentiel films'!$A$39,"’","'"),SUBSTITUTE(G8,"’","'"))),'Référentiel films'!$B$39,""),IF(ISNUMBER(SEARCH(SUBSTITUTE('Référentiel films'!$A$40,"’","'"),SUBSTITUTE(G8,"’","'"))),'Référentiel films'!$B$40,""),IF(ISNUMBER(SEARCH(SUBSTITUTE('Référentiel films'!$A$41,"’","'"),SUBSTITUTE(G8,"’","'"))),'Référentiel films'!$B$41,"")))</f>
        <v>film-1978-l-annee-des-treize-lunes; film-1979-le-mariage-de-maria-braun</v>
      </c>
      <c r="N8" t="s">
        <v>62</v>
      </c>
    </row>
    <row r="9" spans="1:14" ht="70" customHeight="1" x14ac:dyDescent="0.15">
      <c r="A9" s="1" t="s">
        <v>63</v>
      </c>
      <c r="B9" s="1"/>
      <c r="C9" s="1"/>
      <c r="D9" s="1" t="s">
        <v>64</v>
      </c>
      <c r="E9" s="1" t="s">
        <v>65</v>
      </c>
      <c r="F9" s="1" t="s">
        <v>66</v>
      </c>
      <c r="G9" s="1" t="s">
        <v>67</v>
      </c>
      <c r="H9" s="4" t="str">
        <f>IF(G9="","",_xlfn.TEXTJOIN("; ",TRUE(),IF(ISNUMBER(SEARCH(SUBSTITUTE('Référentiel films'!$A$2,"’","'"),SUBSTITUTE(G9,"’","'"))),'Référentiel films'!$B$2,""),IF(ISNUMBER(SEARCH(SUBSTITUTE('Référentiel films'!$A$3,"’","'"),SUBSTITUTE(G9,"’","'"))),'Référentiel films'!$B$3,""),IF(ISNUMBER(SEARCH(SUBSTITUTE('Référentiel films'!$A$4,"’","'"),SUBSTITUTE(G9,"’","'"))),'Référentiel films'!$B$4,""),IF(ISNUMBER(SEARCH(SUBSTITUTE('Référentiel films'!$A$5,"’","'"),SUBSTITUTE(G9,"’","'"))),'Référentiel films'!$B$5,""),IF(ISNUMBER(SEARCH(SUBSTITUTE('Référentiel films'!$A$6,"’","'"),SUBSTITUTE(G9,"’","'"))),'Référentiel films'!$B$6,""),IF(ISNUMBER(SEARCH(SUBSTITUTE('Référentiel films'!$A$7,"’","'"),SUBSTITUTE(G9,"’","'"))),'Référentiel films'!$B$7,""),IF(ISNUMBER(SEARCH(SUBSTITUTE('Référentiel films'!$A$8,"’","'"),SUBSTITUTE(G9,"’","'"))),'Référentiel films'!$B$8,""),IF(ISNUMBER(SEARCH(SUBSTITUTE('Référentiel films'!$A$9,"’","'"),SUBSTITUTE(G9,"’","'"))),'Référentiel films'!$B$9,""),IF(ISNUMBER(SEARCH(SUBSTITUTE('Référentiel films'!$A$10,"’","'"),SUBSTITUTE(G9,"’","'"))),'Référentiel films'!$B$10,""),IF(ISNUMBER(SEARCH(SUBSTITUTE('Référentiel films'!$A$11,"’","'"),SUBSTITUTE(G9,"’","'"))),'Référentiel films'!$B$11,""),IF(ISNUMBER(SEARCH(SUBSTITUTE('Référentiel films'!$A$12,"’","'"),SUBSTITUTE(G9,"’","'"))),'Référentiel films'!$B$12,""),IF(ISNUMBER(SEARCH(SUBSTITUTE('Référentiel films'!$A$13,"’","'"),SUBSTITUTE(G9,"’","'"))),'Référentiel films'!$B$13,""),IF(ISNUMBER(SEARCH(SUBSTITUTE('Référentiel films'!$A$14,"’","'"),SUBSTITUTE(G9,"’","'"))),'Référentiel films'!$B$14,""),IF(ISNUMBER(SEARCH(SUBSTITUTE('Référentiel films'!$A$15,"’","'"),SUBSTITUTE(G9,"’","'"))),'Référentiel films'!$B$15,""),IF(ISNUMBER(SEARCH(SUBSTITUTE('Référentiel films'!$A$16,"’","'"),SUBSTITUTE(G9,"’","'"))),'Référentiel films'!$B$16,""),IF(ISNUMBER(SEARCH(SUBSTITUTE('Référentiel films'!$A$17,"’","'"),SUBSTITUTE(G9,"’","'"))),'Référentiel films'!$B$17,""),IF(ISNUMBER(SEARCH(SUBSTITUTE('Référentiel films'!$A$18,"’","'"),SUBSTITUTE(G9,"’","'"))),'Référentiel films'!$B$18,""),IF(ISNUMBER(SEARCH(SUBSTITUTE('Référentiel films'!$A$19,"’","'"),SUBSTITUTE(G9,"’","'"))),'Référentiel films'!$B$19,""),IF(ISNUMBER(SEARCH(SUBSTITUTE('Référentiel films'!$A$20,"’","'"),SUBSTITUTE(G9,"’","'"))),'Référentiel films'!$B$20,""),IF(ISNUMBER(SEARCH(SUBSTITUTE('Référentiel films'!$A$21,"’","'"),SUBSTITUTE(G9,"’","'"))),'Référentiel films'!$B$21,""),IF(ISNUMBER(SEARCH(SUBSTITUTE('Référentiel films'!$A$22,"’","'"),SUBSTITUTE(G9,"’","'"))),'Référentiel films'!$B$22,""),IF(ISNUMBER(SEARCH(SUBSTITUTE('Référentiel films'!$A$23,"’","'"),SUBSTITUTE(G9,"’","'"))),'Référentiel films'!$B$23,""),IF(ISNUMBER(SEARCH(SUBSTITUTE('Référentiel films'!$A$24,"’","'"),SUBSTITUTE(G9,"’","'"))),'Référentiel films'!$B$24,""),IF(ISNUMBER(SEARCH(SUBSTITUTE('Référentiel films'!$A$25,"’","'"),SUBSTITUTE(G9,"’","'"))),'Référentiel films'!$B$25,""),IF(ISNUMBER(SEARCH(SUBSTITUTE('Référentiel films'!$A$26,"’","'"),SUBSTITUTE(G9,"’","'"))),'Référentiel films'!$B$26,""),IF(ISNUMBER(SEARCH(SUBSTITUTE('Référentiel films'!$A$27,"’","'"),SUBSTITUTE(G9,"’","'"))),'Référentiel films'!$B$27,""),IF(ISNUMBER(SEARCH(SUBSTITUTE('Référentiel films'!$A$28,"’","'"),SUBSTITUTE(G9,"’","'"))),'Référentiel films'!$B$28,""),IF(ISNUMBER(SEARCH(SUBSTITUTE('Référentiel films'!$A$29,"’","'"),SUBSTITUTE(G9,"’","'"))),'Référentiel films'!$B$29,""),IF(ISNUMBER(SEARCH(SUBSTITUTE('Référentiel films'!$A$30,"’","'"),SUBSTITUTE(G9,"’","'"))),'Référentiel films'!$B$30,""),IF(ISNUMBER(SEARCH(SUBSTITUTE('Référentiel films'!$A$31,"’","'"),SUBSTITUTE(G9,"’","'"))),'Référentiel films'!$B$31,""),IF(ISNUMBER(SEARCH(SUBSTITUTE('Référentiel films'!$A$32,"’","'"),SUBSTITUTE(G9,"’","'"))),'Référentiel films'!$B$32,""),IF(ISNUMBER(SEARCH(SUBSTITUTE('Référentiel films'!$A$33,"’","'"),SUBSTITUTE(G9,"’","'"))),'Référentiel films'!$B$33,""),IF(ISNUMBER(SEARCH(SUBSTITUTE('Référentiel films'!$A$34,"’","'"),SUBSTITUTE(G9,"’","'"))),'Référentiel films'!$B$34,""),IF(ISNUMBER(SEARCH(SUBSTITUTE('Référentiel films'!$A$35,"’","'"),SUBSTITUTE(G9,"’","'"))),'Référentiel films'!$B$35,""),IF(ISNUMBER(SEARCH(SUBSTITUTE('Référentiel films'!$A$36,"’","'"),SUBSTITUTE(G9,"’","'"))),'Référentiel films'!$B$36,""),IF(ISNUMBER(SEARCH(SUBSTITUTE('Référentiel films'!$A$37,"’","'"),SUBSTITUTE(G9,"’","'"))),'Référentiel films'!$B$37,""),IF(ISNUMBER(SEARCH(SUBSTITUTE('Référentiel films'!$A$38,"’","'"),SUBSTITUTE(G9,"’","'"))),'Référentiel films'!$B$38,""),IF(ISNUMBER(SEARCH(SUBSTITUTE('Référentiel films'!$A$39,"’","'"),SUBSTITUTE(G9,"’","'"))),'Référentiel films'!$B$39,""),IF(ISNUMBER(SEARCH(SUBSTITUTE('Référentiel films'!$A$40,"’","'"),SUBSTITUTE(G9,"’","'"))),'Référentiel films'!$B$40,""),IF(ISNUMBER(SEARCH(SUBSTITUTE('Référentiel films'!$A$41,"’","'"),SUBSTITUTE(G9,"’","'"))),'Référentiel films'!$B$41,"")))</f>
        <v>film-1980-berlin-alexanderplatz; film-1981-lili-marleen; film-1981-lola-une-femme-allemande</v>
      </c>
    </row>
    <row r="10" spans="1:14" ht="70" customHeight="1" x14ac:dyDescent="0.15">
      <c r="A10" s="1">
        <v>1982</v>
      </c>
      <c r="B10" s="1"/>
      <c r="C10" s="1"/>
      <c r="D10" s="1" t="s">
        <v>68</v>
      </c>
      <c r="E10" s="1" t="s">
        <v>69</v>
      </c>
      <c r="F10" s="1" t="s">
        <v>70</v>
      </c>
      <c r="G10" s="1" t="s">
        <v>71</v>
      </c>
      <c r="H10" s="4" t="str">
        <f>IF(G10="","",_xlfn.TEXTJOIN("; ",TRUE(),IF(ISNUMBER(SEARCH(SUBSTITUTE('Référentiel films'!$A$2,"’","'"),SUBSTITUTE(G10,"’","'"))),'Référentiel films'!$B$2,""),IF(ISNUMBER(SEARCH(SUBSTITUTE('Référentiel films'!$A$3,"’","'"),SUBSTITUTE(G10,"’","'"))),'Référentiel films'!$B$3,""),IF(ISNUMBER(SEARCH(SUBSTITUTE('Référentiel films'!$A$4,"’","'"),SUBSTITUTE(G10,"’","'"))),'Référentiel films'!$B$4,""),IF(ISNUMBER(SEARCH(SUBSTITUTE('Référentiel films'!$A$5,"’","'"),SUBSTITUTE(G10,"’","'"))),'Référentiel films'!$B$5,""),IF(ISNUMBER(SEARCH(SUBSTITUTE('Référentiel films'!$A$6,"’","'"),SUBSTITUTE(G10,"’","'"))),'Référentiel films'!$B$6,""),IF(ISNUMBER(SEARCH(SUBSTITUTE('Référentiel films'!$A$7,"’","'"),SUBSTITUTE(G10,"’","'"))),'Référentiel films'!$B$7,""),IF(ISNUMBER(SEARCH(SUBSTITUTE('Référentiel films'!$A$8,"’","'"),SUBSTITUTE(G10,"’","'"))),'Référentiel films'!$B$8,""),IF(ISNUMBER(SEARCH(SUBSTITUTE('Référentiel films'!$A$9,"’","'"),SUBSTITUTE(G10,"’","'"))),'Référentiel films'!$B$9,""),IF(ISNUMBER(SEARCH(SUBSTITUTE('Référentiel films'!$A$10,"’","'"),SUBSTITUTE(G10,"’","'"))),'Référentiel films'!$B$10,""),IF(ISNUMBER(SEARCH(SUBSTITUTE('Référentiel films'!$A$11,"’","'"),SUBSTITUTE(G10,"’","'"))),'Référentiel films'!$B$11,""),IF(ISNUMBER(SEARCH(SUBSTITUTE('Référentiel films'!$A$12,"’","'"),SUBSTITUTE(G10,"’","'"))),'Référentiel films'!$B$12,""),IF(ISNUMBER(SEARCH(SUBSTITUTE('Référentiel films'!$A$13,"’","'"),SUBSTITUTE(G10,"’","'"))),'Référentiel films'!$B$13,""),IF(ISNUMBER(SEARCH(SUBSTITUTE('Référentiel films'!$A$14,"’","'"),SUBSTITUTE(G10,"’","'"))),'Référentiel films'!$B$14,""),IF(ISNUMBER(SEARCH(SUBSTITUTE('Référentiel films'!$A$15,"’","'"),SUBSTITUTE(G10,"’","'"))),'Référentiel films'!$B$15,""),IF(ISNUMBER(SEARCH(SUBSTITUTE('Référentiel films'!$A$16,"’","'"),SUBSTITUTE(G10,"’","'"))),'Référentiel films'!$B$16,""),IF(ISNUMBER(SEARCH(SUBSTITUTE('Référentiel films'!$A$17,"’","'"),SUBSTITUTE(G10,"’","'"))),'Référentiel films'!$B$17,""),IF(ISNUMBER(SEARCH(SUBSTITUTE('Référentiel films'!$A$18,"’","'"),SUBSTITUTE(G10,"’","'"))),'Référentiel films'!$B$18,""),IF(ISNUMBER(SEARCH(SUBSTITUTE('Référentiel films'!$A$19,"’","'"),SUBSTITUTE(G10,"’","'"))),'Référentiel films'!$B$19,""),IF(ISNUMBER(SEARCH(SUBSTITUTE('Référentiel films'!$A$20,"’","'"),SUBSTITUTE(G10,"’","'"))),'Référentiel films'!$B$20,""),IF(ISNUMBER(SEARCH(SUBSTITUTE('Référentiel films'!$A$21,"’","'"),SUBSTITUTE(G10,"’","'"))),'Référentiel films'!$B$21,""),IF(ISNUMBER(SEARCH(SUBSTITUTE('Référentiel films'!$A$22,"’","'"),SUBSTITUTE(G10,"’","'"))),'Référentiel films'!$B$22,""),IF(ISNUMBER(SEARCH(SUBSTITUTE('Référentiel films'!$A$23,"’","'"),SUBSTITUTE(G10,"’","'"))),'Référentiel films'!$B$23,""),IF(ISNUMBER(SEARCH(SUBSTITUTE('Référentiel films'!$A$24,"’","'"),SUBSTITUTE(G10,"’","'"))),'Référentiel films'!$B$24,""),IF(ISNUMBER(SEARCH(SUBSTITUTE('Référentiel films'!$A$25,"’","'"),SUBSTITUTE(G10,"’","'"))),'Référentiel films'!$B$25,""),IF(ISNUMBER(SEARCH(SUBSTITUTE('Référentiel films'!$A$26,"’","'"),SUBSTITUTE(G10,"’","'"))),'Référentiel films'!$B$26,""),IF(ISNUMBER(SEARCH(SUBSTITUTE('Référentiel films'!$A$27,"’","'"),SUBSTITUTE(G10,"’","'"))),'Référentiel films'!$B$27,""),IF(ISNUMBER(SEARCH(SUBSTITUTE('Référentiel films'!$A$28,"’","'"),SUBSTITUTE(G10,"’","'"))),'Référentiel films'!$B$28,""),IF(ISNUMBER(SEARCH(SUBSTITUTE('Référentiel films'!$A$29,"’","'"),SUBSTITUTE(G10,"’","'"))),'Référentiel films'!$B$29,""),IF(ISNUMBER(SEARCH(SUBSTITUTE('Référentiel films'!$A$30,"’","'"),SUBSTITUTE(G10,"’","'"))),'Référentiel films'!$B$30,""),IF(ISNUMBER(SEARCH(SUBSTITUTE('Référentiel films'!$A$31,"’","'"),SUBSTITUTE(G10,"’","'"))),'Référentiel films'!$B$31,""),IF(ISNUMBER(SEARCH(SUBSTITUTE('Référentiel films'!$A$32,"’","'"),SUBSTITUTE(G10,"’","'"))),'Référentiel films'!$B$32,""),IF(ISNUMBER(SEARCH(SUBSTITUTE('Référentiel films'!$A$33,"’","'"),SUBSTITUTE(G10,"’","'"))),'Référentiel films'!$B$33,""),IF(ISNUMBER(SEARCH(SUBSTITUTE('Référentiel films'!$A$34,"’","'"),SUBSTITUTE(G10,"’","'"))),'Référentiel films'!$B$34,""),IF(ISNUMBER(SEARCH(SUBSTITUTE('Référentiel films'!$A$35,"’","'"),SUBSTITUTE(G10,"’","'"))),'Référentiel films'!$B$35,""),IF(ISNUMBER(SEARCH(SUBSTITUTE('Référentiel films'!$A$36,"’","'"),SUBSTITUTE(G10,"’","'"))),'Référentiel films'!$B$36,""),IF(ISNUMBER(SEARCH(SUBSTITUTE('Référentiel films'!$A$37,"’","'"),SUBSTITUTE(G10,"’","'"))),'Référentiel films'!$B$37,""),IF(ISNUMBER(SEARCH(SUBSTITUTE('Référentiel films'!$A$38,"’","'"),SUBSTITUTE(G10,"’","'"))),'Référentiel films'!$B$38,""),IF(ISNUMBER(SEARCH(SUBSTITUTE('Référentiel films'!$A$39,"’","'"),SUBSTITUTE(G10,"’","'"))),'Référentiel films'!$B$39,""),IF(ISNUMBER(SEARCH(SUBSTITUTE('Référentiel films'!$A$40,"’","'"),SUBSTITUTE(G10,"’","'"))),'Référentiel films'!$B$40,""),IF(ISNUMBER(SEARCH(SUBSTITUTE('Référentiel films'!$A$41,"’","'"),SUBSTITUTE(G10,"’","'"))),'Référentiel films'!$B$41,"")))</f>
        <v>film-1981-le-secret-de-veronika-voss; film-1982-querelle</v>
      </c>
    </row>
  </sheetData>
  <hyperlinks>
    <hyperlink ref="J2" r:id="rId1" xr:uid="{00000000-0004-0000-0000-000000000000}"/>
    <hyperlink ref="J4" r:id="rId2" xr:uid="{00000000-0004-0000-0000-000001000000}"/>
    <hyperlink ref="J3" r:id="rId3" display="de l'année zéro au mircale économique" xr:uid="{2FE19C63-891E-0F4A-B78A-8428D67FA342}"/>
  </hyperlinks>
  <pageMargins left="0.7" right="0.7" top="0.75" bottom="0.75" header="0.511811023622047" footer="0.511811023622047"/>
  <pageSetup paperSize="9" orientation="portrait" horizontalDpi="300" verticalDpi="300"/>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28"/>
  <sheetViews>
    <sheetView tabSelected="1" topLeftCell="A14" zoomScaleNormal="100" workbookViewId="0">
      <selection activeCell="I20" sqref="I20"/>
    </sheetView>
  </sheetViews>
  <sheetFormatPr baseColWidth="10" defaultColWidth="13" defaultRowHeight="13" x14ac:dyDescent="0.15"/>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15" customFormat="1" ht="28" customHeight="1" x14ac:dyDescent="0.15">
      <c r="A1" s="8" t="s">
        <v>72</v>
      </c>
      <c r="B1" s="8" t="s">
        <v>0</v>
      </c>
      <c r="C1" s="8" t="s">
        <v>3</v>
      </c>
      <c r="D1" s="8" t="s">
        <v>4</v>
      </c>
      <c r="E1" s="8" t="s">
        <v>5</v>
      </c>
      <c r="F1" s="8" t="s">
        <v>6</v>
      </c>
      <c r="G1" s="8" t="s">
        <v>73</v>
      </c>
      <c r="H1" s="8" t="s">
        <v>9</v>
      </c>
      <c r="I1" s="8" t="s">
        <v>74</v>
      </c>
      <c r="J1" s="8" t="s">
        <v>75</v>
      </c>
      <c r="K1" s="8" t="s">
        <v>76</v>
      </c>
      <c r="L1" s="8" t="s">
        <v>10</v>
      </c>
      <c r="M1" s="8" t="s">
        <v>77</v>
      </c>
      <c r="N1" s="8" t="s">
        <v>78</v>
      </c>
      <c r="O1" s="8" t="s">
        <v>79</v>
      </c>
      <c r="P1" s="8" t="s">
        <v>80</v>
      </c>
      <c r="Q1" s="8" t="s">
        <v>81</v>
      </c>
      <c r="R1" s="8" t="s">
        <v>82</v>
      </c>
      <c r="S1" s="8" t="s">
        <v>13</v>
      </c>
      <c r="T1" s="8" t="s">
        <v>83</v>
      </c>
      <c r="U1" s="15" t="s">
        <v>84</v>
      </c>
    </row>
    <row r="2" spans="1:21" ht="95" customHeight="1" x14ac:dyDescent="0.2">
      <c r="A2" s="1">
        <v>1945</v>
      </c>
      <c r="B2" s="1" t="s">
        <v>14</v>
      </c>
      <c r="C2" s="1" t="s">
        <v>224</v>
      </c>
      <c r="D2" s="1" t="s">
        <v>85</v>
      </c>
      <c r="E2" s="1" t="s">
        <v>86</v>
      </c>
      <c r="F2" s="17"/>
      <c r="G2" s="1"/>
      <c r="H2" s="18" t="s">
        <v>21</v>
      </c>
      <c r="I2" s="18"/>
      <c r="J2" s="18"/>
      <c r="K2" s="18"/>
      <c r="L2" s="1"/>
      <c r="M2" s="19" t="s">
        <v>87</v>
      </c>
      <c r="N2" s="19" t="s">
        <v>88</v>
      </c>
      <c r="O2" s="19" t="s">
        <v>89</v>
      </c>
      <c r="P2" s="19" t="s">
        <v>90</v>
      </c>
      <c r="Q2" s="19" t="s">
        <v>22</v>
      </c>
      <c r="R2" s="19" t="s">
        <v>91</v>
      </c>
      <c r="S2" s="19"/>
      <c r="T2" s="19"/>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121" customHeight="1" x14ac:dyDescent="0.2">
      <c r="A3" s="1">
        <v>1946</v>
      </c>
      <c r="B3" s="1" t="s">
        <v>14</v>
      </c>
      <c r="C3" s="1" t="s">
        <v>226</v>
      </c>
      <c r="D3" s="1" t="s">
        <v>225</v>
      </c>
      <c r="E3" s="1" t="s">
        <v>92</v>
      </c>
      <c r="F3" s="19"/>
      <c r="G3" s="1"/>
      <c r="H3" s="18" t="s">
        <v>93</v>
      </c>
      <c r="I3" s="18"/>
      <c r="J3" s="18"/>
      <c r="K3" s="18"/>
      <c r="L3" s="1"/>
      <c r="M3" s="19"/>
      <c r="N3" s="19"/>
      <c r="O3" s="19"/>
      <c r="P3" s="19"/>
      <c r="Q3" s="19"/>
      <c r="R3" s="19"/>
      <c r="S3" s="19"/>
      <c r="T3" s="19"/>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244" customHeight="1" x14ac:dyDescent="0.2">
      <c r="A4" s="1">
        <v>1947</v>
      </c>
      <c r="B4" s="1" t="s">
        <v>24</v>
      </c>
      <c r="C4" s="1" t="s">
        <v>227</v>
      </c>
      <c r="D4" s="1" t="s">
        <v>94</v>
      </c>
      <c r="E4" s="1"/>
      <c r="F4" s="19"/>
      <c r="G4" s="1"/>
      <c r="H4" s="18"/>
      <c r="I4" s="19"/>
      <c r="J4" s="19"/>
      <c r="K4" s="19"/>
      <c r="L4" s="1"/>
      <c r="M4" s="19"/>
      <c r="N4" s="19"/>
      <c r="O4" s="19"/>
      <c r="P4" s="19"/>
      <c r="Q4" s="19"/>
      <c r="R4" s="19"/>
      <c r="S4" s="19"/>
      <c r="T4" s="20" t="s">
        <v>95</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84" customHeight="1" x14ac:dyDescent="0.2">
      <c r="A5" s="1">
        <v>1948</v>
      </c>
      <c r="B5" s="1" t="s">
        <v>24</v>
      </c>
      <c r="C5" s="1" t="s">
        <v>230</v>
      </c>
      <c r="D5" s="9" t="s">
        <v>217</v>
      </c>
      <c r="E5" s="1"/>
      <c r="F5" s="19"/>
      <c r="G5" s="1"/>
      <c r="H5" s="18" t="s">
        <v>96</v>
      </c>
      <c r="I5" s="1" t="s">
        <v>213</v>
      </c>
      <c r="J5" s="10" t="s">
        <v>218</v>
      </c>
      <c r="K5" s="1" t="s">
        <v>97</v>
      </c>
      <c r="L5" s="1"/>
      <c r="M5" s="19"/>
      <c r="N5" s="19"/>
      <c r="O5" s="19"/>
      <c r="P5" s="19"/>
      <c r="Q5" s="19"/>
      <c r="R5" s="19"/>
      <c r="S5" s="19"/>
      <c r="T5" s="19"/>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118" customHeight="1" x14ac:dyDescent="0.2">
      <c r="A6" s="1">
        <v>1949</v>
      </c>
      <c r="B6" s="1" t="s">
        <v>24</v>
      </c>
      <c r="C6" s="1" t="s">
        <v>98</v>
      </c>
      <c r="D6" s="9" t="s">
        <v>210</v>
      </c>
      <c r="E6" s="1"/>
      <c r="F6" s="19"/>
      <c r="G6" s="1"/>
      <c r="H6" s="18" t="s">
        <v>99</v>
      </c>
      <c r="I6" s="18"/>
      <c r="J6" s="18"/>
      <c r="K6" s="18"/>
      <c r="L6" s="1"/>
      <c r="M6" s="19" t="s">
        <v>22</v>
      </c>
      <c r="N6" s="19" t="s">
        <v>91</v>
      </c>
      <c r="O6" s="19"/>
      <c r="P6" s="19"/>
      <c r="Q6" s="19"/>
      <c r="R6" s="19"/>
      <c r="S6" s="19"/>
      <c r="T6" s="19"/>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84" customHeight="1" x14ac:dyDescent="0.2">
      <c r="A7" s="1">
        <v>1950</v>
      </c>
      <c r="B7" s="1" t="s">
        <v>24</v>
      </c>
      <c r="C7" s="1"/>
      <c r="D7" s="1"/>
      <c r="E7" s="1" t="s">
        <v>211</v>
      </c>
      <c r="F7" s="19"/>
      <c r="G7" s="1"/>
      <c r="I7" s="18"/>
      <c r="J7" s="18"/>
      <c r="K7" s="18"/>
      <c r="L7" s="1"/>
      <c r="M7" s="19"/>
      <c r="N7" s="19"/>
      <c r="O7" s="19"/>
      <c r="P7" s="19"/>
      <c r="Q7" s="19"/>
      <c r="R7" s="19" t="s">
        <v>100</v>
      </c>
      <c r="S7" s="19"/>
      <c r="T7" s="19"/>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70" customHeight="1" x14ac:dyDescent="0.2">
      <c r="A8" s="1">
        <v>1951</v>
      </c>
      <c r="B8" s="1" t="s">
        <v>24</v>
      </c>
      <c r="C8" s="1" t="s">
        <v>101</v>
      </c>
      <c r="D8" s="1"/>
      <c r="E8" s="1" t="s">
        <v>212</v>
      </c>
      <c r="F8" s="1"/>
      <c r="G8" s="19"/>
      <c r="H8" s="19"/>
      <c r="I8" s="19"/>
      <c r="J8" s="19"/>
      <c r="K8" s="19"/>
      <c r="L8" s="19"/>
      <c r="M8" s="19"/>
      <c r="N8" s="19"/>
      <c r="O8" s="19"/>
      <c r="P8" s="19"/>
      <c r="Q8" s="19"/>
      <c r="R8" s="19"/>
      <c r="S8" s="19"/>
      <c r="T8" s="19"/>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84" x14ac:dyDescent="0.2">
      <c r="A9" s="1">
        <v>1952</v>
      </c>
      <c r="B9" s="1" t="s">
        <v>24</v>
      </c>
      <c r="C9" s="1" t="s">
        <v>102</v>
      </c>
      <c r="D9" s="1" t="s">
        <v>103</v>
      </c>
      <c r="E9" s="1" t="s">
        <v>104</v>
      </c>
      <c r="F9" s="1"/>
      <c r="G9" s="19"/>
      <c r="H9" s="19"/>
      <c r="I9" s="19"/>
      <c r="J9" s="19"/>
      <c r="K9" s="19"/>
      <c r="L9" s="19"/>
      <c r="M9" s="1" t="s">
        <v>105</v>
      </c>
      <c r="N9" s="1" t="s">
        <v>88</v>
      </c>
      <c r="O9" s="1"/>
      <c r="P9" s="1"/>
      <c r="Q9" s="1"/>
      <c r="R9" s="1"/>
      <c r="S9" s="1"/>
      <c r="T9" s="19"/>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70" x14ac:dyDescent="0.2">
      <c r="A10" s="1">
        <v>1953</v>
      </c>
      <c r="B10" s="1" t="s">
        <v>24</v>
      </c>
      <c r="C10" s="1" t="s">
        <v>214</v>
      </c>
      <c r="D10" s="1" t="s">
        <v>106</v>
      </c>
      <c r="E10" s="1"/>
      <c r="F10" s="1"/>
      <c r="G10" s="19"/>
      <c r="H10" s="21" t="s">
        <v>216</v>
      </c>
      <c r="I10" s="19"/>
      <c r="J10" s="19"/>
      <c r="K10" s="19"/>
      <c r="L10" s="19"/>
      <c r="M10" s="19"/>
      <c r="N10" s="19"/>
      <c r="O10" s="19"/>
      <c r="P10" s="19"/>
      <c r="Q10" s="19"/>
      <c r="R10" s="19"/>
      <c r="S10" s="19"/>
      <c r="T10" s="19"/>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98" x14ac:dyDescent="0.2">
      <c r="A11" s="1">
        <v>1954</v>
      </c>
      <c r="B11" s="1" t="s">
        <v>24</v>
      </c>
      <c r="C11" s="1" t="s">
        <v>215</v>
      </c>
      <c r="D11" s="10" t="s">
        <v>209</v>
      </c>
      <c r="E11" s="1"/>
      <c r="F11" s="1"/>
      <c r="G11" s="19"/>
      <c r="H11" s="18" t="s">
        <v>107</v>
      </c>
      <c r="I11" s="18"/>
      <c r="J11" s="18"/>
      <c r="K11" s="18"/>
      <c r="L11" s="19"/>
      <c r="M11" s="19" t="s">
        <v>89</v>
      </c>
      <c r="N11" s="19" t="s">
        <v>108</v>
      </c>
      <c r="O11" s="19"/>
      <c r="P11" s="19"/>
      <c r="Q11" s="19"/>
      <c r="R11" s="19"/>
      <c r="S11" s="19"/>
      <c r="T11" s="19"/>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7" x14ac:dyDescent="0.2">
      <c r="A12" s="1">
        <v>1955</v>
      </c>
      <c r="B12" s="1" t="s">
        <v>24</v>
      </c>
      <c r="C12" s="1"/>
      <c r="D12" s="1"/>
      <c r="E12" s="1" t="s">
        <v>109</v>
      </c>
      <c r="F12" s="1"/>
      <c r="G12" s="19"/>
      <c r="H12" s="19"/>
      <c r="I12" s="19"/>
      <c r="J12" s="19"/>
      <c r="K12" s="19"/>
      <c r="L12" s="19"/>
      <c r="M12" s="19"/>
      <c r="N12" s="19"/>
      <c r="O12" s="19"/>
      <c r="P12" s="19"/>
      <c r="Q12" s="19"/>
      <c r="R12" s="19"/>
      <c r="S12" s="19"/>
      <c r="T12" s="19"/>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70" x14ac:dyDescent="0.2">
      <c r="A13" s="1">
        <v>1956</v>
      </c>
      <c r="B13" s="1" t="s">
        <v>24</v>
      </c>
      <c r="C13" s="1" t="s">
        <v>221</v>
      </c>
      <c r="D13" s="1" t="s">
        <v>223</v>
      </c>
      <c r="E13" s="1" t="s">
        <v>110</v>
      </c>
      <c r="F13" s="1"/>
      <c r="G13" s="19"/>
      <c r="H13" s="3" t="s">
        <v>222</v>
      </c>
      <c r="I13" s="19"/>
      <c r="J13" s="19"/>
      <c r="K13" s="19"/>
      <c r="L13" s="19"/>
      <c r="M13" s="19"/>
      <c r="N13" s="19"/>
      <c r="O13" s="19"/>
      <c r="P13" s="19"/>
      <c r="Q13" s="19"/>
      <c r="R13" s="19"/>
      <c r="S13" s="19"/>
      <c r="T13" s="19"/>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168" x14ac:dyDescent="0.2">
      <c r="A14" s="1">
        <v>1957</v>
      </c>
      <c r="B14" s="1" t="s">
        <v>24</v>
      </c>
      <c r="C14" s="1" t="s">
        <v>233</v>
      </c>
      <c r="D14" s="1" t="s">
        <v>243</v>
      </c>
      <c r="E14" s="1"/>
      <c r="F14" s="1"/>
      <c r="G14" s="23"/>
      <c r="H14" s="18"/>
      <c r="I14" s="23"/>
      <c r="J14" s="23"/>
      <c r="K14" s="23"/>
      <c r="L14" s="23"/>
      <c r="M14" s="23"/>
      <c r="N14" s="23"/>
      <c r="O14" s="23"/>
      <c r="P14" s="23"/>
      <c r="Q14" s="23"/>
      <c r="R14" s="23"/>
      <c r="S14" s="23"/>
      <c r="T14" s="23"/>
      <c r="U14" s="2"/>
    </row>
    <row r="15" spans="1:21" ht="101" customHeight="1" x14ac:dyDescent="0.2">
      <c r="A15" s="1">
        <v>1959</v>
      </c>
      <c r="B15" s="1" t="s">
        <v>24</v>
      </c>
      <c r="C15" s="1" t="s">
        <v>235</v>
      </c>
      <c r="D15" s="1" t="s">
        <v>236</v>
      </c>
      <c r="E15" s="9" t="s">
        <v>220</v>
      </c>
      <c r="F15" s="1"/>
      <c r="G15" s="28" t="s">
        <v>237</v>
      </c>
      <c r="H15" s="19"/>
      <c r="I15" s="19"/>
      <c r="J15" s="19"/>
      <c r="K15" s="19"/>
      <c r="L15" s="19"/>
      <c r="M15" s="19"/>
      <c r="N15" s="19"/>
      <c r="O15" s="19"/>
      <c r="P15" s="19"/>
      <c r="Q15" s="19"/>
      <c r="R15" s="19"/>
      <c r="S15" s="19"/>
      <c r="T15" s="19"/>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152" customHeight="1" x14ac:dyDescent="0.2">
      <c r="A16" s="1">
        <v>1960</v>
      </c>
      <c r="B16" s="1" t="s">
        <v>24</v>
      </c>
      <c r="C16" s="1" t="s">
        <v>234</v>
      </c>
      <c r="D16" s="1" t="s">
        <v>239</v>
      </c>
      <c r="E16" s="1" t="s">
        <v>111</v>
      </c>
      <c r="F16" s="1"/>
      <c r="G16" s="19"/>
      <c r="H16" s="19"/>
      <c r="I16" s="19"/>
      <c r="J16" s="19"/>
      <c r="K16" s="19"/>
      <c r="L16" s="19"/>
      <c r="M16" s="19"/>
      <c r="N16" s="19"/>
      <c r="O16" s="19"/>
      <c r="P16" s="19"/>
      <c r="Q16" s="19"/>
      <c r="R16" s="19"/>
      <c r="S16" s="19"/>
      <c r="T16" s="19"/>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136" customHeight="1" x14ac:dyDescent="0.2">
      <c r="A17" s="1">
        <v>1961</v>
      </c>
      <c r="B17" s="1" t="s">
        <v>29</v>
      </c>
      <c r="C17" s="1" t="s">
        <v>244</v>
      </c>
      <c r="D17" s="19"/>
      <c r="E17" s="1" t="s">
        <v>240</v>
      </c>
      <c r="F17" s="19"/>
      <c r="G17" s="19"/>
      <c r="H17" s="19"/>
      <c r="I17" s="19"/>
      <c r="J17" s="19"/>
      <c r="K17" s="19"/>
      <c r="L17" s="19"/>
      <c r="M17" s="19"/>
      <c r="N17" s="19"/>
      <c r="O17" s="19"/>
      <c r="P17" s="19"/>
      <c r="Q17" s="19"/>
      <c r="R17" s="19"/>
      <c r="S17" s="19"/>
      <c r="T17" s="19"/>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56" customHeight="1" x14ac:dyDescent="0.2">
      <c r="A18" s="1">
        <v>1962</v>
      </c>
      <c r="B18" s="1" t="s">
        <v>29</v>
      </c>
      <c r="C18" s="1" t="s">
        <v>238</v>
      </c>
      <c r="D18" s="1" t="s">
        <v>246</v>
      </c>
      <c r="E18" s="1"/>
      <c r="F18" s="1"/>
      <c r="G18" s="19"/>
      <c r="H18" s="19"/>
      <c r="I18" s="19"/>
      <c r="J18" s="19"/>
      <c r="K18" s="19"/>
      <c r="L18" s="19"/>
      <c r="M18" s="19"/>
      <c r="N18" s="19"/>
      <c r="O18" s="19"/>
      <c r="P18" s="19"/>
      <c r="Q18" s="19"/>
      <c r="R18" s="19"/>
      <c r="S18" s="19"/>
      <c r="T18" s="19"/>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110" customHeight="1" x14ac:dyDescent="0.2">
      <c r="A19" s="1">
        <v>1963</v>
      </c>
      <c r="B19" s="1"/>
      <c r="C19" s="1" t="s">
        <v>245</v>
      </c>
      <c r="D19" s="1" t="s">
        <v>251</v>
      </c>
      <c r="E19" s="1" t="s">
        <v>242</v>
      </c>
      <c r="F19" s="1"/>
      <c r="G19" s="23"/>
      <c r="H19" s="16" t="s">
        <v>252</v>
      </c>
      <c r="I19" s="3" t="s">
        <v>247</v>
      </c>
      <c r="J19" s="26" t="s">
        <v>250</v>
      </c>
      <c r="K19" s="23"/>
      <c r="L19" s="23"/>
      <c r="M19" s="23" t="s">
        <v>248</v>
      </c>
      <c r="N19" s="23" t="s">
        <v>249</v>
      </c>
      <c r="O19" s="23"/>
      <c r="P19" s="23"/>
      <c r="Q19" s="23"/>
      <c r="R19" s="23"/>
      <c r="S19" s="23"/>
      <c r="T19" s="23"/>
      <c r="U19" s="2"/>
    </row>
    <row r="20" spans="1:21" ht="56" customHeight="1" x14ac:dyDescent="0.2">
      <c r="A20" s="1">
        <v>1964</v>
      </c>
      <c r="B20" s="1"/>
      <c r="C20" s="1"/>
      <c r="D20" s="1"/>
      <c r="E20" s="1" t="s">
        <v>241</v>
      </c>
      <c r="F20" s="1"/>
      <c r="G20" s="23"/>
      <c r="H20" s="18"/>
      <c r="I20" s="23"/>
      <c r="J20" s="23"/>
      <c r="K20" s="23"/>
      <c r="L20" s="23"/>
      <c r="M20" s="23"/>
      <c r="N20" s="23"/>
      <c r="O20" s="23"/>
      <c r="P20" s="23"/>
      <c r="Q20" s="23"/>
      <c r="R20" s="23"/>
      <c r="S20" s="23"/>
      <c r="T20" s="23"/>
      <c r="U20" s="2"/>
    </row>
    <row r="21" spans="1:21" ht="70" customHeight="1" x14ac:dyDescent="0.2">
      <c r="A21" s="1">
        <v>1966</v>
      </c>
      <c r="B21" s="1" t="s">
        <v>29</v>
      </c>
      <c r="C21" s="1"/>
      <c r="D21" s="1"/>
      <c r="E21" s="1"/>
      <c r="F21" s="1" t="s">
        <v>34</v>
      </c>
      <c r="G21" s="19"/>
      <c r="H21" s="19"/>
      <c r="I21" s="19"/>
      <c r="J21" s="19"/>
      <c r="K21" s="19"/>
      <c r="L21" s="19"/>
      <c r="M21" s="19"/>
      <c r="N21" s="19"/>
      <c r="O21" s="19"/>
      <c r="P21" s="19"/>
      <c r="Q21" s="19"/>
      <c r="R21" s="19"/>
      <c r="S21" s="19"/>
      <c r="T21" s="19"/>
      <c r="U21" s="2"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17" x14ac:dyDescent="0.2">
      <c r="A22" s="1">
        <v>1967</v>
      </c>
      <c r="B22" s="1" t="s">
        <v>37</v>
      </c>
      <c r="C22" s="1"/>
      <c r="D22" s="1"/>
      <c r="E22" s="1" t="s">
        <v>112</v>
      </c>
      <c r="F22" s="1"/>
      <c r="G22" s="19"/>
      <c r="H22" s="19"/>
      <c r="I22" s="19"/>
      <c r="J22" s="19"/>
      <c r="K22" s="19"/>
      <c r="L22" s="19"/>
      <c r="M22" s="19"/>
      <c r="N22" s="19"/>
      <c r="O22" s="19"/>
      <c r="P22" s="19"/>
      <c r="Q22" s="19"/>
      <c r="R22" s="19"/>
      <c r="S22" s="19"/>
      <c r="T22" s="19"/>
      <c r="U22" s="2"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85" customHeight="1" x14ac:dyDescent="0.2">
      <c r="A23" s="1">
        <v>1968</v>
      </c>
      <c r="B23" s="1" t="s">
        <v>37</v>
      </c>
      <c r="C23" s="1" t="s">
        <v>39</v>
      </c>
      <c r="D23" s="1" t="s">
        <v>40</v>
      </c>
      <c r="E23" s="1" t="s">
        <v>41</v>
      </c>
      <c r="F23" s="1" t="s">
        <v>42</v>
      </c>
      <c r="G23" s="22" t="s">
        <v>113</v>
      </c>
      <c r="H23" s="19"/>
      <c r="I23" s="19"/>
      <c r="J23" s="19"/>
      <c r="K23" s="19"/>
      <c r="L23" s="19"/>
      <c r="M23" s="19"/>
      <c r="N23" s="19"/>
      <c r="O23" s="19"/>
      <c r="P23" s="19"/>
      <c r="Q23" s="19"/>
      <c r="R23" s="19"/>
      <c r="S23" s="19"/>
      <c r="T23" s="19"/>
      <c r="U23" s="2"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film-1969-l-amour-est-plus-froid-que-la-mort; film-1969-le-bouc</v>
      </c>
    </row>
    <row r="24" spans="1:21" ht="98" customHeight="1" x14ac:dyDescent="0.2">
      <c r="A24" s="1">
        <v>1971</v>
      </c>
      <c r="B24" s="1" t="s">
        <v>44</v>
      </c>
      <c r="C24" s="1" t="s">
        <v>46</v>
      </c>
      <c r="D24" s="1" t="s">
        <v>114</v>
      </c>
      <c r="E24" s="1" t="s">
        <v>48</v>
      </c>
      <c r="F24" s="1" t="s">
        <v>115</v>
      </c>
      <c r="G24" s="1"/>
      <c r="H24" s="19"/>
      <c r="I24" s="19"/>
      <c r="J24" s="19"/>
      <c r="K24" s="19"/>
      <c r="L24" s="19"/>
      <c r="M24" s="1" t="s">
        <v>116</v>
      </c>
      <c r="N24" s="9" t="s">
        <v>219</v>
      </c>
      <c r="O24" s="1"/>
      <c r="P24" s="1"/>
      <c r="Q24" s="1"/>
      <c r="R24" s="1"/>
      <c r="S24" s="1" t="s">
        <v>62</v>
      </c>
      <c r="T24" s="19"/>
      <c r="U24" s="2"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film-1972-le-marchand-des-quatre-saisons; film-1974-tous-les-autres-s-appellent-ali; film-1974-martha</v>
      </c>
    </row>
    <row r="25" spans="1:21" ht="70" customHeight="1" x14ac:dyDescent="0.2">
      <c r="A25" s="1">
        <v>1975</v>
      </c>
      <c r="B25" s="1" t="s">
        <v>50</v>
      </c>
      <c r="C25" s="1" t="s">
        <v>52</v>
      </c>
      <c r="D25" s="1" t="s">
        <v>53</v>
      </c>
      <c r="E25" s="1" t="s">
        <v>54</v>
      </c>
      <c r="F25" s="1" t="s">
        <v>55</v>
      </c>
      <c r="G25" s="20" t="s">
        <v>56</v>
      </c>
      <c r="H25" s="19"/>
      <c r="I25" s="19"/>
      <c r="J25" s="19"/>
      <c r="K25" s="19"/>
      <c r="L25" s="19"/>
      <c r="M25" s="19"/>
      <c r="N25" s="19"/>
      <c r="O25" s="19"/>
      <c r="P25" s="19"/>
      <c r="Q25" s="19"/>
      <c r="R25" s="19"/>
      <c r="S25" s="19"/>
      <c r="T25" s="19"/>
      <c r="U25" s="2"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film-1975-le-droit-du-plus-fort; film-1975-maman-kusters-s-en-va-au-ciel</v>
      </c>
    </row>
    <row r="26" spans="1:21" ht="84" customHeight="1" x14ac:dyDescent="0.2">
      <c r="A26" s="1">
        <v>1977</v>
      </c>
      <c r="B26" s="1" t="s">
        <v>57</v>
      </c>
      <c r="C26" s="1" t="s">
        <v>58</v>
      </c>
      <c r="D26" s="1" t="s">
        <v>59</v>
      </c>
      <c r="E26" s="1" t="s">
        <v>60</v>
      </c>
      <c r="F26" s="1" t="s">
        <v>61</v>
      </c>
      <c r="G26" s="19"/>
      <c r="H26" s="19"/>
      <c r="I26" s="19"/>
      <c r="J26" s="19"/>
      <c r="K26" s="19"/>
      <c r="L26" s="19"/>
      <c r="M26" s="19"/>
      <c r="N26" s="19"/>
      <c r="O26" s="19"/>
      <c r="P26" s="19"/>
      <c r="Q26" s="19"/>
      <c r="R26" s="19"/>
      <c r="S26" s="19"/>
      <c r="T26" s="19"/>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film-1978-l-annee-des-treize-lunes; film-1979-le-mariage-de-maria-braun</v>
      </c>
    </row>
    <row r="27" spans="1:21" ht="70" customHeight="1" x14ac:dyDescent="0.2">
      <c r="A27" s="1">
        <v>1980</v>
      </c>
      <c r="B27" s="1" t="s">
        <v>63</v>
      </c>
      <c r="C27" s="1" t="s">
        <v>64</v>
      </c>
      <c r="D27" s="1" t="s">
        <v>65</v>
      </c>
      <c r="E27" s="1" t="s">
        <v>66</v>
      </c>
      <c r="F27" s="1" t="s">
        <v>67</v>
      </c>
      <c r="G27" s="11" t="s">
        <v>117</v>
      </c>
      <c r="H27" s="19"/>
      <c r="I27" s="19"/>
      <c r="J27" s="19"/>
      <c r="K27" s="19"/>
      <c r="L27" s="19"/>
      <c r="M27" s="19"/>
      <c r="N27" s="19"/>
      <c r="O27" s="19"/>
      <c r="P27" s="19"/>
      <c r="Q27" s="19"/>
      <c r="R27" s="19"/>
      <c r="S27" s="19"/>
      <c r="T27" s="19"/>
      <c r="U27" s="2"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film-1980-berlin-alexanderplatz; film-1981-lili-marleen; film-1981-lola-une-femme-allemande</v>
      </c>
    </row>
    <row r="28" spans="1:21" ht="70" customHeight="1" x14ac:dyDescent="0.2">
      <c r="A28" s="1">
        <v>1982</v>
      </c>
      <c r="B28" s="1">
        <v>1982</v>
      </c>
      <c r="C28" s="1" t="s">
        <v>68</v>
      </c>
      <c r="D28" s="1" t="s">
        <v>69</v>
      </c>
      <c r="E28" s="1" t="s">
        <v>70</v>
      </c>
      <c r="F28" s="1" t="s">
        <v>71</v>
      </c>
      <c r="G28" s="19"/>
      <c r="H28" s="19"/>
      <c r="I28" s="19"/>
      <c r="J28" s="19"/>
      <c r="K28" s="19"/>
      <c r="L28" s="19"/>
      <c r="M28" s="19"/>
      <c r="N28" s="19"/>
      <c r="O28" s="19"/>
      <c r="P28" s="19"/>
      <c r="Q28" s="19"/>
      <c r="R28" s="19"/>
      <c r="S28" s="19"/>
      <c r="T28" s="19"/>
      <c r="U28" s="2"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1" r:id="rId5" xr:uid="{00000000-0004-0000-0100-000004000000}"/>
    <hyperlink ref="H10" r:id="rId6" xr:uid="{58B353DE-712B-314B-AF9D-5EFD2C97FAA8}"/>
    <hyperlink ref="H13" r:id="rId7" xr:uid="{8BED597B-320D-244A-BF54-DD605F46C2B8}"/>
    <hyperlink ref="I19" r:id="rId8" xr:uid="{E9755199-911B-FA49-8D25-961C201765E5}"/>
    <hyperlink ref="H19" r:id="rId9" xr:uid="{348FB49A-F751-5D48-A9BD-36E381E49EE1}"/>
  </hyperlinks>
  <pageMargins left="0.7" right="0.7" top="0.75" bottom="0.75" header="0.511811023622047" footer="0.511811023622047"/>
  <pageSetup paperSize="9" orientation="portrait" horizontalDpi="300" verticalDpi="300"/>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1"/>
  <sheetViews>
    <sheetView zoomScaleNormal="100" workbookViewId="0"/>
  </sheetViews>
  <sheetFormatPr baseColWidth="10" defaultColWidth="10.5" defaultRowHeight="13" x14ac:dyDescent="0.15"/>
  <cols>
    <col min="1" max="1" width="46.83203125" customWidth="1"/>
    <col min="2" max="2" width="59.1640625" customWidth="1"/>
  </cols>
  <sheetData>
    <row r="1" spans="1:2" ht="17" x14ac:dyDescent="0.2">
      <c r="A1" s="7" t="s">
        <v>118</v>
      </c>
      <c r="B1" s="7" t="s">
        <v>119</v>
      </c>
    </row>
    <row r="2" spans="1:2" ht="17" x14ac:dyDescent="0.2">
      <c r="A2" s="12" t="s">
        <v>120</v>
      </c>
      <c r="B2" s="12" t="s">
        <v>121</v>
      </c>
    </row>
    <row r="3" spans="1:2" ht="17" x14ac:dyDescent="0.2">
      <c r="A3" s="12" t="s">
        <v>122</v>
      </c>
      <c r="B3" s="12" t="s">
        <v>123</v>
      </c>
    </row>
    <row r="4" spans="1:2" ht="17" x14ac:dyDescent="0.2">
      <c r="A4" s="12" t="s">
        <v>124</v>
      </c>
      <c r="B4" s="12" t="s">
        <v>125</v>
      </c>
    </row>
    <row r="5" spans="1:2" ht="17" x14ac:dyDescent="0.2">
      <c r="A5" s="12" t="s">
        <v>126</v>
      </c>
      <c r="B5" s="12" t="s">
        <v>127</v>
      </c>
    </row>
    <row r="6" spans="1:2" ht="17" x14ac:dyDescent="0.2">
      <c r="A6" s="12" t="s">
        <v>128</v>
      </c>
      <c r="B6" s="12" t="s">
        <v>129</v>
      </c>
    </row>
    <row r="7" spans="1:2" ht="17" x14ac:dyDescent="0.2">
      <c r="A7" s="12" t="s">
        <v>130</v>
      </c>
      <c r="B7" s="12" t="s">
        <v>131</v>
      </c>
    </row>
    <row r="8" spans="1:2" ht="17" x14ac:dyDescent="0.2">
      <c r="A8" s="12" t="s">
        <v>132</v>
      </c>
      <c r="B8" s="12" t="s">
        <v>133</v>
      </c>
    </row>
    <row r="9" spans="1:2" ht="17" x14ac:dyDescent="0.2">
      <c r="A9" s="12" t="s">
        <v>134</v>
      </c>
      <c r="B9" s="12" t="s">
        <v>135</v>
      </c>
    </row>
    <row r="10" spans="1:2" ht="17" x14ac:dyDescent="0.2">
      <c r="A10" s="12" t="s">
        <v>136</v>
      </c>
      <c r="B10" s="12" t="s">
        <v>137</v>
      </c>
    </row>
    <row r="11" spans="1:2" ht="17" x14ac:dyDescent="0.2">
      <c r="A11" s="12" t="s">
        <v>138</v>
      </c>
      <c r="B11" s="12" t="s">
        <v>139</v>
      </c>
    </row>
    <row r="12" spans="1:2" ht="17" x14ac:dyDescent="0.2">
      <c r="A12" s="12" t="s">
        <v>140</v>
      </c>
      <c r="B12" s="12" t="s">
        <v>141</v>
      </c>
    </row>
    <row r="13" spans="1:2" ht="17" x14ac:dyDescent="0.2">
      <c r="A13" s="12" t="s">
        <v>142</v>
      </c>
      <c r="B13" s="12" t="s">
        <v>143</v>
      </c>
    </row>
    <row r="14" spans="1:2" ht="17" x14ac:dyDescent="0.2">
      <c r="A14" s="12" t="s">
        <v>144</v>
      </c>
      <c r="B14" s="12" t="s">
        <v>145</v>
      </c>
    </row>
    <row r="15" spans="1:2" ht="17" x14ac:dyDescent="0.2">
      <c r="A15" s="12" t="s">
        <v>146</v>
      </c>
      <c r="B15" s="12" t="s">
        <v>147</v>
      </c>
    </row>
    <row r="16" spans="1:2" ht="17" x14ac:dyDescent="0.2">
      <c r="A16" s="12" t="s">
        <v>148</v>
      </c>
      <c r="B16" s="12" t="s">
        <v>149</v>
      </c>
    </row>
    <row r="17" spans="1:2" ht="17" x14ac:dyDescent="0.2">
      <c r="A17" s="12" t="s">
        <v>150</v>
      </c>
      <c r="B17" s="12" t="s">
        <v>151</v>
      </c>
    </row>
    <row r="18" spans="1:2" ht="17" x14ac:dyDescent="0.2">
      <c r="A18" s="12" t="s">
        <v>152</v>
      </c>
      <c r="B18" s="12" t="s">
        <v>153</v>
      </c>
    </row>
    <row r="19" spans="1:2" ht="17" x14ac:dyDescent="0.2">
      <c r="A19" s="12" t="s">
        <v>154</v>
      </c>
      <c r="B19" s="12" t="s">
        <v>155</v>
      </c>
    </row>
    <row r="20" spans="1:2" ht="17" x14ac:dyDescent="0.2">
      <c r="A20" s="12" t="s">
        <v>156</v>
      </c>
      <c r="B20" s="12" t="s">
        <v>157</v>
      </c>
    </row>
    <row r="21" spans="1:2" ht="17" x14ac:dyDescent="0.2">
      <c r="A21" s="12" t="s">
        <v>158</v>
      </c>
      <c r="B21" s="12" t="s">
        <v>159</v>
      </c>
    </row>
    <row r="22" spans="1:2" ht="17" x14ac:dyDescent="0.2">
      <c r="A22" s="12" t="s">
        <v>160</v>
      </c>
      <c r="B22" s="12" t="s">
        <v>161</v>
      </c>
    </row>
    <row r="23" spans="1:2" ht="17" x14ac:dyDescent="0.2">
      <c r="A23" s="12" t="s">
        <v>162</v>
      </c>
      <c r="B23" s="12" t="s">
        <v>163</v>
      </c>
    </row>
    <row r="24" spans="1:2" ht="17" x14ac:dyDescent="0.2">
      <c r="A24" s="12" t="s">
        <v>164</v>
      </c>
      <c r="B24" s="12" t="s">
        <v>165</v>
      </c>
    </row>
    <row r="25" spans="1:2" ht="17" x14ac:dyDescent="0.2">
      <c r="A25" s="12" t="s">
        <v>166</v>
      </c>
      <c r="B25" s="12" t="s">
        <v>167</v>
      </c>
    </row>
    <row r="26" spans="1:2" ht="17" x14ac:dyDescent="0.2">
      <c r="A26" s="12" t="s">
        <v>168</v>
      </c>
      <c r="B26" s="12" t="s">
        <v>169</v>
      </c>
    </row>
    <row r="27" spans="1:2" ht="17" x14ac:dyDescent="0.2">
      <c r="A27" s="12" t="s">
        <v>170</v>
      </c>
      <c r="B27" s="12" t="s">
        <v>171</v>
      </c>
    </row>
    <row r="28" spans="1:2" ht="17" x14ac:dyDescent="0.2">
      <c r="A28" s="12" t="s">
        <v>172</v>
      </c>
      <c r="B28" s="12" t="s">
        <v>173</v>
      </c>
    </row>
    <row r="29" spans="1:2" ht="17" x14ac:dyDescent="0.2">
      <c r="A29" s="12" t="s">
        <v>174</v>
      </c>
      <c r="B29" s="12" t="s">
        <v>175</v>
      </c>
    </row>
    <row r="30" spans="1:2" ht="17" x14ac:dyDescent="0.2">
      <c r="A30" s="12" t="s">
        <v>176</v>
      </c>
      <c r="B30" s="12" t="s">
        <v>177</v>
      </c>
    </row>
    <row r="31" spans="1:2" ht="17" x14ac:dyDescent="0.2">
      <c r="A31" s="12" t="s">
        <v>178</v>
      </c>
      <c r="B31" s="12" t="s">
        <v>179</v>
      </c>
    </row>
    <row r="32" spans="1:2" ht="17" x14ac:dyDescent="0.2">
      <c r="A32" s="12" t="s">
        <v>180</v>
      </c>
      <c r="B32" s="12" t="s">
        <v>181</v>
      </c>
    </row>
    <row r="33" spans="1:2" ht="17" x14ac:dyDescent="0.2">
      <c r="A33" s="12" t="s">
        <v>182</v>
      </c>
      <c r="B33" s="12" t="s">
        <v>183</v>
      </c>
    </row>
    <row r="34" spans="1:2" ht="17" x14ac:dyDescent="0.2">
      <c r="A34" s="12" t="s">
        <v>184</v>
      </c>
      <c r="B34" s="12" t="s">
        <v>185</v>
      </c>
    </row>
    <row r="35" spans="1:2" ht="17" x14ac:dyDescent="0.2">
      <c r="A35" s="12" t="s">
        <v>186</v>
      </c>
      <c r="B35" s="12" t="s">
        <v>187</v>
      </c>
    </row>
    <row r="36" spans="1:2" ht="17" x14ac:dyDescent="0.2">
      <c r="A36" s="12" t="s">
        <v>188</v>
      </c>
      <c r="B36" s="12" t="s">
        <v>189</v>
      </c>
    </row>
    <row r="37" spans="1:2" ht="17" x14ac:dyDescent="0.2">
      <c r="A37" s="12" t="s">
        <v>190</v>
      </c>
      <c r="B37" s="12" t="s">
        <v>191</v>
      </c>
    </row>
    <row r="38" spans="1:2" ht="17" x14ac:dyDescent="0.2">
      <c r="A38" s="12" t="s">
        <v>192</v>
      </c>
      <c r="B38" s="12" t="s">
        <v>193</v>
      </c>
    </row>
    <row r="39" spans="1:2" ht="17" x14ac:dyDescent="0.2">
      <c r="A39" s="12" t="s">
        <v>194</v>
      </c>
      <c r="B39" s="12" t="s">
        <v>195</v>
      </c>
    </row>
    <row r="40" spans="1:2" ht="17" x14ac:dyDescent="0.2">
      <c r="A40" s="12" t="s">
        <v>196</v>
      </c>
      <c r="B40" s="12" t="s">
        <v>197</v>
      </c>
    </row>
    <row r="41" spans="1:2" ht="17" x14ac:dyDescent="0.2">
      <c r="A41" s="12" t="s">
        <v>198</v>
      </c>
      <c r="B41" s="12" t="s">
        <v>199</v>
      </c>
    </row>
  </sheetData>
  <pageMargins left="0.7" right="0.7" top="0.75" bottom="0.75"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5"/>
  <sheetViews>
    <sheetView zoomScaleNormal="100" workbookViewId="0"/>
  </sheetViews>
  <sheetFormatPr baseColWidth="10" defaultColWidth="10.5" defaultRowHeight="13" x14ac:dyDescent="0.15"/>
  <cols>
    <col min="1" max="1" width="29.6640625" customWidth="1"/>
    <col min="2" max="2" width="101.1640625" customWidth="1"/>
  </cols>
  <sheetData>
    <row r="1" spans="1:2" ht="30" customHeight="1" x14ac:dyDescent="0.25">
      <c r="A1" s="13" t="s">
        <v>200</v>
      </c>
      <c r="B1" s="13"/>
    </row>
    <row r="2" spans="1:2" ht="34" customHeight="1" x14ac:dyDescent="0.2">
      <c r="A2" s="14" t="s">
        <v>201</v>
      </c>
      <c r="B2" s="7" t="s">
        <v>202</v>
      </c>
    </row>
    <row r="3" spans="1:2" ht="34" customHeight="1" x14ac:dyDescent="0.2">
      <c r="A3" s="14" t="s">
        <v>203</v>
      </c>
      <c r="B3" s="7" t="s">
        <v>204</v>
      </c>
    </row>
    <row r="4" spans="1:2" ht="34" customHeight="1" x14ac:dyDescent="0.2">
      <c r="A4" s="14" t="s">
        <v>205</v>
      </c>
      <c r="B4" s="7" t="s">
        <v>206</v>
      </c>
    </row>
    <row r="5" spans="1:2" ht="34" customHeight="1" x14ac:dyDescent="0.2">
      <c r="A5" s="14" t="s">
        <v>207</v>
      </c>
      <c r="B5" s="7" t="s">
        <v>208</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Feuilles de calcul</vt:lpstr>
      </vt:variant>
      <vt:variant>
        <vt:i4>4</vt:i4>
      </vt:variant>
    </vt:vector>
  </HeadingPairs>
  <TitlesOfParts>
    <vt:vector size="4" baseType="lpstr">
      <vt:lpstr>Périodes</vt:lpstr>
      <vt:lpstr>Années</vt:lpstr>
      <vt:lpstr>Référentiel films</vt:lpstr>
      <vt:lpstr>Mode_emploi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Frédérique Hammerli</cp:lastModifiedBy>
  <cp:revision>0</cp:revision>
  <dcterms:modified xsi:type="dcterms:W3CDTF">2026-07-20T09:03:38Z</dcterms:modified>
  <dc:language>en-US</dc:language>
</cp:coreProperties>
</file>