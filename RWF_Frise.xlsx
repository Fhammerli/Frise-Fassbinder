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13"/>
  <workbookPr/>
  <mc:AlternateContent xmlns:mc="http://schemas.openxmlformats.org/markup-compatibility/2006">
    <mc:Choice Requires="x15">
      <x15ac:absPath xmlns:x15ac="http://schemas.microsoft.com/office/spreadsheetml/2010/11/ac" url="https://d.docs.live.net/23f243e0dd638448/cours/KH/RWF/Fiches/Frise/Frise2_Fassbinder/"/>
    </mc:Choice>
  </mc:AlternateContent>
  <xr:revisionPtr revIDLastSave="487" documentId="13_ncr:1_{87FDAE5B-7F65-8C43-B511-7F09BBCED8F5}" xr6:coauthVersionLast="47" xr6:coauthVersionMax="47" xr10:uidLastSave="{7974413B-E809-A340-84AA-D6E00AF5893D}"/>
  <bookViews>
    <workbookView xWindow="6020" yWindow="3960" windowWidth="35820" windowHeight="24600" xr2:uid="{00000000-000D-0000-FFFF-FFFF00000000}"/>
  </bookViews>
  <sheets>
    <sheet name="Périodes" sheetId="1" r:id="rId1"/>
    <sheet name="Années" sheetId="2" r:id="rId2"/>
    <sheet name="Sources générales" sheetId="5" r:id="rId3"/>
    <sheet name="Référentiel films" sheetId="3" r:id="rId4"/>
    <sheet name="Mode_emploi" sheetId="4"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3" i="2" l="1"/>
  <c r="U24" i="2"/>
  <c r="U37" i="2"/>
  <c r="U36" i="2"/>
  <c r="U35" i="2"/>
  <c r="U34" i="2"/>
  <c r="U33" i="2"/>
  <c r="U32" i="2"/>
  <c r="U31" i="2"/>
  <c r="U30" i="2"/>
  <c r="U29" i="2"/>
  <c r="U28" i="2"/>
  <c r="U27" i="2"/>
  <c r="U26" i="2"/>
  <c r="U25" i="2"/>
  <c r="U22" i="2"/>
  <c r="U21" i="2"/>
  <c r="U20" i="2"/>
  <c r="U19" i="2"/>
  <c r="U18" i="2"/>
  <c r="U17" i="2"/>
  <c r="U16" i="2"/>
  <c r="U15" i="2"/>
  <c r="U14" i="2"/>
  <c r="U13" i="2"/>
  <c r="U12" i="2"/>
  <c r="U11" i="2"/>
  <c r="U10" i="2"/>
  <c r="U9" i="2"/>
  <c r="U8" i="2"/>
  <c r="U7" i="2"/>
  <c r="U6" i="2"/>
  <c r="U5" i="2"/>
  <c r="U4" i="2"/>
  <c r="U3" i="2"/>
  <c r="U2" i="2"/>
  <c r="H7" i="1"/>
  <c r="H6" i="1"/>
  <c r="H5" i="1"/>
  <c r="H4" i="1"/>
  <c r="H3" i="1"/>
  <c r="H2" i="1"/>
</calcChain>
</file>

<file path=xl/sharedStrings.xml><?xml version="1.0" encoding="utf-8"?>
<sst xmlns="http://schemas.openxmlformats.org/spreadsheetml/2006/main" count="457" uniqueCount="357">
  <si>
    <t>ID période</t>
  </si>
  <si>
    <t>Titre période</t>
  </si>
  <si>
    <t>question directrice</t>
  </si>
  <si>
    <t>Événement histoire et politique</t>
  </si>
  <si>
    <t>Contexte culturel</t>
  </si>
  <si>
    <t>Biographie de Fassbinder</t>
  </si>
  <si>
    <t>Œuvres</t>
  </si>
  <si>
    <t>ID films - Œuvres</t>
  </si>
  <si>
    <t>Analyse et réception critique</t>
  </si>
  <si>
    <t>Liens</t>
  </si>
  <si>
    <t>Citation</t>
  </si>
  <si>
    <t>Image</t>
  </si>
  <si>
    <t>Notion</t>
  </si>
  <si>
    <t>Le "point zéro" de l'histoire de l'Allemagne d'après-guerre est-il un point zéro pour la vie et l'œuvre de RWF ?</t>
  </si>
  <si>
    <t>Naissance de Rainer Werner Fassbinder le 31 mai à Bad Wörishofen, Bavière.</t>
  </si>
  <si>
    <t>Les génériques de Fassbinder</t>
  </si>
  <si>
    <t>"Nous devons nous débarrasser du passé pour construire l'avenir". Konrad Adenauer</t>
  </si>
  <si>
    <t>Allemagne_zones.jpeg</t>
  </si>
  <si>
    <t>Le découpage de l'Allemagne et de Berlin en 4 zones d'occupation alliée</t>
  </si>
  <si>
    <t>Enfance marquée par le divorce de ses parents (1951) et l'absence du père. Passion précoce pour le cinéma (refuge). Première lecture de Berlin Alexanderplatz vers 14 ans.</t>
  </si>
  <si>
    <t>De l’année zéro au miracle économique|https://youtu.be/BC4BffkWyY8?si=e80MWCLF0K9Fgiub; Jalousie de Catharina Valente|https://youtu.be/-ugDTj7UFtU?si=vzGNySrsaYGKZW0k</t>
  </si>
  <si>
    <t>l-industrie-de-l-industrie-automobile-l-usine-volkswagen-vue-de-l-interieur-usine-wolfsburg-vers-1950.jpg</t>
  </si>
  <si>
    <t xml:space="preserve">Que serait un cinéma nouveau prenant à bras le corps l'histoire de l'Allemagne et du cinéma, tout en s'en détachant ? </t>
  </si>
  <si>
    <t>Échec au concours d'entrée de la DFFB. Rencontre Hanna Schygulla et Irm Hermann dans un cours d'art dramatique. Rejoint l'Action-Theater (1967).</t>
  </si>
  <si>
    <t>Réalise ses premiers courts métrages : This Night (1966) et Le Clochard (1966). Confrontation de la mémoire de la Shoah.</t>
  </si>
  <si>
    <t>Fonde l' antiteater (1968). Collaboration intense avec sa "troupe" (Schygulla, Hermann, Raab, Baer, Lommel). Mariage avec Ingrid Caven (1970).</t>
  </si>
  <si>
    <t xml:space="preserve">Comment le rapport dominant/dominé structure-t-il toute relation, affective ou sociale ? </t>
  </si>
  <si>
    <t>le cinéaste Edgar Reitz affirme la nécessité " de films, de livres, d'images qui nous fassent reprendre connaissance et rétablissent nos réflexes", Medium, 5/1979, p.21</t>
  </si>
  <si>
    <t>mélodrame</t>
  </si>
  <si>
    <t>Travaille frénétiquement. Réalise son projet de vie : l'adaptation de Döblin. Épuisement physique dû aux excès.</t>
  </si>
  <si>
    <t>Décès de Fassbinder le 10 juin à Munich, à l'âge de 37 ans (épuisement et overdose).</t>
  </si>
  <si>
    <t>Année</t>
  </si>
  <si>
    <t>Analyse et Réception critique</t>
  </si>
  <si>
    <t>Extraits</t>
  </si>
  <si>
    <t>Description de l'extrait</t>
  </si>
  <si>
    <t>Consigne d'analyse</t>
  </si>
  <si>
    <t>Image 1</t>
  </si>
  <si>
    <t>Légende 1</t>
  </si>
  <si>
    <t>Image 2</t>
  </si>
  <si>
    <t>Légende 2</t>
  </si>
  <si>
    <t>Image 3</t>
  </si>
  <si>
    <t>Légende 3</t>
  </si>
  <si>
    <t>Source</t>
  </si>
  <si>
    <t>IDs films — Œuvres</t>
  </si>
  <si>
    <t>Naissance de Rainer Werner Fassbinder le 31 mai à Bad Wörishofen, Bavière. Père médecin généraliste, mère traductrice. Première année passée chez son oncle paternel</t>
  </si>
  <si>
    <t xml:space="preserve">Le couple Fassbinder prend l'enfant avec eux à Munich. Une partie de la famille vit dans le même appartement, notamment la grand-mère de Rainer. </t>
  </si>
  <si>
    <t>Le procès de Nuremberg</t>
  </si>
  <si>
    <t>Elsaesser, Wikipedia</t>
  </si>
  <si>
    <t>Le blocus de Berlin en 3 minutes</t>
  </si>
  <si>
    <t>Allemagne_annee_0_Reichstag.mp4</t>
  </si>
  <si>
    <t>Comment Rossellini traduit-il une relation complexe avec l'Histoire, entre fascination, terreur, et hantise ?</t>
  </si>
  <si>
    <t>Bande Annonce de Fatherland de Pavel Pawlikoski</t>
  </si>
  <si>
    <t>Adenauer.jpeg</t>
  </si>
  <si>
    <t>,,,,,,,,,,,,,,,,,,,,,,,,,,,,,,,,,,,,,,,,,,,,,,,,,,,,,,,,,,,,,,,,,,,,,,,,,,,,,,,,,,,,,,,,,,,,,,,,,,,,,,,,,,,,,,,,,,,,,,,,,,,,,,,,,,,,,,,,,,,,,,,,,,,,,,,,,,,,,,,,,,,,,,,,,,,,,,,,,,,,,,,,,,,,,,,,,,,,,,,,,,,,,,,,,,,,,,,,,,,,,</t>
  </si>
  <si>
    <t xml:space="preserve">Divorce des parents. Le père de RWF, Helmut Fassbinder, s'installe à Cologne. RWF reste à Munich avec sa mère. </t>
  </si>
  <si>
    <t>Fassbinder_enfant.jpeg</t>
  </si>
  <si>
    <t>Fassbinder enfant</t>
  </si>
  <si>
    <t>La révolte des ouvriers est-allemands</t>
  </si>
  <si>
    <t>Bande Annonce de Sissi (1955)</t>
  </si>
  <si>
    <t>Bohm.jpg</t>
  </si>
  <si>
    <t>Karlheinz Böhm</t>
  </si>
  <si>
    <t xml:space="preserve">RWF est lycéen à Munich. </t>
  </si>
  <si>
    <t>découvrir Brecht avec l'INA</t>
  </si>
  <si>
    <t>Remariage de Lilo avec un journaliste, Wolff Eder. Relations difficiles entre RWF et son beau-père. 
RWF revient à Munich mais vit dans un pensionnat.
RWF commence à assumer ouvertement son homosexualité, fait rare pour l'époque.</t>
  </si>
  <si>
    <t>RWF commence à écrire des nouvelles et de petites pièces de théâtre</t>
  </si>
  <si>
    <t>Portrait de Straub et carrière</t>
  </si>
  <si>
    <t>Machorka Muff de Jean-Marie Straub</t>
  </si>
  <si>
    <t xml:space="preserve">Court-métrage de Jean-Marie Straub. Straub exercera une influence certaine sur le début de carrière de RWF. Le court-métrage s'inscrit dans une réflexion sur le passé nazi de l'Allemagne et dénonce la remilitarisation de l'Allemagne. </t>
  </si>
  <si>
    <t>Jean-Marie Straub.jpg</t>
  </si>
  <si>
    <t>Jean-Marie Straub</t>
  </si>
  <si>
    <t>Rejoint l'Action-Theater (1967).</t>
  </si>
  <si>
    <t>Petit chaos, court-métrage</t>
  </si>
  <si>
    <t>Fondation du Filmverlag der Autoren (1971), une société indépendante, par quelques cinéastes dont RWF. La société est d'abord autogérée.
Accords Film-Télévision (1974) favorisant les coproductions (WDR).</t>
  </si>
  <si>
    <t>Liaison avec El Hedi ben Salem. Direction du TAT à Francfort. Collaboration avec le caméraman Michael Ballhaus. Succès international.</t>
  </si>
  <si>
    <t>Whity
Prenez garde à la sainte putain
Pionniers à Ingolstadt - Téléfilm</t>
  </si>
  <si>
    <t>Maria_braun.jpeg</t>
  </si>
  <si>
    <t>Effi Briest permet à RWF d'obtenir une reconnaissance plus large en Allemagne, qui tempère sa réputation d'enfant terrible du cinéma</t>
  </si>
  <si>
    <t>Fassbinder_fox.jpeg</t>
  </si>
  <si>
    <t>M. Klein de Joseph Losey</t>
  </si>
  <si>
    <t>Femmes à New York  -Téléfilm
La femme du chef de gare  - Téléfilm</t>
  </si>
  <si>
    <t>RWF parvient à évincer Werner Schroeter qui souhaitait réaliser une adaptation de Querelle de Jean Genet.  Mort de Fassbinder marquant symboliquement la fin du Nouveau Cinéma Allemand.</t>
  </si>
  <si>
    <t>Catégorie</t>
  </si>
  <si>
    <t>Référence bibliographique</t>
  </si>
  <si>
    <t>Usage dans la frise</t>
  </si>
  <si>
    <t>Lien</t>
  </si>
  <si>
    <t>Histoire allemande</t>
  </si>
  <si>
    <t>Repères historiques, chronologie politique</t>
  </si>
  <si>
    <t>Fassbinder</t>
  </si>
  <si>
    <t>Biographie et filmographie</t>
  </si>
  <si>
    <t>URL éventuelle</t>
  </si>
  <si>
    <t>Cinéma allemand</t>
  </si>
  <si>
    <t>Référence complète</t>
  </si>
  <si>
    <t>Contexte culturel et esthétique</t>
  </si>
  <si>
    <t>Archives et sites</t>
  </si>
  <si>
    <t>Nom du site ou de l’institution</t>
  </si>
  <si>
    <t>Documents et vérifications</t>
  </si>
  <si>
    <t>URL</t>
  </si>
  <si>
    <t>Titre canonique</t>
  </si>
  <si>
    <t>ID canonique</t>
  </si>
  <si>
    <t>L’Amour est plus froid que la mort</t>
  </si>
  <si>
    <t>film-1969-l-amour-est-plus-froid-que-la-mort</t>
  </si>
  <si>
    <t>Le Bouc</t>
  </si>
  <si>
    <t>film-1969-le-bouc</t>
  </si>
  <si>
    <t>Les Dieux de la peste</t>
  </si>
  <si>
    <t>film-1970-les-dieux-de-la-peste</t>
  </si>
  <si>
    <t>Pourquoi M. R. est-il atteint de folie meurtrière ?</t>
  </si>
  <si>
    <t>film-1970-pourquoi-m-r-est-il-atteint-de-folie-meurtriere</t>
  </si>
  <si>
    <t>Le Soldat américain</t>
  </si>
  <si>
    <t>film-1970-le-soldat-americain</t>
  </si>
  <si>
    <t>Le Voyage à Niklashausen</t>
  </si>
  <si>
    <t>film-1970-le-voyage-a-niklashausen</t>
  </si>
  <si>
    <t>Whity</t>
  </si>
  <si>
    <t>film-1971-whity</t>
  </si>
  <si>
    <t>Prenez garde à la sainte putain</t>
  </si>
  <si>
    <t>film-1971-prenez-garde-a-la-sainte-putain</t>
  </si>
  <si>
    <t>Pionniers à Ingolstadt</t>
  </si>
  <si>
    <t>film-1971-pionniers-a-ingolstadt</t>
  </si>
  <si>
    <t>Le Marchand des quatre saisons</t>
  </si>
  <si>
    <t>film-1972-le-marchand-des-quatre-saisons</t>
  </si>
  <si>
    <t>Les Larmes amères de Petra von Kant</t>
  </si>
  <si>
    <t>film-1972-les-larmes-ameres-de-petra-von-kant</t>
  </si>
  <si>
    <t>Liberté à Brême</t>
  </si>
  <si>
    <t>film-1972-liberte-a-breme</t>
  </si>
  <si>
    <t>Huit heures ne font pas un jour</t>
  </si>
  <si>
    <t>film-1972-huit-heures-ne-font-pas-un-jour</t>
  </si>
  <si>
    <t>Gibier de passage</t>
  </si>
  <si>
    <t>film-1973-gibier-de-passage</t>
  </si>
  <si>
    <t>Le Monde sur un fil</t>
  </si>
  <si>
    <t>film-1973-le-monde-sur-un-fil</t>
  </si>
  <si>
    <t>Tous les autres s’appellent Ali</t>
  </si>
  <si>
    <t>film-1974-tous-les-autres-s-appellent-ali</t>
  </si>
  <si>
    <t>Effi Briest</t>
  </si>
  <si>
    <t>film-1974-effi-briest</t>
  </si>
  <si>
    <t>Nora Helmer</t>
  </si>
  <si>
    <t>film-1974-nora-helmer</t>
  </si>
  <si>
    <t>Martha</t>
  </si>
  <si>
    <t>film-1974-martha</t>
  </si>
  <si>
    <t>Le Droit du plus fort</t>
  </si>
  <si>
    <t>film-1975-le-droit-du-plus-fort</t>
  </si>
  <si>
    <t>Maman Küsters s’en va au ciel</t>
  </si>
  <si>
    <t>film-1975-maman-kusters-s-en-va-au-ciel</t>
  </si>
  <si>
    <t>Comme un oiseau sur le fil</t>
  </si>
  <si>
    <t>film-1975-comme-un-oiseau-sur-le-fil</t>
  </si>
  <si>
    <t>Peur de la peur</t>
  </si>
  <si>
    <t>film-1975-peur-de-la-peur</t>
  </si>
  <si>
    <t>L’Ombre des anges</t>
  </si>
  <si>
    <t>film-1976-l-ombre-des-anges</t>
  </si>
  <si>
    <t>Le Rôti de Satan</t>
  </si>
  <si>
    <t>film-1976-le-roti-de-satan</t>
  </si>
  <si>
    <t>Roulette chinoise</t>
  </si>
  <si>
    <t>film-1976-roulette-chinoise</t>
  </si>
  <si>
    <t>Je veux seulement que vous m’aimiez</t>
  </si>
  <si>
    <t>film-1976-je-veux-seulement-que-vous-m-aimiez</t>
  </si>
  <si>
    <t>Femmes à New York</t>
  </si>
  <si>
    <t>film-1977-femmes-a-new-york</t>
  </si>
  <si>
    <t>La Femme du chef de gare</t>
  </si>
  <si>
    <t>film-1977-la-femme-du-chef-de-gare</t>
  </si>
  <si>
    <t>L’Allemagne en automne</t>
  </si>
  <si>
    <t>film-1978-l-allemagne-en-automne</t>
  </si>
  <si>
    <t>Despair</t>
  </si>
  <si>
    <t>film-1978-despair</t>
  </si>
  <si>
    <t>L’Année des treize lunes</t>
  </si>
  <si>
    <t>film-1978-l-annee-des-treize-lunes</t>
  </si>
  <si>
    <t>Le Mariage de Maria Braun</t>
  </si>
  <si>
    <t>film-1978-le-mariage-de-maria-braun</t>
  </si>
  <si>
    <t>La Troisième génération</t>
  </si>
  <si>
    <t>film-1979-la-troisieme-generation</t>
  </si>
  <si>
    <t>Berlin Alexanderplatz</t>
  </si>
  <si>
    <t>film-1980-berlin-alexanderplatz</t>
  </si>
  <si>
    <t>Lili Marleen</t>
  </si>
  <si>
    <t>film-1981-lili-marleen</t>
  </si>
  <si>
    <t>Théâtre en transe</t>
  </si>
  <si>
    <t>film-1981-theatre-en-transe</t>
  </si>
  <si>
    <t>Lola, une femme allemande</t>
  </si>
  <si>
    <t>film-1981-lola-une-femme-allemande</t>
  </si>
  <si>
    <t>Le Secret de Veronika Voss</t>
  </si>
  <si>
    <t>film-1981-le-secret-de-veronika-voss</t>
  </si>
  <si>
    <t>Querelle</t>
  </si>
  <si>
    <t>film-1982-querelle</t>
  </si>
  <si>
    <t>RWF_Frise — IDs automatiques</t>
  </si>
  <si>
    <t>Principe</t>
  </si>
  <si>
    <t>Les colonnes IDs films — Œuvres sont calculées à partir des titres canoniques présents dans Œuvres.</t>
  </si>
  <si>
    <t>Saisie</t>
  </si>
  <si>
    <t>Employer les titres français canoniques du référentiel. Plusieurs titres peuvent figurer dans la même cellule.</t>
  </si>
  <si>
    <t>Absence d’ID</t>
  </si>
  <si>
    <t>Une œuvre absente du référentiel Films reste sans ID : aucun identifiant n’est inventé.</t>
  </si>
  <si>
    <t>Mise à jour</t>
  </si>
  <si>
    <t>Lorsqu’une nouvelle fiche Film est créée, ajouter son titre et son ID dans Référentiel films.</t>
  </si>
  <si>
    <t>Premières élections municipales dans la zone américaine. 
La « loi d'élimination du national-socialisme et du militarisme » du 5 mars 1946 définit dans son article 4 les niveaux de responsabilité : Hauptschuldige (principaux coupables), Belastete (charges importantes), Minderbelastete (charges mineures), Mitläufer (suivistes), Entlastete (libérés, les procès en dénazification pouvant déclarer les prévenus nicht betroffen, « non concernés » par cette loi). Procès de Nuremberg : 12 des 24 accusés sont condamnés à mort pour crimes de guerre.
À Nuremberg, douze accusés sont condamnés à mort, huit à des peines de prison et trois sont acquittés. Les puissances occupantes organisent aussi des procès dans leurs zones, mais de nombreux responsables nazis échappent aux poursuites, fuient ou sont recrutés par les services occidentaux.
Les zones américaine et britannique fusionnent en décembre pour former la bizone. À Berlin, les premières élections municipales donnent la majorité au SPD.</t>
  </si>
  <si>
    <t>Période de disette la plus terrible depuis la fin de la guerre. Les Trümmerfrauen (les femmes des ruines) constituent un des piliers de la reconstruction.
Dans les zones occidentales, l’assouplissement de la censure accompagne le recul progressif de la dénazification, désormais subordonnée à la confrontation entre les blocs. Berlin concentre ces tensions.</t>
  </si>
  <si>
    <t>En RDA, le pluralisme est strictement encadré. Jusqu’à la construction du Mur, environ 2,7 millions d’Allemands de l’Est gagnent la RFA.
À l’Ouest, la guerre de Corée stimule la demande industrielle et accélère l’essor d’une économie de biens de consommation.</t>
  </si>
  <si>
    <t>Le rock est encore associé à la délinquance et aux débordements de la jeunesse ; la chanson de variété allemande, le Schlager, domine la culture populaire jusqu’au milieu des années 1960.</t>
  </si>
  <si>
    <t>Création du Traité de "la communauté du charbon et de l'acier", début de la construction européenne autour de 6 pays.
La société ouest-allemande compte encore environ deux millions d’orphelins et un million de veuves de guerre. Le « miracle économique » repose sur les transferts technologiques, une main-d’œuvre qualifiée et la modération salariale. L’anticommunisme domine la vie politique, tandis que l’engagement public demeure limité.</t>
  </si>
  <si>
    <t>Traité de réparation avec Israël signé par Adenauer.
L’accord sur la Communauté européenne de défense admet le principe d’une armée allemande sous commandement européen, même si le projet échoue en 1954. La RFA s’engage parallèlement à verser des réparations à Israël sous forme de livraisons de produits et d’armes.</t>
  </si>
  <si>
    <t>Révolte des ouvriers berlinois est-allemands écrasée par les chars soviétiques. 
Adenauer est réélu chancelier avec une coalition de centre droit
L’insurrection partie de Berlin-Est contre l’augmentation des cadences de travail s’étend aux principales villes de RDA avant d’être violemment réprimée par les forces soviétiques.
En RFA, l’application tardive du principe constitutionnel d’égalité dans le droit de la famille ne met pas fin à la « remasculinisation » de la société d’après-guerre.</t>
  </si>
  <si>
    <t>Premiers concerts de rock'n'roll en RFA à Hambourg et Francfort.
Bertolt Brecht dénonce dans un poème le mépris des dirigeants est-allemands pour le peuple ; le texte ne sera publié qu’en 1959 à l’Ouest.</t>
  </si>
  <si>
    <t>La RFA devient un état souverain, doté de sa propre armée. Elle est admise au sein de l'OTAN.
La RFA remporte la coupe du monde de football, confirmation de son retour dans le concert des nations. 
Les premiers travailleurs immigrés commencent à arriver de Grèce et d'Italie pour soutenir le "miracle économique".
Les accords de Paris préparent le rétablissement de la souveraineté ouest-allemande et l’intégration de la RFA au système de défense occidental. La division allemande se consolide par l’institutionnalisation de deux blocs politiques et militaires rivaux.</t>
  </si>
  <si>
    <t>Le premier accord de recrutement de travailleurs étrangers est signé avec l’Italie : il inaugure le système des Gastarbeiter, indispensable à la croissance industrielle ouest-allemande.</t>
  </si>
  <si>
    <t>Le SPD (parti social-démocrate allemand), adopte le programme de Bad-Godesberg : pour la première fois, le SPD abandonne formellement les idées d'inspiration marxiste. Il reconnaît l'économie de marché et se dit lié au peuple entier, non aux seuls travailleurs.
La prospérité se traduit par un équipement rapide des ménages, notamment en téléviseurs. Dans le même temps, la continuité avec le personnel de la dictature nazie demeure forte : à la fin de la décennie, les anciens membres du NSDAP représentent en moyenne environ 40 % des effectifs de certaines administrations et institutions.</t>
  </si>
  <si>
    <t>Procès d'Eichmann à Jerusalem
L’arrivée du millionième travailleur immigré en RFA donne lieu à une célébration médiatique : les Gastarbeiter sont publiquement présentés comme les acteurs du miracle économique, alors même que leur installation reste pensée comme provisoire.</t>
  </si>
  <si>
    <t>Émergence de l'Anti-teater à Munich. Influence de la Nouvelle Vague française. Le cinéma devient politique et théorique.
La redécouverte de l’École de Francfort nourrit la critique du capitalisme, de la consommation et des structures d’autorité. La revue Konkret, dont Ulrike Meinhof est rédactrice en chef, devient l’un des relais intellectuels de la gauche radicale.</t>
  </si>
  <si>
    <t>Après quatre années de débats, l’IVG est autorisée sur indication médico-sociale, tout en demeurant pénalisée hors de ce cadre.
Ulrike Meinhof est retrouvée pendue dans sa cellule ; l’enquête conclut au suicide, conclusion contestée par les membres de la RAF. L’arrestation d’un avocat de Baader révèle la préparation de nouveaux attentats.</t>
  </si>
  <si>
    <t>La détente internationale s’essouffle : reprise de la course aux armements et redéploiement des armes conventionnelles et nucléaires. Les mouvements pacifistes retrouvent une forte capacité de mobilisation.</t>
  </si>
  <si>
    <t>Fondation des Verts (1980). Manifestations écologistes. Fin de l'ère sociale-libérale.
La création des Verts rassemble des courants écologistes, féministes et pacifistes issus des mobilisations de la décennie précédente. La représentation politique des femmes reste pourtant inférieure à 10 %, et les modèles sociaux demeurent largement centrés sur la femme au foyer.</t>
  </si>
  <si>
    <t>Une grande manifestation organisée à Bonn contre la course aux armements confirme l’importance du pacifisme dans la société ouest-allemande.</t>
  </si>
  <si>
    <t>Victoire de la CDU en octobre : Helmut Kohl devient chancelier. Fin d'une époque artistique et politique radicale.
L’arrivée d’Helmut Kohl à la chancellerie ouvre une longue période de gouvernement chrétien-démocrate. Il maintient l’Ostpolitik tout en réaffirmant l’objectif de réunification inscrit dans la Loi fondamentale et en approfondissant la coopération franco-allemande.</t>
  </si>
  <si>
    <r>
      <rPr>
        <sz val="10"/>
        <color rgb="FF000000"/>
        <rFont val="Arial"/>
        <family val="2"/>
      </rPr>
      <t xml:space="preserve">Jochen et ses collègues, dans </t>
    </r>
    <r>
      <rPr>
        <i/>
        <sz val="10"/>
        <color rgb="FF000000"/>
        <rFont val="Arial"/>
        <family val="2"/>
      </rPr>
      <t xml:space="preserve">Huit heures ne font pas un jour, </t>
    </r>
    <r>
      <rPr>
        <sz val="10"/>
        <color rgb="FF000000"/>
        <rFont val="Arial"/>
        <family val="2"/>
      </rPr>
      <t xml:space="preserve">incarnent les ouvriers hautement qualifiés qui font la réussite économique de la RFA.
L'œuvre de Fassbinder analyse rétrospectivement cette période en mettant à distance le consensus social de la prospérité des années 50 et 60 et en révélant les mensonges du miracle économique. Mais il met aussi en exergue l'optimisme et la vitalité anarchique de cette période où tout est possible (la garderie dans </t>
    </r>
    <r>
      <rPr>
        <i/>
        <sz val="10"/>
        <color rgb="FF000000"/>
        <rFont val="Arial"/>
        <family val="2"/>
      </rPr>
      <t>Huit heures ne font pas un jour</t>
    </r>
    <r>
      <rPr>
        <sz val="10"/>
        <color rgb="FF000000"/>
        <rFont val="Arial"/>
        <family val="2"/>
      </rPr>
      <t xml:space="preserve">, l'ascension de </t>
    </r>
    <r>
      <rPr>
        <i/>
        <sz val="10"/>
        <color rgb="FF000000"/>
        <rFont val="Arial"/>
        <family val="2"/>
      </rPr>
      <t>Maria Braun)</t>
    </r>
  </si>
  <si>
    <r>
      <t>Le film de Rossellini</t>
    </r>
    <r>
      <rPr>
        <i/>
        <sz val="10"/>
        <color rgb="FF000000"/>
        <rFont val="Arial"/>
        <family val="2"/>
      </rPr>
      <t xml:space="preserve"> Allemagne année zéro</t>
    </r>
    <r>
      <rPr>
        <sz val="10"/>
        <color rgb="FF000000"/>
        <rFont val="Arial"/>
        <family val="2"/>
      </rPr>
      <t xml:space="preserve"> offre une vision réaliste et critique de l'Allemagne en ruine
Revenu d’exil, Bertolt Brecht se voit refuser par les Alliés occidentaux l’autorisation de s’installer en RFA ; cette trajectoire annonce la polarisation culturelle entre les deux Allemagne.</t>
    </r>
  </si>
  <si>
    <r>
      <t xml:space="preserve">Jean Vilar présente à Berlin-Ouest </t>
    </r>
    <r>
      <rPr>
        <i/>
        <sz val="10"/>
        <color theme="1"/>
        <rFont val="Arial"/>
        <family val="2"/>
      </rPr>
      <t xml:space="preserve">Le Prince de Hombourg </t>
    </r>
    <r>
      <rPr>
        <sz val="10"/>
        <color theme="1"/>
        <rFont val="Arial"/>
        <family val="2"/>
      </rPr>
      <t xml:space="preserve">de Kleist, créé à Avignon, avec un immense succès. Le TNP accueille également </t>
    </r>
    <r>
      <rPr>
        <i/>
        <sz val="10"/>
        <color theme="1"/>
        <rFont val="Arial"/>
        <family val="2"/>
      </rPr>
      <t>Mère Courage</t>
    </r>
    <r>
      <rPr>
        <sz val="10"/>
        <color theme="1"/>
        <rFont val="Arial"/>
        <family val="2"/>
      </rPr>
      <t xml:space="preserve"> de Brecht : les échanges théâtraux participent au retour de l’Allemagne dans la vie culturelle européenne.</t>
    </r>
  </si>
  <si>
    <r>
      <t xml:space="preserve">Première émission de télévision dans le nord et l'ouest de la RFA
Dans </t>
    </r>
    <r>
      <rPr>
        <i/>
        <sz val="10"/>
        <color theme="1"/>
        <rFont val="Arial"/>
        <family val="2"/>
      </rPr>
      <t>Les Cerises de la liberté</t>
    </r>
    <r>
      <rPr>
        <sz val="10"/>
        <color theme="1"/>
        <rFont val="Arial"/>
        <family val="2"/>
      </rPr>
      <t>, Alfred Andersch raconte sa désertion de la Wehrmacht en 1944. Cette œuvre de la « littérature des ruines », mal reçue en RFA, témoigne des difficultés à élaborer publiquement l’expérience de la guerre.</t>
    </r>
  </si>
  <si>
    <r>
      <rPr>
        <sz val="10"/>
        <color rgb="FF000000"/>
        <rFont val="Arial"/>
        <family val="2"/>
      </rPr>
      <t xml:space="preserve">La vogue du </t>
    </r>
    <r>
      <rPr>
        <i/>
        <sz val="10"/>
        <color rgb="FF000000"/>
        <rFont val="Arial"/>
        <family val="2"/>
      </rPr>
      <t xml:space="preserve">hula-hoop </t>
    </r>
    <r>
      <rPr>
        <sz val="10"/>
        <color rgb="FF000000"/>
        <rFont val="Arial"/>
        <family val="2"/>
      </rPr>
      <t>déferle sur l'Allemagne</t>
    </r>
  </si>
  <si>
    <r>
      <rPr>
        <sz val="10"/>
        <color rgb="FF000000"/>
        <rFont val="Arial"/>
        <family val="2"/>
      </rPr>
      <t xml:space="preserve">Fin de la série télévisée </t>
    </r>
    <r>
      <rPr>
        <i/>
        <sz val="10"/>
        <color rgb="FF000000"/>
        <rFont val="Arial"/>
        <family val="2"/>
      </rPr>
      <t xml:space="preserve">Die familie Schölermann </t>
    </r>
    <r>
      <rPr>
        <sz val="10"/>
        <color rgb="FF000000"/>
        <rFont val="Arial"/>
        <family val="2"/>
      </rPr>
      <t xml:space="preserve">(111 épisodes depuis 1954), extrêmement populaire (70% à 90% d'audience). Elle est remplacée par un nouveau feuilleton </t>
    </r>
    <r>
      <rPr>
        <i/>
        <sz val="10"/>
        <color rgb="FF000000"/>
        <rFont val="Arial"/>
        <family val="2"/>
      </rPr>
      <t>Die Firma Hesselbach</t>
    </r>
  </si>
  <si>
    <r>
      <rPr>
        <sz val="10"/>
        <color rgb="FF000000"/>
        <rFont val="Arial"/>
        <family val="2"/>
      </rPr>
      <t xml:space="preserve">Réalise ses premiers courts métrages : </t>
    </r>
    <r>
      <rPr>
        <i/>
        <sz val="10"/>
        <color rgb="FF000000"/>
        <rFont val="Arial"/>
        <family val="2"/>
      </rPr>
      <t>This Night</t>
    </r>
    <r>
      <rPr>
        <sz val="10"/>
        <color rgb="FF000000"/>
        <rFont val="Arial"/>
        <family val="2"/>
      </rPr>
      <t xml:space="preserve"> (1966) et </t>
    </r>
    <r>
      <rPr>
        <i/>
        <sz val="10"/>
        <color rgb="FF000000"/>
        <rFont val="Arial"/>
        <family val="2"/>
      </rPr>
      <t xml:space="preserve">Le Clochard </t>
    </r>
    <r>
      <rPr>
        <sz val="10"/>
        <color rgb="FF000000"/>
        <rFont val="Arial"/>
        <family val="2"/>
      </rPr>
      <t>(1966). Confrontation de la mémoire de la Shoah.</t>
    </r>
  </si>
  <si>
    <r>
      <rPr>
        <i/>
        <sz val="10"/>
        <color rgb="FF000000"/>
        <rFont val="Arial"/>
        <family val="2"/>
      </rPr>
      <t>L'amour est plus froid que la mort
Le Bouc (</t>
    </r>
    <r>
      <rPr>
        <sz val="10"/>
        <color rgb="FF000000"/>
        <rFont val="Arial"/>
        <family val="2"/>
      </rPr>
      <t>succès à Mannheim) : critique de la xénophobie et de l'apathie bourgeoise.</t>
    </r>
  </si>
  <si>
    <r>
      <rPr>
        <i/>
        <sz val="10"/>
        <color rgb="FF000000"/>
        <rFont val="Arial"/>
        <family val="2"/>
      </rPr>
      <t>Les dieux de la peste
Pourquoi M. R. est-il atteint de folie meurtrière ?
Le soldat américain</t>
    </r>
    <r>
      <rPr>
        <sz val="10"/>
        <color rgb="FF000000"/>
        <rFont val="Arial"/>
        <family val="2"/>
      </rPr>
      <t xml:space="preserve">
</t>
    </r>
    <r>
      <rPr>
        <i/>
        <sz val="10"/>
        <color rgb="FF000000"/>
        <rFont val="Arial"/>
        <family val="2"/>
      </rPr>
      <t>Le Voyage à Niklashausen - Téléfilm
Rio das mortes
Le café -</t>
    </r>
    <r>
      <rPr>
        <sz val="10"/>
        <color rgb="FF000000"/>
        <rFont val="Arial"/>
        <family val="2"/>
      </rPr>
      <t xml:space="preserve">Téléfilm tiré d'une création théâtrale de Peer Raben et RWF
</t>
    </r>
  </si>
  <si>
    <r>
      <t xml:space="preserve">Dans </t>
    </r>
    <r>
      <rPr>
        <i/>
        <sz val="10"/>
        <color theme="1"/>
        <rFont val="Arial"/>
        <family val="2"/>
      </rPr>
      <t>Le Pain des jeunes années</t>
    </r>
    <r>
      <rPr>
        <sz val="10"/>
        <color theme="1"/>
        <rFont val="Arial"/>
        <family val="2"/>
      </rPr>
      <t>, Heinrich Böll décrit le bouleversement provoqué par le passage brutal des privations de l’après-guerre à l’abondance du boom économique.</t>
    </r>
  </si>
  <si>
    <t xml:space="preserve">La RFA signe le traité de Rome qui institue la Communauté Européenne (CEE). 
Un scandale secoue le monde politique et financier : une prostituée  qui comptait parmi ses clients de nombreux hommes politiques  ou industriels, est assassinée à Francfort.
Adenauer tente d'imposer le fait que la RFA se dote de l'arme nucléaire mais se heurte à un front de protestation, notamment du monde scientifique.
Les mouvements pacifistes dénoncent la remilitarisation et mènent campagne contre l’armement nucléaire.
Willy Brandt devient maire de Berlin-Ouest et associe étroitement la communauté juive à la vie de la ville. Une loi organise l’indemnisation des biens spoliés par les nazis.
</t>
  </si>
  <si>
    <r>
      <t xml:space="preserve">Terrorisme de la RAF (arrestations en 1972). Attentat des JO de Munich (1972). Démission de Willy Brandt (1974) suite à l'affaire Guillaume. Un virage conservateur s'opère.
Willy Brandt reçoit le prix Nobel de la paix pour sa politique de rapprochement avec le bloc de l’Est.
La RAF publie </t>
    </r>
    <r>
      <rPr>
        <i/>
        <sz val="10"/>
        <color theme="1"/>
        <rFont val="Arial"/>
        <family val="2"/>
      </rPr>
      <t>Le Concept de guérilla urbaine</t>
    </r>
    <r>
      <rPr>
        <sz val="10"/>
        <color theme="1"/>
        <rFont val="Arial"/>
        <family val="2"/>
      </rPr>
      <t>. Une vaste opération d'arrestation vise ses membres ; Petra Schelm est tuée par la police et deux policiers meurent à l’automne.</t>
    </r>
  </si>
  <si>
    <t>Le traité fondamental organise la reconnaissance mutuelle de la RFA et de la RDA.
La RAF mène une série d’attentats contre l’armée américaine, la police, un juge et le groupe de presse Springer : quatre personnes sont tuées et des dizaines blessées. Baader, Ensslin, Meinhof, Raspe et plusieurs autres membres sont arrêtés en juin.</t>
  </si>
  <si>
    <r>
      <rPr>
        <i/>
        <sz val="10"/>
        <color rgb="FF000000"/>
        <rFont val="Arial"/>
        <family val="2"/>
      </rPr>
      <t xml:space="preserve">Le Marchand des quatre saisons
Les larmes amères de Petra von Kant
Liberté à Brême </t>
    </r>
    <r>
      <rPr>
        <sz val="10"/>
        <color rgb="FF000000"/>
        <rFont val="Arial"/>
        <family val="2"/>
      </rPr>
      <t>- Téléfilm</t>
    </r>
    <r>
      <rPr>
        <i/>
        <sz val="10"/>
        <color rgb="FF000000"/>
        <rFont val="Arial"/>
        <family val="2"/>
      </rPr>
      <t xml:space="preserve">
Huit heures ne font pas un jour </t>
    </r>
    <r>
      <rPr>
        <sz val="10"/>
        <color rgb="FF000000"/>
        <rFont val="Arial"/>
        <family val="2"/>
      </rPr>
      <t xml:space="preserve"> - série</t>
    </r>
  </si>
  <si>
    <r>
      <rPr>
        <i/>
        <sz val="10"/>
        <color rgb="FF000000"/>
        <rFont val="Arial"/>
        <family val="2"/>
      </rPr>
      <t>Portier de nuit</t>
    </r>
    <r>
      <rPr>
        <sz val="10"/>
        <color rgb="FF000000"/>
        <rFont val="Arial"/>
        <family val="2"/>
      </rPr>
      <t xml:space="preserve"> de Liliana Cavani</t>
    </r>
  </si>
  <si>
    <r>
      <rPr>
        <i/>
        <sz val="10"/>
        <color rgb="FF000000"/>
        <rFont val="Arial"/>
        <family val="2"/>
      </rPr>
      <t xml:space="preserve">Gibier de passage </t>
    </r>
    <r>
      <rPr>
        <sz val="10"/>
        <color rgb="FF000000"/>
        <rFont val="Arial"/>
        <family val="2"/>
      </rPr>
      <t>-Téléfilm</t>
    </r>
    <r>
      <rPr>
        <i/>
        <sz val="10"/>
        <color rgb="FF000000"/>
        <rFont val="Arial"/>
        <family val="2"/>
      </rPr>
      <t xml:space="preserve">
Le monde sur un fil</t>
    </r>
    <r>
      <rPr>
        <sz val="10"/>
        <color rgb="FF000000"/>
        <rFont val="Arial"/>
        <family val="2"/>
      </rPr>
      <t xml:space="preserve"> - Téléfilm en parties</t>
    </r>
  </si>
  <si>
    <r>
      <rPr>
        <sz val="10"/>
        <color rgb="FF000000"/>
        <rFont val="Arial"/>
        <family val="2"/>
      </rPr>
      <t xml:space="preserve">L'ombre des anges de Daniel Schmid,  d'après la pièce </t>
    </r>
    <r>
      <rPr>
        <i/>
        <sz val="10"/>
        <color rgb="FF000000"/>
        <rFont val="Arial"/>
        <family val="2"/>
      </rPr>
      <t>Les ordures, la ville et la mort</t>
    </r>
    <r>
      <rPr>
        <sz val="10"/>
        <color rgb="FF000000"/>
        <rFont val="Arial"/>
        <family val="2"/>
      </rPr>
      <t xml:space="preserve">
Le rôti de satan 
Je veux seulement que vous m'aimiez - Téléfilm
Roulette chinoise </t>
    </r>
  </si>
  <si>
    <r>
      <rPr>
        <sz val="10"/>
        <color rgb="FF000000"/>
        <rFont val="Arial"/>
        <family val="2"/>
      </rPr>
      <t xml:space="preserve">Il joue dans  </t>
    </r>
    <r>
      <rPr>
        <i/>
        <sz val="10"/>
        <color rgb="FF000000"/>
        <rFont val="Arial"/>
        <family val="2"/>
      </rPr>
      <t>L'ombre des anges</t>
    </r>
    <r>
      <rPr>
        <sz val="10"/>
        <color rgb="FF000000"/>
        <rFont val="Arial"/>
        <family val="2"/>
      </rPr>
      <t xml:space="preserve">, l'adaptation de sa propre pièce, </t>
    </r>
    <r>
      <rPr>
        <i/>
        <sz val="10"/>
        <color rgb="FF000000"/>
        <rFont val="Arial"/>
        <family val="2"/>
      </rPr>
      <t>Les ordures la ville et la mort</t>
    </r>
    <r>
      <rPr>
        <sz val="10"/>
        <color rgb="FF000000"/>
        <rFont val="Arial"/>
        <family val="2"/>
      </rPr>
      <t xml:space="preserve">, mise en scène au cinéma par D. Schmid, et en partie financée par Fassbinder et produit par la société Albatros films de Fengler. C'est tout l'entourage de Fassbinder qui se joint au film, notamment Ingrid Caven. </t>
    </r>
  </si>
  <si>
    <r>
      <rPr>
        <i/>
        <sz val="10"/>
        <color rgb="FF000000"/>
        <rFont val="Arial"/>
        <family val="2"/>
      </rPr>
      <t xml:space="preserve">Despair, </t>
    </r>
    <r>
      <rPr>
        <sz val="10"/>
        <color rgb="FF000000"/>
        <rFont val="Arial"/>
        <family val="2"/>
      </rPr>
      <t xml:space="preserve">deuxième coproduction internationale de RWF avec Dirk Bogarde et Andra Ferreol, deux acteurs importants du cinéma moderne européen, en compétition à Cannes en 1978
</t>
    </r>
    <r>
      <rPr>
        <i/>
        <sz val="10"/>
        <color rgb="FF000000"/>
        <rFont val="Arial"/>
        <family val="2"/>
      </rPr>
      <t>Le mariage de Maria Braun</t>
    </r>
    <r>
      <rPr>
        <sz val="10"/>
        <color rgb="FF000000"/>
        <rFont val="Arial"/>
        <family val="2"/>
      </rPr>
      <t xml:space="preserve">, en compétition officielle à Berlin en 1979
</t>
    </r>
    <r>
      <rPr>
        <i/>
        <sz val="10"/>
        <color rgb="FF000000"/>
        <rFont val="Arial"/>
        <family val="2"/>
      </rPr>
      <t>L'année des treize lunes</t>
    </r>
    <r>
      <rPr>
        <sz val="10"/>
        <color rgb="FF000000"/>
        <rFont val="Arial"/>
        <family val="2"/>
      </rPr>
      <t xml:space="preserve"> poursuit la réflexion entamée sur le désespoir. 
L'épisode réalisé par RWF dans </t>
    </r>
    <r>
      <rPr>
        <i/>
        <sz val="10"/>
        <color rgb="FF000000"/>
        <rFont val="Arial"/>
        <family val="2"/>
      </rPr>
      <t>L'Allemagne en automne</t>
    </r>
    <r>
      <rPr>
        <sz val="10"/>
        <color rgb="FF000000"/>
        <rFont val="Arial"/>
        <family val="2"/>
      </rPr>
      <t xml:space="preserve"> offre une relecture des actions commises par la RAF sur le mode de l'autofiction.</t>
    </r>
  </si>
  <si>
    <r>
      <rPr>
        <i/>
        <sz val="10"/>
        <color theme="1"/>
        <rFont val="Arial"/>
        <family val="2"/>
      </rPr>
      <t xml:space="preserve">La troisième génération, </t>
    </r>
    <r>
      <rPr>
        <sz val="10"/>
        <color theme="1"/>
        <rFont val="Arial"/>
        <family val="2"/>
      </rPr>
      <t xml:space="preserve">film inspiré par les actions de la RAF et la violence d'Etat, est compliqué à produire. </t>
    </r>
    <r>
      <rPr>
        <i/>
        <sz val="10"/>
        <color theme="1"/>
        <rFont val="Arial"/>
        <family val="2"/>
      </rPr>
      <t xml:space="preserve">Le Mariage de Maria Braun </t>
    </r>
    <r>
      <rPr>
        <sz val="10"/>
        <color theme="1"/>
        <rFont val="Arial"/>
        <family val="2"/>
      </rPr>
      <t xml:space="preserve">allégorie de la reconstruction allemande, connaît un triomphe international.  </t>
    </r>
  </si>
  <si>
    <r>
      <rPr>
        <i/>
        <sz val="10"/>
        <color theme="1"/>
        <rFont val="Arial"/>
        <family val="2"/>
      </rPr>
      <t xml:space="preserve">Le mariage de Maria Braun </t>
    </r>
    <r>
      <rPr>
        <sz val="10"/>
        <color theme="1"/>
        <rFont val="Arial"/>
        <family val="2"/>
      </rPr>
      <t xml:space="preserve">remporte un succès majeur en Allemagne et dans le monde, ouvrant les portes des studios américains à RWF. Aux Etats-Unis le film est distribué par United Artists. Le film fait de RWF et de son actrice Hanna Schygulla des stars et Fassbinder, l'enfant terrible du cinéma allemand, le metteur en scène des marges, devient paradoxalement l'incarnation même de la RFA. Le rêve de RWF de réaliser un "film hollywoodien allemand" semble accompli. Le film ouvre aussi la trilogie RFA. 
</t>
    </r>
  </si>
  <si>
    <r>
      <rPr>
        <sz val="10"/>
        <color theme="1"/>
        <rFont val="Arial"/>
        <family val="2"/>
      </rPr>
      <t xml:space="preserve">Hanna Schygulla doit interpréter </t>
    </r>
    <r>
      <rPr>
        <i/>
        <sz val="10"/>
        <color theme="1"/>
        <rFont val="Arial"/>
        <family val="2"/>
      </rPr>
      <t>Lola une femme allemande</t>
    </r>
    <r>
      <rPr>
        <sz val="10"/>
        <color theme="1"/>
        <rFont val="Arial"/>
        <family val="2"/>
      </rPr>
      <t>, mais Fassbinder lui retire le rôle furieux que l'actrice ait déclaré qu'elle s'était elle-même distribuée dans le film.</t>
    </r>
  </si>
  <si>
    <r>
      <rPr>
        <i/>
        <sz val="10"/>
        <color rgb="FF000000"/>
        <rFont val="Arial"/>
        <family val="2"/>
      </rPr>
      <t>Lili Marleen</t>
    </r>
    <r>
      <rPr>
        <sz val="10"/>
        <color rgb="FF000000"/>
        <rFont val="Arial"/>
        <family val="2"/>
      </rPr>
      <t xml:space="preserve">
Suite de la Trilogie de la RFA :   </t>
    </r>
    <r>
      <rPr>
        <i/>
        <sz val="10"/>
        <color rgb="FF000000"/>
        <rFont val="Arial"/>
        <family val="2"/>
      </rPr>
      <t>Lola, une femme allemande</t>
    </r>
    <r>
      <rPr>
        <sz val="10"/>
        <color rgb="FF000000"/>
        <rFont val="Arial"/>
        <family val="2"/>
      </rPr>
      <t xml:space="preserve"> 
</t>
    </r>
    <r>
      <rPr>
        <i/>
        <sz val="10"/>
        <color rgb="FF000000"/>
        <rFont val="Arial"/>
        <family val="2"/>
      </rPr>
      <t>Théâtre en transe</t>
    </r>
    <r>
      <rPr>
        <sz val="10"/>
        <color rgb="FF000000"/>
        <rFont val="Arial"/>
        <family val="2"/>
      </rPr>
      <t>, documentaire</t>
    </r>
  </si>
  <si>
    <r>
      <rPr>
        <i/>
        <sz val="10"/>
        <color rgb="FF000000"/>
        <rFont val="Arial"/>
        <family val="2"/>
      </rPr>
      <t xml:space="preserve">Le secret de Veronika Voss, </t>
    </r>
    <r>
      <rPr>
        <sz val="10"/>
        <color rgb="FF000000"/>
        <rFont val="Arial"/>
        <family val="2"/>
      </rPr>
      <t>ours d'or à Berlin</t>
    </r>
    <r>
      <rPr>
        <i/>
        <sz val="10"/>
        <color rgb="FF000000"/>
        <rFont val="Arial"/>
        <family val="2"/>
      </rPr>
      <t xml:space="preserve">
Querelle
RWF laisse un héritage de plus de 40 films.</t>
    </r>
  </si>
  <si>
    <r>
      <t xml:space="preserve">Affiche du </t>
    </r>
    <r>
      <rPr>
        <i/>
        <sz val="10"/>
        <color rgb="FF000000"/>
        <rFont val="Arial"/>
        <family val="2"/>
      </rPr>
      <t>Mariage de Maria Braun</t>
    </r>
  </si>
  <si>
    <r>
      <rPr>
        <sz val="10"/>
        <color theme="1"/>
        <rFont val="Arial"/>
        <family val="2"/>
      </rPr>
      <t xml:space="preserve">"Représenter l'Allemagne, ce n'est pas seulement adopter une position critique, c'est inventer une nouvelle manière". </t>
    </r>
    <r>
      <rPr>
        <i/>
        <sz val="10"/>
        <color theme="1"/>
        <rFont val="Arial"/>
        <family val="2"/>
      </rPr>
      <t>R. W. Fassbinder, cinéaste d’Allemagne</t>
    </r>
    <r>
      <rPr>
        <sz val="10"/>
        <color theme="1"/>
        <rFont val="Arial"/>
        <family val="2"/>
      </rPr>
      <t>, de Thomas Elsaesser, Centre Pompidou, 2005, p.26</t>
    </r>
  </si>
  <si>
    <r>
      <t xml:space="preserve">"Mein Herr", numéro de </t>
    </r>
    <r>
      <rPr>
        <i/>
        <sz val="10"/>
        <color theme="1"/>
        <rFont val="Arial"/>
        <family val="2"/>
      </rPr>
      <t>Cabaret |</t>
    </r>
    <r>
      <rPr>
        <sz val="10"/>
        <color theme="1"/>
        <rFont val="Arial"/>
        <family val="2"/>
      </rPr>
      <t>https://www.youtube.com/watch?v=qBjiQ5oDHBc</t>
    </r>
  </si>
  <si>
    <t>Le cinéma et la télévision s’emparent des violences politiques, des minorités et des rapports de domination. Le « film amphibie », conçu pour circuler entre petit et grand écran, élargit le public de cette critique sociale.</t>
  </si>
  <si>
    <r>
      <rPr>
        <i/>
        <sz val="10"/>
        <color rgb="FF000000"/>
        <rFont val="Arial"/>
        <family val="2"/>
      </rPr>
      <t>Maman Küsters s'en va au ciel</t>
    </r>
    <r>
      <rPr>
        <sz val="10"/>
        <color rgb="FF000000"/>
        <rFont val="Arial"/>
        <family val="2"/>
      </rPr>
      <t xml:space="preserve"> 
</t>
    </r>
    <r>
      <rPr>
        <i/>
        <sz val="10"/>
        <color rgb="FF000000"/>
        <rFont val="Arial"/>
        <family val="2"/>
      </rPr>
      <t>Le Droit du plus fort</t>
    </r>
    <r>
      <rPr>
        <sz val="10"/>
        <color rgb="FF000000"/>
        <rFont val="Arial"/>
        <family val="2"/>
      </rPr>
      <t xml:space="preserve"> 
</t>
    </r>
    <r>
      <rPr>
        <i/>
        <sz val="10"/>
        <color rgb="FF000000"/>
        <rFont val="Arial"/>
        <family val="2"/>
      </rPr>
      <t>Comme un oiseau sur le fil</t>
    </r>
    <r>
      <rPr>
        <sz val="10"/>
        <color rgb="FF000000"/>
        <rFont val="Arial"/>
        <family val="2"/>
      </rPr>
      <t xml:space="preserve"> - Téléfilm
</t>
    </r>
    <r>
      <rPr>
        <i/>
        <sz val="10"/>
        <color rgb="FF000000"/>
        <rFont val="Arial"/>
        <family val="2"/>
      </rPr>
      <t>Peur de la peur</t>
    </r>
    <r>
      <rPr>
        <sz val="10"/>
        <color rgb="FF000000"/>
        <rFont val="Arial"/>
        <family val="2"/>
      </rPr>
      <t xml:space="preserve"> -Téléfilm
</t>
    </r>
  </si>
  <si>
    <t>Erhard.jpg</t>
  </si>
  <si>
    <t>Le chancelier Ehrard (CDU)</t>
  </si>
  <si>
    <t xml:space="preserve">Une grande coalition chrétienne-démocrate voit le jour sous l'autorité du nouveau chancelier Kurt Georg Kiesinger. Willy Brandt est ministre des affaires étrangères et vice-chancelier.
La Grande Coalition CDU-SPD réduit l’opposition parlementaire et favorise l’essor d’une opposition extraparlementaire, particulièrement active dans les milieux étudiants. Les 15-29 ans représentent près de 22 % de la population.
</t>
  </si>
  <si>
    <t>Rudi DUTSCHKE, figure de proue de la contestation estudiantine en RFA|https://www.ina.fr/ina-eclaire-actu/video/caf86014980/l-allemagne-de-rudi-le-rouge</t>
  </si>
  <si>
    <t>Une majorité sociale-libérale place Willy Brandt (SPD) au pouvoir.
Willy Brandt engage une politique de rapprochement avec la RDA et le bloc de l’Est. Environ deux millions d’étrangers vivent en RFA ; les Gastarbeiter occupent souvent les emplois les plus pénibles et les moins bien payés et subissent des discriminations.
La réforme du paragraphe 175 accompagne l’assouplissement de la répression de l’homosexualité. Après leur condamnation en appel, Baader, Ensslin et leurs camarades passent dans la clandestinité.</t>
  </si>
  <si>
    <t xml:space="preserve">Mouvements étudiants de 1968. Tentative d'assassinat contre Rudi Dutschke, marxiste et  figure de l’opposition étudiante. 
La contestation étudiante dénonce à la fois la guerre du Vietnam, les continuités autoritaires de la RFA et l’aliénation produite par la société de consommation. La tentative d’assassinat de Rudi Dutschke, les incendies de grands magasins et l’adoption des lois d’exception installent un climat de violence.  Beate Klarsfeld, une militante de la mémoire qui vient d’être licenciée en France de l’office Franco-allemand de la jeunesse pour son activisme, gifle le chancelier Kiesinger
À l’Est, l’écrasement du Printemps de Prague dissipe les espoirs d’un « socialisme à visage humain ». </t>
  </si>
  <si>
    <t>Brandt.jpg</t>
  </si>
  <si>
    <t>Le chancelier Willy Brandt (SPD)</t>
  </si>
  <si>
    <t>Kiesinger.jpg</t>
  </si>
  <si>
    <t>Le chancelier Kiesinger (Grande Coalition CDU-SPD)</t>
  </si>
  <si>
    <t>Schmidt.jpg</t>
  </si>
  <si>
    <t>Le chancelier Helmut Schmidt (SPD)</t>
  </si>
  <si>
    <r>
      <t xml:space="preserve">RWF interprète Fox dans </t>
    </r>
    <r>
      <rPr>
        <i/>
        <sz val="10"/>
        <rFont val="Arial"/>
        <family val="2"/>
      </rPr>
      <t>Le droit du plus fort</t>
    </r>
  </si>
  <si>
    <t>Kohl.jpg</t>
  </si>
  <si>
    <t>Fassbinder_jeunesse.jpeg</t>
  </si>
  <si>
    <t>RWF jeune</t>
  </si>
  <si>
    <t>Le chancelier Adenauer (CDU)</t>
  </si>
  <si>
    <t>Willy Brandt démissionne : Guillaume, un de ses conseillers est démasqué comme espion de la RDA. cependant l'Ostpolitik qu'il a initiée se poursuit. Helmut Schmidt (SPD) lui succède.
Environ quatre millions d’étrangers vivent désormais en RFA.
Ulrike Meinhof est condamnée à huit ans de prison pour son implication dans l'évasion de Baader. Les détenus de la RAF dénoncent l’isolement carcéral et multiplient les grèves de la faim ; Holger Meins en meurt. Jean-Paul Sartre rencontre Andreas Baader à la prison de Stuttgart-Stammheim et critique publiquement ses conditions de détention.</t>
  </si>
  <si>
    <t>1974-1979</t>
  </si>
  <si>
    <r>
      <t xml:space="preserve">La représentation de l’histoire récente et du nazisme devient un enjeu central. </t>
    </r>
    <r>
      <rPr>
        <i/>
        <sz val="10"/>
        <color theme="1"/>
        <rFont val="Arial"/>
        <family val="2"/>
      </rPr>
      <t>L’Allemagne en automne,</t>
    </r>
    <r>
      <rPr>
        <sz val="10"/>
        <color theme="1"/>
        <rFont val="Arial"/>
        <family val="2"/>
      </rPr>
      <t xml:space="preserve"> </t>
    </r>
    <r>
      <rPr>
        <i/>
        <sz val="10"/>
        <color theme="1"/>
        <rFont val="Arial"/>
        <family val="2"/>
      </rPr>
      <t>Hitler, un film d’Allemagne</t>
    </r>
    <r>
      <rPr>
        <sz val="10"/>
        <color theme="1"/>
        <rFont val="Arial"/>
        <family val="2"/>
      </rPr>
      <t xml:space="preserve"> puis la diffusion de </t>
    </r>
    <r>
      <rPr>
        <i/>
        <sz val="10"/>
        <color theme="1"/>
        <rFont val="Arial"/>
        <family val="2"/>
      </rPr>
      <t>Holocaust</t>
    </r>
    <r>
      <rPr>
        <sz val="10"/>
        <color theme="1"/>
        <rFont val="Arial"/>
        <family val="2"/>
      </rPr>
      <t xml:space="preserve"> confrontent cinéma et télévision aux limites du témoignage, au sentimentalisme, à la mémoire collective et à la capacité des images populaires à rouvrir le passé. Le cinéma allemand s'empare de son histoire passée et récente et réfléchit aux problèmes de représentation qu'elle pose. 
Développement du "film amphibie" (cinéma/TV). Le cinéma devient un outil de critique sociale directe.
Film collectif </t>
    </r>
    <r>
      <rPr>
        <i/>
        <sz val="10"/>
        <color theme="1"/>
        <rFont val="Arial"/>
        <family val="2"/>
      </rPr>
      <t>L'Allemagne en automne</t>
    </r>
    <r>
      <rPr>
        <sz val="10"/>
        <color theme="1"/>
        <rFont val="Arial"/>
        <family val="2"/>
      </rPr>
      <t xml:space="preserve"> (1978). 
La diffusion de la série </t>
    </r>
    <r>
      <rPr>
        <i/>
        <sz val="10"/>
        <color theme="1"/>
        <rFont val="Arial"/>
        <family val="2"/>
      </rPr>
      <t>Holocaust</t>
    </r>
    <r>
      <rPr>
        <sz val="10"/>
        <color theme="1"/>
        <rFont val="Arial"/>
        <family val="2"/>
      </rPr>
      <t xml:space="preserve"> de Marvin J. Chomsky (1979) à la télévision allemande suscite des débats importants, auxquels participent des cinéastes comme Syberberg ou Edgard Reitz. 
La mémoire du nazisme est désormais un enjeu cinématographique : les films de la RFA explorent les continuités entre le Troisième Reich et l'Allemagne contemporaine
Le mouvement du Nouveau Cinéma allemand atteint son apogée thématique et politique.
</t>
    </r>
  </si>
  <si>
    <r>
      <t>Le cinéma allemand poursuit son travail sur la mémoire familiale et nationale, notamment avec Allemagne mère blafarde et le projet Heimat. La télévision devient un lieu majeur pour les récits historiques de longue durée.
Herzog —</t>
    </r>
    <r>
      <rPr>
        <i/>
        <sz val="10"/>
        <rFont val="Arial"/>
        <family val="2"/>
      </rPr>
      <t xml:space="preserve"> Fitzcarraldo </t>
    </r>
    <r>
      <rPr>
        <sz val="10"/>
        <rFont val="Arial"/>
        <family val="2"/>
      </rPr>
      <t>(1982) : tournage légendaire en Amazonie, métaphore de la folie des grandeurs. La documentation du tournage par Les Blank (Burden of Dreams, 1982) devient elle-même un mythe du cinéma.
Fin d'une époque artistique et politique radicale</t>
    </r>
  </si>
  <si>
    <t>La fin de la détente amorcée en 1979 relance la course à l'armement. 
Les mouvements écologistes, féministes et pacifistes se structurent avec la fondation des Verts (1980) et les grandes mobilisations contre la course aux armements. Ils reconfigurent un système politique jusque-là dominé par trois partis.
Fin de l'ère sociale-libérale : arrivée au pouvoir du chancelier Helmut Kohl (CDU) en 1982 :  Kohl se donne comme mission de réconcilier le peuple ouest-allemand avec son passé. Il ne remet pas en cause l'Ostpolitik mais soutient un projet de réunification. Il cultive l'entente avec la France de François Mitterrand
La crise structurelle s'installe. Le chômage s'élève à 8 % en 1983 :  le modèle de l'économie sociale de marché est contesté de l'intérieur par les écologistes et les pacifistes.
Rapport d'une commission d'enquête (« Femme et société », 1980) qui défend encore le modèle de la femme au foyer. La part des femmes élues n'atteint pas 10 %.
La mémoire du nazisme reste un enjeu vif : la figure de Schleyer, ancien SS, a révélé les continuités entre élites économiques et régime nazi.</t>
  </si>
  <si>
    <t xml:space="preserve">Jusqu'à quel point les femmes de la trilogie RFA sont-elles une allégorie de la nation allemande ? </t>
  </si>
  <si>
    <t>L'Allemagne des années 50, la période de référence pour l'œuvre de RWF ?</t>
  </si>
  <si>
    <t>1949-1960</t>
  </si>
  <si>
    <t>1961-1965</t>
  </si>
  <si>
    <t>1966-1973</t>
  </si>
  <si>
    <t>1945-1948</t>
  </si>
  <si>
    <t>1980-1982</t>
  </si>
  <si>
    <r>
      <rPr>
        <i/>
        <sz val="10"/>
        <color rgb="FF000000"/>
        <rFont val="Arial"/>
        <family val="2"/>
      </rPr>
      <t>R. W. Fassbinder, cinéaste d’Allemagne</t>
    </r>
    <r>
      <rPr>
        <sz val="10"/>
        <color rgb="FF000000"/>
        <rFont val="Arial"/>
        <family val="2"/>
      </rPr>
      <t>, de Thomas Elsaesser, Centre Pompidou, 2005</t>
    </r>
    <r>
      <rPr>
        <i/>
        <sz val="10"/>
        <color rgb="FF000000"/>
        <rFont val="Arial"/>
        <family val="2"/>
      </rPr>
      <t>, pp. 490-507</t>
    </r>
  </si>
  <si>
    <r>
      <rPr>
        <i/>
        <sz val="10"/>
        <color rgb="FF000000"/>
        <rFont val="Arial"/>
        <family val="2"/>
      </rPr>
      <t>R. W. Fassbinder, cinéaste d’Allemagne</t>
    </r>
    <r>
      <rPr>
        <sz val="10"/>
        <color rgb="FF000000"/>
        <rFont val="Arial"/>
        <family val="2"/>
      </rPr>
      <t>, de Thomas Elsaesser, Centre Pompidou, 2005</t>
    </r>
  </si>
  <si>
    <r>
      <t xml:space="preserve">Monumental Berlin Alexanderplatz (1980, 15h). 
Suite de la Trilogie de la RFA : </t>
    </r>
    <r>
      <rPr>
        <i/>
        <sz val="10"/>
        <color theme="1"/>
        <rFont val="Arial"/>
        <family val="2"/>
      </rPr>
      <t>Lola, une femme allemande</t>
    </r>
    <r>
      <rPr>
        <sz val="10"/>
        <color theme="1"/>
        <rFont val="Arial"/>
        <family val="2"/>
      </rPr>
      <t xml:space="preserve"> (1981) et </t>
    </r>
    <r>
      <rPr>
        <i/>
        <sz val="10"/>
        <color theme="1"/>
        <rFont val="Arial"/>
        <family val="2"/>
      </rPr>
      <t>Lili Marleen</t>
    </r>
    <r>
      <rPr>
        <sz val="10"/>
        <color theme="1"/>
        <rFont val="Arial"/>
        <family val="2"/>
      </rPr>
      <t xml:space="preserve"> (1981).
</t>
    </r>
    <r>
      <rPr>
        <i/>
        <sz val="10"/>
        <color theme="1"/>
        <rFont val="Arial"/>
        <family val="2"/>
      </rPr>
      <t xml:space="preserve">Le Secret de Veronika Voss </t>
    </r>
    <r>
      <rPr>
        <sz val="10"/>
        <color theme="1"/>
        <rFont val="Arial"/>
        <family val="2"/>
      </rPr>
      <t xml:space="preserve">(Ours d'Or à Berlin). </t>
    </r>
    <r>
      <rPr>
        <i/>
        <sz val="10"/>
        <color theme="1"/>
        <rFont val="Arial"/>
        <family val="2"/>
      </rPr>
      <t>Querelle</t>
    </r>
    <r>
      <rPr>
        <sz val="10"/>
        <color theme="1"/>
        <rFont val="Arial"/>
        <family val="2"/>
      </rPr>
      <t xml:space="preserve"> (œuvre posthume). </t>
    </r>
  </si>
  <si>
    <t>Légende</t>
  </si>
  <si>
    <t>Capitulation du Troisième Reich (mai). Bilan humain de la guerre : 4,2 millions de soldats tués, 500 000 morts civils dans les bombardements, 300 000 victimes des persécutions nazies, 11 millions de prisonniers de guerre (dont 3,3 millions en URSS, le dernier rentrant en 1956). L'Allemagne est en ruines (Heure Zéro). L’« heure zéro » désigne moins une rupture absolue qu’une société de l’effondrement : ruines matérielles : 25 % des logements détruits, 20 millions de sans-abri, 90 % du réseau ferroviaire inutilisable, production industrielle de la Ruhr paralysée, pénuries alimentaires. L'inflation est persistante et le chômage élevé (jusqu'en 1951).
Conférences de Yalta (février 1945) et de Potsdam (juillet 1945) : division de l'Allemagne en quatre zones d'occupation (États-Unis, URSS, Grande-Bretagne, France) et amputation territoriale de 25 % à l'Est (ligne Oder-Neisse). Un gouvernement militaire est placé à la tête de chaque zone.  L’occupation alliée engage simultanément division territoriale, dénazification, démilitarisation et apprentissage démocratique. 
Procès de Nuremberg (novembre 1945) : création des catégories pénales « crime contre la paix », « crime contre l'humanité ». Cependant face aux divergences croissantes entre Alliés occidentaux et URSS, la dénazification cède le pas à la confrontation des deux blocs. L'article 131 de la Loi fondamentale (1949) permet aux anciens adhérents du NSDAP de réintégrer la fonction publique.
Fusion des zones américaine et britannique (bizone, décembre 1946), puis française (trizone,mars 1948). En réaction, blocus de Berlin (juin 1948 et pont aérien allié). Réforme monétaire de juin 1948 : le Deutsche Mark remplace le Reichsmark dans la trizone — acte fondateur de la séparation économique. Création de la RFA (Loi fondamentale du 23 mai 1949) et, par réaction, de la RDA (7 octobre 1949).
À l'Est, fusion forcée KPD-SPD dans le SED (1946) ; pluralisme encadré.</t>
  </si>
  <si>
    <r>
      <t xml:space="preserve">Retour des intellectuels exilés : Adorno, Horkheimer (École de Francfort), Brecht. 
Le cinéma est en ruines. Création de la DEFA (Deutsche Film-Aktiengesellschaft) le 17 mai 1946, entreprise d'État monopolistique en zone soviétique, qui produira 740 longs-métrages en RDA jusqu'à sa dissolution en 1992 
Naissance du </t>
    </r>
    <r>
      <rPr>
        <i/>
        <sz val="10"/>
        <color theme="1"/>
        <rFont val="Arial"/>
        <family val="2"/>
      </rPr>
      <t>Trümmerfilm</t>
    </r>
    <r>
      <rPr>
        <sz val="10"/>
        <color theme="1"/>
        <rFont val="Arial"/>
        <family val="2"/>
      </rPr>
      <t xml:space="preserve"> (film des ruines) : premier genre cinématographique de l'après-guerre, tourné dans les villes détruites. L</t>
    </r>
    <r>
      <rPr>
        <i/>
        <sz val="10"/>
        <color theme="1"/>
        <rFont val="Arial"/>
        <family val="2"/>
      </rPr>
      <t>es Meurtriers sont parmi nous</t>
    </r>
    <r>
      <rPr>
        <sz val="10"/>
        <color theme="1"/>
        <rFont val="Arial"/>
        <family val="2"/>
      </rPr>
      <t xml:space="preserve"> (Wolfgang Staudte, 1946) — premier film allemand d'après-guerre, produit par la DEFA naissante, avec Hildegard Knef dans son premier rôle. La censure soviétique impose une fin modifiée : que des Allemands se vengent eux-mêmes de criminels nazis est jugé inacceptable . 
Les Alliés occidentaux pratiquent également le cinéma comme outil de rééducation. La reconstruction culturelle est pensée comme une rééducation. Presse, édition, radio et cinéma renaissent sous le contrôle des puissances occupantes ; œuvres interdites et artistes exilés retrouvent une place publique. 
Des cinéastes étrangers s'intéressent aussi à l'Allemagne et posent un regard sur les ruines : </t>
    </r>
    <r>
      <rPr>
        <i/>
        <sz val="10"/>
        <color theme="1"/>
        <rFont val="Arial"/>
        <family val="2"/>
      </rPr>
      <t xml:space="preserve">A foreign affair </t>
    </r>
    <r>
      <rPr>
        <sz val="10"/>
        <color theme="1"/>
        <rFont val="Arial"/>
        <family val="2"/>
      </rPr>
      <t xml:space="preserve">(Billy Wilder, 1946) offre un regard satirique sur le Berlin occupé, </t>
    </r>
    <r>
      <rPr>
        <i/>
        <sz val="10"/>
        <color theme="1"/>
        <rFont val="Arial"/>
        <family val="2"/>
      </rPr>
      <t>Allemagne année zéro</t>
    </r>
    <r>
      <rPr>
        <sz val="10"/>
        <color theme="1"/>
        <rFont val="Arial"/>
        <family val="2"/>
      </rPr>
      <t xml:space="preserve"> de Rossellini (1948) rend compte, dans la mouvance néoréaliste, de la ruine morale et matérielle que traverse la population allemande. 
 </t>
    </r>
  </si>
  <si>
    <r>
      <rPr>
        <sz val="10"/>
        <color rgb="FF000000"/>
        <rFont val="Arial"/>
        <family val="2"/>
      </rPr>
      <t xml:space="preserve">L'œuvre de Fassbinder proposera plus tard une radiographie critique de ce "point zéro" de la nouvelle Allemagne, notamment dans </t>
    </r>
    <r>
      <rPr>
        <i/>
        <sz val="10"/>
        <color rgb="FF000000"/>
        <rFont val="Arial"/>
        <family val="2"/>
      </rPr>
      <t>Le Mariage de Maria Braun</t>
    </r>
  </si>
  <si>
    <t>Entrée dans l'ère Adenauer (CDU), chancelier. La stabilisation de la RFA repose sur la Loi fondamentale, l’ancrage occidental, l’économie sociale de marché et une croissance rapide, soutenue par l’immigration de travail. Ce succès coexiste avec la division durable du pays, la répression du soulèvement est-allemand de 1953, un anticommunisme puissant et d’importantes continuités administratives avec le nazisme.
La RFA réintègre progressivement les nations occidentales. Accords de Paris (1954) qui mettent fin à l'occupation de l'Allemagne et confèrent à la RFA et la RDA leur  pleine souveraineté. Entrée de la RFA dans l'OTAN (1955) et début du réarmement de la RFA. Traité de Rome (1957) : la RFA est membre fondatrice de la CEE.
La RDA intègre le pacte de Varsovie. Insurrection ouvrière du 17 juin 1953 à Berlin-Est, réprimée par les chars soviétiques. La RDA soutient politiquement la répression soviétique de l'insurrection hongroise (1956).
La Guerre Froide devient structurelle : le KPD est interdit en RFA (1956). Ultimatum de Khrouchtchev sur Berlin (1958) en raison de la fuite massive des citoyens est-allemands vers l'Ouest, principalement par Berlin. 2,7 millions de personnes passeront à l'Ouest jusqu'en 1961.
Miracle économique ( Wirtschaftswunder ) :  Ludwig Erhard, ministre de l'Économie théorise l'« économie sociale de marché » d'essence néo-libérale. Entre 1950 et 1965 l'économie ouest-allemande croît de 8,2% en moyenne (contre 5% en France pendant les 30 glorieuses).Le plein emploi est atteint en 1960. Le système des Gastarbeiter (travailleurs invités) est lancé par traité avec l'Italie (1955), puis Grèce et Espagne (1960).L'absence d'industrie d'armement profite aux secteurs de consommation. La coccinelle de Volkswagen devient l'emblème du "miracle économique". Le taux d'équipement des ménages (télévision) est en avance de 10 ans sur la France. Les entreprises de taille moyenne constituent la colonne vertébrale de la puissance économique allemande en fournissant les outils spécialisés nécessaires à l'industrie. Parallèlement, l'État  développe une politique sociale conservatrice. L'Anticommunisme domine. La société  subit un mouvement de « remasculinisation » : l'égalité des sexes inscrite dans la Loi fondamentale ne s'applique réellement qu'à partir de 1953 (droit de la famille) et le maintien de la femme au foyer est encouragé.RDA : économie planifiée et collectivisée sur le modèle soviétique ; fuite des cerveaux et de la main-d'œuvre vers l'Ouest.
RFA et Israël : entrée en pourparlers pour les réparations (1951), livraisons d'armes à partir de 1952. en RFA, Création de la Centrale judiciaire de Ludwigsburg (1958) pour poursuivre les criminels nazis.Cependant,  la continuité avec le nazisme est réelle : on retrouve  jusqu'à 40 % d'anciens membres du NSDAP dans les institutions à la fin des années 1950.</t>
  </si>
  <si>
    <r>
      <t xml:space="preserve">Sous l’apparente dépolitisation du </t>
    </r>
    <r>
      <rPr>
        <i/>
        <sz val="10"/>
        <color theme="1"/>
        <rFont val="Arial"/>
        <family val="2"/>
      </rPr>
      <t xml:space="preserve">Schlager </t>
    </r>
    <r>
      <rPr>
        <sz val="10"/>
        <color theme="1"/>
        <rFont val="Arial"/>
        <family val="2"/>
      </rPr>
      <t>(chanson de variété), du</t>
    </r>
    <r>
      <rPr>
        <i/>
        <sz val="10"/>
        <color theme="1"/>
        <rFont val="Arial"/>
        <family val="2"/>
      </rPr>
      <t xml:space="preserve"> Heimatfilm </t>
    </r>
    <r>
      <rPr>
        <sz val="10"/>
        <color theme="1"/>
        <rFont val="Arial"/>
        <family val="2"/>
      </rPr>
      <t>et de la télévision familiale, les écrivains du Groupe 47, la littérature des ruines, Brecht, Andersch, Böll, Adorno et Horkheimer interrogent la guerre, l’exil et les responsabilités collectives. Les modèles culturels américains et le rock transforment progressivement les pratiques de la jeunesse.
Freddy Quinn, Rocco Granata ou Catharina Valente sont les stars de la culture populaire allemande (</t>
    </r>
    <r>
      <rPr>
        <i/>
        <sz val="10"/>
        <color theme="1"/>
        <rFont val="Arial"/>
        <family val="2"/>
      </rPr>
      <t>Schlager)</t>
    </r>
    <r>
      <rPr>
        <sz val="10"/>
        <color theme="1"/>
        <rFont val="Arial"/>
        <family val="2"/>
      </rPr>
      <t xml:space="preserve">. Le rock est encore associé à une forme de  délinquance de la jeunesse. 
Le cinéma ouest-allemand se conforme au modèle conservateur et conformiste de la société de consommation : domination du "cinéma de papa" ( Papas Kino ) : films de terroir ( Heimatfilm ), comédies légères dépolitisées, films en costumes , comédies musicales obtiennent toujours les faveurs du public. Ces genres nés dans les années 10 et 20 ont été très exploités par les nazis. C'est l'âge d'or du Heimatfilm : la RFA devient la cinquième productrice mondiale de films, mais la majorité de la production est constituée de ces « films de la patrie » de qualité médiocre, tournés dans des paysages alpins idéalisés. </t>
    </r>
    <r>
      <rPr>
        <i/>
        <sz val="10"/>
        <color theme="1"/>
        <rFont val="Arial"/>
        <family val="2"/>
      </rPr>
      <t>Grün ist die Heide</t>
    </r>
    <r>
      <rPr>
        <sz val="10"/>
        <color theme="1"/>
        <rFont val="Arial"/>
        <family val="2"/>
      </rPr>
      <t xml:space="preserve"> (Hans Deppe, 1951) exemplifie la fonction de ce genre : traiter indirectement la question des expulsés des territoires orientaux en projetant leurs pertes dans un paysage fantasmé et harmonieux. Le </t>
    </r>
    <r>
      <rPr>
        <i/>
        <sz val="10"/>
        <color theme="1"/>
        <rFont val="Arial"/>
        <family val="2"/>
      </rPr>
      <t xml:space="preserve">Heimatfilm </t>
    </r>
    <r>
      <rPr>
        <sz val="10"/>
        <color theme="1"/>
        <rFont val="Arial"/>
        <family val="2"/>
      </rPr>
      <t xml:space="preserve">est un cinéma  sentimental de fuite de la réalité.
Il n'existe presque aucun film allemand des années 50 et 60 qui traite des camps de concentration nazis. Le cinéma allemand de la période s'intéresse peu à l'histoire.
</t>
    </r>
  </si>
  <si>
    <t>Construction du Mur de Berlin (1961) :  traumatisme national, division consommée. Willy Brandt, alors maire de Berlin-Ouest, réunit 300 000 personnes pour en appeler à la solidarité internationale. Visite de Kennedy à Berlin-Ouest (1963) : « Ich bin ein Berliner ». Le Mur matérialise la division allemande qui se fige institutionnellement.Le rapprochement franco-allemand (de Gaulle/Adenauer)  est initié par le Traité de l'Élysée (1963)  ; création de l'Office franco-allemand de la jeunesse.
Fin de l'ère Adenauer. 1963 : Ludwig Ehrard, père du "miracle économique", devient Chancelier (CDU) de la RFA  
La croissance économique est toujours forte mais commence à montrer des signes d'essoufflement. Traité de recrutement de "travailleurs invités" avec la Turquie (1961), le Maroc (1963), le Portugal et la Tunisie (1965). Le millionième Gastarbeiter est célébré à son arrivée en 1964.
Procès d'Auschwitz à Francfort (1963-1965). 
Les procès Eichmann et d’Auschwitz replacent les crimes nazis au centre du débat public. La fin de l’ère Adenauer et la Grande Coalition accompagnent l’émergence d’une nouvelle génération nombreuse, plus critique envers les institutions et l’autorité.</t>
  </si>
  <si>
    <r>
      <t xml:space="preserve">La jeunesse affirme sa présence. Le Manifeste d’Oberhausen, l’essor de nouvelles structures de production et l’influence du rock, des cultures étrangères et des sciences sociales rompent avec les modèles des années 1950. La crise du père et la confrontation au passé deviennent des motifs structurants du Nouveau Cinéma allemand.
La génération des 15-29 ans (22 % de la population) développe un regard critique sur les structures d'autorité (État, famille, religion, rapports de genre). La culture rock gagne en légitimité. Redécouverte des intellectuels de l'École de Francfort
Manifeste d'Oberhausen (1962), acte de naissance du Nouveau Cinéma Allemand. Un groupe de jeunes réalisateurs (Alexander Kluge, Edgar Reitz, — mais ni Fassbinder, ni Wenders, ni Herzog) déclare « Le vieux cinéma est mort. Nous croyons au nouveau » (« Der alte Film ist tot. Wir glauben an den neuen »). La presse popularise le slogan « Papas Kino ist tot ! » (« Le cinéma de papa est mort »). Le mouvement revendique un nouveau cinéma allemand, rompant avec l'héritage du </t>
    </r>
    <r>
      <rPr>
        <i/>
        <sz val="10"/>
        <color theme="1"/>
        <rFont val="Arial"/>
        <family val="2"/>
      </rPr>
      <t xml:space="preserve">Heimatfilm </t>
    </r>
    <r>
      <rPr>
        <sz val="10"/>
        <color theme="1"/>
        <rFont val="Arial"/>
        <family val="2"/>
      </rPr>
      <t xml:space="preserve">et du cinéma de divertissement. Une nouvelle génération de cinéastes s'affirme et conquiert son indépendance notamment par la création de structures de production indépendantes. Alexander Kluge : </t>
    </r>
    <r>
      <rPr>
        <i/>
        <sz val="10"/>
        <color theme="1"/>
        <rFont val="Arial"/>
        <family val="2"/>
      </rPr>
      <t xml:space="preserve">Abschied von gestern </t>
    </r>
    <r>
      <rPr>
        <sz val="10"/>
        <color theme="1"/>
        <rFont val="Arial"/>
        <family val="2"/>
      </rPr>
      <t xml:space="preserve">(1966) — Lion d'argent à Venise. Considéré comme le penseur du cinéma d'auteur allemand, il fonde l'Institut de formation cinématographique à l'École d'Ulm. Volker Schlöndorff : </t>
    </r>
    <r>
      <rPr>
        <i/>
        <sz val="10"/>
        <color theme="1"/>
        <rFont val="Arial"/>
        <family val="2"/>
      </rPr>
      <t xml:space="preserve">Der junge Törless </t>
    </r>
    <r>
      <rPr>
        <sz val="10"/>
        <color theme="1"/>
        <rFont val="Arial"/>
        <family val="2"/>
      </rPr>
      <t xml:space="preserve">(1966) — adaptation de Robert Musil, exploration des structures autoritaires et de la « préhistoire du fascisme » dans une académie militaire prussienne. Werner Herzog : Signs of Life (1967), son premier long-métrage, introduit le thème de la descente dans la folie qui traversera toute son œuvre 
Fondation de l'école de cinéma DFFB à Berlin (1966).
</t>
    </r>
  </si>
  <si>
    <t>« Toute une génération exorcisa son enfance déjà presque oubliée en soulignant sans répit combien étaient encombrantes et dévastatrices les ombres que le passé des parents avaient jetées sur le présent de leurs enfants ». Thomas Elsaesser, RWF un cinéaste d'Allemagne (2005) p.201</t>
  </si>
  <si>
    <t xml:space="preserve">Qu'est-ce qu'un cinéaste engagé ? </t>
  </si>
  <si>
    <t>De la mort de Benno Ohnesorg à l’adoption des lois d’exception, la contestation étudiante dénonce la guerre du Vietnam, les continuités autoritaires et le refoulement du nazisme. En 1969, l’arrivée de Willy Brandt (SPD), l’Ostpolitik et la réforme du paragraphe 175 ouvrent une phase de réformes, tandis qu’une minorité choisit la clandestinité armée (émergence de la bande à Baader)
La Grande coalition (1966-1969) CDU/SPD sous Kurt Georg Kiesinger : pour la première fois, le SPD entre au gouvernement fédéral en coalition avec la CDU. Le FDP devient la seule force d'opposition parlementaire. Ce vide d'opposition engendre l'APO (Außerparlamentarische Opposition, opposition extra-parlementaire) porté par la jeunesse. Mort de Benno Ohnesorg (2 juin 1967) : étudiant tué par la police lors d'une manifestation contre le Shah d'Iran . Loi sur l'État d'urgence (mai 1968) limitant les droits fondamentaux : manifestations massives à Bonn. Le mouvement contestataire d'ampleur, se singularise des autres mouvements européens par sa dénonciation du fascisme « de l'intérieur ». Les étudiants dénoncent les dérives autoritaires de la RFA et la société de consommation aliénante. Tentative d'assassinat contre Rudi Dutschke, leader de la contestation. Des mouvements de contestation émergent des groupes féministes et écologistes. Une frange d'extrême gauche choisit la radicalité : Baader et Ensslin sont arrêtés après des attentats à Francfort (1968). 
Beate Klarsfeld gifle le chancelier Kiesinger (novembre 1968).
Première récession de la RFA (1966-1967) : fin de l'évidence du Miracle économique. Loi de stabilité de 1967, gestion keynésienne sous Karl Schiller. Serpent monétaire européen (1972) qui stabilise les taux de change entre les monnaies européennes.
Charnière de 1969 : élection de Willy Brandt (SPD) au poste de chancelier. Il incarne l'« autre Allemagne » (il a été opposant à Hitler et s'est exilé en Norvège en 1933). Brandt initie l'Ostpolitik,  politique de rapprochement entre les deux États allemands, dans un contexte de détente internationale. Il rompt un tabou en parlant de « deux États en Allemagne ». Cela aboutit à la reconnaissance mutuelle des deux Allemagne. 
Genoux de Varsovie (décembre 1970) : Brandt s'agenouille devant le monument du ghetto de Varsovie, acte de reconnaissance de la culpabilité de l'Etat allemand à l'égard de la population juive sous le régime nazi. Traité de reconnaissance de la ligne Oder-Neisse avec la Pologne.  
Willy Brandt est prix Nobel de la paix  (1971).
Entrée des deux états allemands à l'ONU (1973)
Les Gastarbeiter subissent discriminations systématiques : salaires inférieurs, emplois plus pénibles et dangereux, logement en foyers aux règles strictes. 2 millions d'étrangers en RFA (1969).</t>
  </si>
  <si>
    <t xml:space="preserve">Redécouverte de l’École de Francfort. La circulation de modèles venus de la Nouvelle Vague, du théâtre d’avant-garde et de la culture rock font de la critique des institutions, de la famille et des représentations un enjeu esthétique autant que politique.
Maturation du Nouveau cinéma allemand : le manifeste d'Oberhausen (1962) porte ses premiers fruits institutionnels. Le Kuratorium junger deutscher Film (1965) et la Filmförderungsgesetz (FFG, 1967) structurent un cinéma d'auteur subventionné, rompant avec la logique commerciale des années 1950. Fondation du Filmverlag der Autoren (1971). Accords Film-Télévision (1974) favorisant les coproductions (WDR). A partir de 1968 l'industrie du cinéma commercial allemand agonise.
Plusieurs cinéastes allemands ( Schlöndorff, Herzog notamment) réalisent des charges politiques violentes contre la politique et la société allemande. Pourtant, dans un premier temps, l'amnésie historique se poursuit dans le cinéma allemand de fiction. Seuls des documentaires s'emparent de l'histoire du nazisme
Alexander Kluge : Artisten in der Zirkuskuppel: ratlos (1968) — Lion d'or à Venise. Considéré comme l'un des chefs-d'œuvre du cinéma moderne
Werner Herzog : Aguirre, la colère de Dieu (1972) — descente vers la folie de conquistadors en Amazonie, métaphore du délire totalitaire
Wim Wenders : Alice dans les villes (1974) — road movie mélancolique, réflexion sur l'aliénation et la perte de repères dans l'Allemagne des années 1970
</t>
  </si>
  <si>
    <t xml:space="preserve">Fonde l'antiteater (1968). Collaboration intense avec sa "troupe" (Schygulla, Hermann, Raab, Baer, Lommel). 
Mariage avec Ingrid Caven (1970).
Découverte des mélodrames de Douglas Sirk grâce à Peer Raben 
Liaison avec El Hedi ben Salem. 
Direction du TAT à Francfort. Collaboration avec le caméraman Michael Ballhaus. </t>
  </si>
  <si>
    <r>
      <t xml:space="preserve">L'amour est plus froid que la mort (1969)
</t>
    </r>
    <r>
      <rPr>
        <i/>
        <sz val="10"/>
        <color theme="1"/>
        <rFont val="Arial"/>
        <family val="2"/>
      </rPr>
      <t>Le Bouc (</t>
    </r>
    <r>
      <rPr>
        <sz val="10"/>
        <color theme="1"/>
        <rFont val="Arial"/>
        <family val="2"/>
      </rPr>
      <t xml:space="preserve">1969) met en scène un Gastarbeiter grec, victime du racisme. 
Amorce de la période sirkienne : </t>
    </r>
    <r>
      <rPr>
        <i/>
        <sz val="10"/>
        <color theme="1"/>
        <rFont val="Arial"/>
        <family val="2"/>
      </rPr>
      <t xml:space="preserve">Le Marchand des quatre saisons </t>
    </r>
    <r>
      <rPr>
        <sz val="10"/>
        <color theme="1"/>
        <rFont val="Arial"/>
        <family val="2"/>
      </rPr>
      <t>(1971)</t>
    </r>
  </si>
  <si>
    <r>
      <rPr>
        <i/>
        <sz val="10"/>
        <color theme="1"/>
        <rFont val="Aptos Narrow"/>
      </rPr>
      <t>Le bouc</t>
    </r>
    <r>
      <rPr>
        <sz val="10"/>
        <color theme="1"/>
        <rFont val="Aptos Narrow"/>
      </rPr>
      <t xml:space="preserve"> est un tournant  tant en termes de reconnaissance que du point de vue économique. Le film aborde des problématiques contemporaines (sort des travailleurs immigrés) et des thématiques chères à RWF (l'univers étriqué de la bourgeoisie, en particulier bavaroise). </t>
    </r>
  </si>
  <si>
    <r>
      <t xml:space="preserve">Succès international. Les films de RWF deviennent incontournables dans les grands festivals internationaux (Cannes, Venise, Berlin). 
Fassbinder joue  Fox le rôle principal, du </t>
    </r>
    <r>
      <rPr>
        <i/>
        <sz val="10"/>
        <color theme="1"/>
        <rFont val="Arial"/>
        <family val="2"/>
      </rPr>
      <t xml:space="preserve">Droit du plus fort(1975), </t>
    </r>
    <r>
      <rPr>
        <sz val="10"/>
        <color theme="1"/>
        <rFont val="Arial"/>
        <family val="2"/>
      </rPr>
      <t xml:space="preserve">assumant une visibilité politique de son homosexualité. Il maigrit et se muscle pour le rôle, renonçant aux excès.
Suicide d'Armin Meier (31 mai 1978). Début de la collaboration avec Juliane Lorenz. 
Dans </t>
    </r>
    <r>
      <rPr>
        <i/>
        <sz val="10"/>
        <color theme="1"/>
        <rFont val="Arial"/>
        <family val="2"/>
      </rPr>
      <t xml:space="preserve">L'Allemagne en automne (1978), </t>
    </r>
    <r>
      <rPr>
        <sz val="10"/>
        <color theme="1"/>
        <rFont val="Arial"/>
        <family val="2"/>
      </rPr>
      <t>Fassbinder se filme en crise, exposant son angoisse face à l'État.</t>
    </r>
  </si>
  <si>
    <r>
      <t xml:space="preserve">La période Sirkienne se poursuit  : Tous les autres s'appellent Ali (1974), </t>
    </r>
    <r>
      <rPr>
        <i/>
        <sz val="10"/>
        <color theme="1"/>
        <rFont val="Arial"/>
        <family val="2"/>
      </rPr>
      <t xml:space="preserve">Le droit du plus fort </t>
    </r>
    <r>
      <rPr>
        <sz val="10"/>
        <color theme="1"/>
        <rFont val="Arial"/>
        <family val="2"/>
      </rPr>
      <t xml:space="preserve">(1975)  
Le segment de </t>
    </r>
    <r>
      <rPr>
        <i/>
        <sz val="10"/>
        <color theme="1"/>
        <rFont val="Arial"/>
        <family val="2"/>
      </rPr>
      <t xml:space="preserve">L'Allemagne en automne et </t>
    </r>
    <r>
      <rPr>
        <sz val="10"/>
        <color theme="1"/>
        <rFont val="Arial"/>
        <family val="2"/>
      </rPr>
      <t>Maman Küsters s'en va au ciel (1975) résonnent avec l'actualité politique brûlante qui secoue la RFA et confronte aussi l'Allemagne à son passé et ses crimes.
L'Année des treize lunes (1978) : œuvre radicale sur le désespoir, résonne avec l'histoire intime de RWF et les questionnements politiques du cinéaste
Le Mariage de Maria Braun (1979) initie la trilogie de la RFA. Le mélodrame devient réflexion sur  l'état allemand d'après-guerre.</t>
    </r>
  </si>
  <si>
    <t>Dans les mélodrames de RWF , les personnages tentent en vain de s'affranchir des positions aliénantes produites par la famille, le couple, au sein du système capitaliste et de la classe bourgeoise. Une analogie s'établit alors entre famille et Allemagne. Le mélodrame fassbindérien met en scène des crises identitaires du sujet, comme crises de la perception (du regard), qui se traduisent par une mise en crise de l'image (image de soi et image du film). Les films font dialoguer subjectivité et affects avec mécanismes sociaux, évitant ainsi toute lecture simpliste et figée de type psychologique ou idéologique. Le mélodrame, en interpénétrant le privé et le public, l'individuel et le collectif, joue d'un trouble qui participe à son caractère critique et progressiste : il est potentiellement facteur de changement pour un spectateur constamment soumis à la réflexion.</t>
  </si>
  <si>
    <t xml:space="preserve">RWF travaille frénétiquement. Réalise son projet de vie : l'adaptation de Döblin. Épuisement physique dû aux excès.
Décès de Fassbinder le 10 juin 1982 à Munich, à l'âge de 37 ans (épuisement et overdose). Fassbinder laisse un héritage de plus de 40 films. Sa disparition marque la fin d'une époque du Nouveau cinéma allemand </t>
  </si>
  <si>
    <t>Les alliés aident à la relance de médias d'information et promeuvent une nouvelle politique éducative. 
Les alliés organisent un vaste programme de démocratisation, décartellisation, démilitarisation et dénazification
La capitulation ouvre une période d’effondrement matériel et démographique : villes et réseau ferroviaire détruits, millions de morts, de prisonniers et de sans-logis, malnutrition et déplacements massifs. La figure de la Trümmerfrau (« femme des ruines ») s’impose dans les représentations de la reconstruction.
Les conférences de Yalta et de Potsdam organisent la division du pays en quatre zones d’occupation, l’amputation des territoires situés à l’est de la ligne Oder-Neisse, ainsi que la démilitarisation et la dénazification. Le procès international de Nuremberg s’ouvre en novembre.</t>
  </si>
  <si>
    <r>
      <t xml:space="preserve">Le cinéma est en ruines. Premières projections des </t>
    </r>
    <r>
      <rPr>
        <i/>
        <sz val="10"/>
        <color theme="1"/>
        <rFont val="Arial"/>
        <family val="2"/>
      </rPr>
      <t>Moulins de la mort</t>
    </r>
    <r>
      <rPr>
        <sz val="10"/>
        <color theme="1"/>
        <rFont val="Arial"/>
        <family val="2"/>
      </rPr>
      <t xml:space="preserve"> (Todesmühen), un documentaire sur les camps de concentration.
Les Alliés font de la reconstruction culturelle un instrument de « rééducation » démocratique : réouverture de lieux culturels, retour d’artistes interdits sous le nazisme, création de nouveaux organes de presse sous contrôle militaire. Les « maisons de l’Amérique » diffusent livres, traductions et productions américaines.
Une esthétique des ruines traverse la littérature et le cinéma ; Berlin redevient rapidement un centre intellectuel important.</t>
    </r>
  </si>
  <si>
    <t>Fondation de la DEFA (Deutsche Film AG) à Berlin Est. Premières productions de films allemands de fiction depuis la fin de la guerre. 
Vogue de l'évocation mélancolique de la patrie dans la chanson de variété allemande avec "Möwe, di fliegst in die Heimat" de Magda Hein.
La reprise de la production cinématographique allemande accompagne la reconstruction de la vie culturelle, tandis que l’épuration du secteur culturel demeure inégale selon les zones d’occupation.</t>
  </si>
  <si>
    <t>À l'initiative de Hans Werner Richter, fondation du Groupe 47 qui réunit l'avant-garde littéraire allemande dont Gunter Grass et Heinrich Böll.  Le Groupe cherche à constituer une élite exemplairement démocratique dans le domaine des lettres et à développer de nouvelles formes d'écriture pour permettre aux lettres allemandes d'exprimer au mieux des enjeux esthétiques et politiques en adéquation avec la société d'après-guerre.
Berlin devient le foyer d’une activité intellectuelle intense, partagée entre volonté de rupture avec le nazisme et continuités institutionnelles ou personnelles.</t>
  </si>
  <si>
    <t>Réforme monétaire de l'Allemagne de l'Ouest, acte fondateur du "miracle économique" comme de la séparation entre blocs est et ouest. Ludwig Erhard, professeur d'économie, développe l'économie sociale de marché. Le Plan Marshall participe à la relance de l'économie ouest-allemande. 
Blocus de Berlin par les soviétiques, l'une des premières crises de la Guerre Froide. Un pont aérien est mis en place à l'initiative des Etats-Unis et de la Grande-Bretagne.
Dans les zones occidentales, la dénazification est déclarée achevée : de nombreux individus compromis avec le régime sont requalifiés comme simples « suivistes » et des procédures d’appel permettent des réintégrations administratives. La zone française rejoint la bizone pour former la trizone.
À Berlin, le départ soviétique du Conseil de contrôle, la réforme monétaire puis le blocus des secteurs occidentaux accélèrent la division. Une municipalité séparée, dominée par le SED, s’installe à Berlin-Est.</t>
  </si>
  <si>
    <r>
      <t xml:space="preserve">Allemagne année zéro </t>
    </r>
    <r>
      <rPr>
        <sz val="10"/>
        <color rgb="FF000000"/>
        <rFont val="Arial"/>
        <family val="2"/>
      </rPr>
      <t>de Rossellini (1948) Le protagoniste Edmund tente de vendre un enregistrement d'un discours d'Hitler sur disque à des soldats alliés. La voix du Führer se met à résonner dans les ruines du Reichstag, siège du parlement incendié en 1933</t>
    </r>
  </si>
  <si>
    <t>Création de l'OTAN. Création de la RFA. Konrad Adenauer est élu chancelier fédéral avec une courte majorité. La division de l'Allemangne en deux États indépendants est reconnue par la communauté internationale.
La Loi fondamentale de la RFA garantit les droits fondamentaux, restaure le fédéralisme et organise le Bundestag, le Bundesrat et la chancellerie. Elle inscrit la réunification dans ses principes, mais facilite aussi le retour dans les services publics d’anciens membres du NSDAP non classés parmi les responsables les plus compromis.
À l’Est, la création de la RDA et sa constitution formellement fédérale masquent le monopole politique du SED.</t>
  </si>
  <si>
    <r>
      <t xml:space="preserve">Avec sa femme Helene Weigel, Brecht fonde le Berliner Ensemble à Berlin-Est, où il crée </t>
    </r>
    <r>
      <rPr>
        <i/>
        <sz val="10"/>
        <color rgb="FF000000"/>
        <rFont val="Arial"/>
        <family val="2"/>
      </rPr>
      <t>Mère courage et ses enfants</t>
    </r>
    <r>
      <rPr>
        <sz val="10"/>
        <color rgb="FF000000"/>
        <rFont val="Arial"/>
        <family val="2"/>
      </rPr>
      <t xml:space="preserve">. Thomas Mann donne des conférences  en Allemagne de l'ouest et en République démocratique (voir le film de Pavel Pawlikowski </t>
    </r>
    <r>
      <rPr>
        <i/>
        <sz val="10"/>
        <color rgb="FF000000"/>
        <rFont val="Arial"/>
        <family val="2"/>
      </rPr>
      <t xml:space="preserve">Fatherland </t>
    </r>
    <r>
      <rPr>
        <sz val="10"/>
        <color rgb="FF000000"/>
        <rFont val="Arial"/>
        <family val="2"/>
      </rPr>
      <t>(2026))
Le retour d’exil d’Adorno et de Horkheimer contribue à la refondation intellectuelle de la RFA et prépare l’influence ultérieure de l’École de Francfort. Brecht choisit au contraire de s’installer en RDA.</t>
    </r>
  </si>
  <si>
    <t xml:space="preserve">La mère de Fassbinder Liselotte Eder, née Pempeit, dite aussi Lilo Pempeit, est hospitalisée pour cause de tuberculose. </t>
  </si>
  <si>
    <t xml:space="preserve">La mère de RWF l'inscrit dans une école Rudolf Steiner. Nombreux séjours de la mère à l'hôpital ou en sanatorium. RWF est confié à des voisins ou parents. Il commence à fréquenter assidûment les salles de cinéma. </t>
  </si>
  <si>
    <r>
      <t xml:space="preserve">Succès populaire du drame historique Sissi </t>
    </r>
    <r>
      <rPr>
        <sz val="10"/>
        <color rgb="FF000000"/>
        <rFont val="Arial"/>
        <family val="2"/>
      </rPr>
      <t xml:space="preserve">d'Ernst Marischka avec Romy Schneider et Karlheinz Böhm, qui deviendra un acteur récurrent du cinéma de Fassbinder </t>
    </r>
  </si>
  <si>
    <t>Adenauer fête ses 80 ans. 
Le KPD, parti communiste ouest-allemand, est interdit et rend l’activité communiste illégale en RFA. En RDA, l’armée participe à la répression de l’insurrection hongroise.
Une loi d’indemnisation des victimes juives entre en vigueur, mais la RFA diffère encore l’établissement de relations diplomatiques avec Israël par crainte de voir les États arabes reconnaître la RDA.</t>
  </si>
  <si>
    <r>
      <t xml:space="preserve">Décès de Bertolt Brecht.
</t>
    </r>
    <r>
      <rPr>
        <i/>
        <sz val="10"/>
        <color rgb="FF000000"/>
        <rFont val="Arial"/>
        <family val="2"/>
      </rPr>
      <t xml:space="preserve">Nuit et brouillard </t>
    </r>
    <r>
      <rPr>
        <sz val="10"/>
        <color rgb="FF000000"/>
        <rFont val="Arial"/>
        <family val="2"/>
      </rPr>
      <t xml:space="preserve">d'Alain Resnais. </t>
    </r>
  </si>
  <si>
    <t>RWF est pensionnaire à Augsbourg, sa mère étant hospitalisée pendant près de deux ans à la suite d'une opération. Il continue à fréquenter les salles obscures. Il voit toutes sortes de films sans distinction, des films noirs américains doublés en allemand, des films pornos sans budget qui se développent à partir de 1960. Le cinéma hollywoodien est alors plutôt dénigré par la bourgeoisie.</t>
  </si>
  <si>
    <r>
      <rPr>
        <i/>
        <sz val="10"/>
        <color rgb="FF000000"/>
        <rFont val="Arial"/>
        <family val="2"/>
      </rPr>
      <t>L'opéra de quat'sous</t>
    </r>
    <r>
      <rPr>
        <sz val="10"/>
        <color rgb="FF000000"/>
        <rFont val="Arial"/>
        <family val="2"/>
      </rPr>
      <t xml:space="preserve"> de Brecht (1928) est diffusé à la télévision est obtient un taux d'audience de 81,2%. 
L'appel à boycotter les pièces de Brecht est refusé par la plupart des théâtres ouest-allemands. </t>
    </r>
  </si>
  <si>
    <r>
      <t xml:space="preserve">Les œuvres de Fassbinder témoignent de l'influence du Rock'nRoll sur la culture populaire ouest-allemande, notamment dans </t>
    </r>
    <r>
      <rPr>
        <i/>
        <sz val="10"/>
        <rFont val="Arial"/>
        <family val="2"/>
      </rPr>
      <t xml:space="preserve">Huit heures ne font pas un jour. </t>
    </r>
  </si>
  <si>
    <t>Le constructeur automobile Volkswagen est privatisé à hauteur de 60% de son capital. 78% des ménages ouest-allemands disposent d'un réfrigérateur contre 25% en France. 42% possèdent une voiture. La société de consommation de masse est une réalité en RFA.
Adolf Eichmann, criminel de guerre nazi, est extradé en Israël.
La RFA atteint le plein emploi et signe de nouveaux accords de recrutement avec la Grèce et l’Espagne. La croissance et l’immigration de travail deviennent deux dimensions indissociables du modèle ouest-allemand.</t>
  </si>
  <si>
    <t>Construction du Mur de Berlin (1961). Adenauer est rééluchancelier fédéral.
Procès d'Eichmann en Israel.
En août, l’installation de barbelés puis l’édification du Mur ferment la principale voie de passage entre les deux Allemagne. La division de Berlin devient un traumatisme et une métonymie de la guerre froide. Willy Brandt rassemble 300 000 personnes à Berlin-Ouest pour appeler à la solidarité internationale.
La RFA signe un accord de recrutement avec la Turquie.</t>
  </si>
  <si>
    <t xml:space="preserve">RWF interrompt ses études avant le baccalauréat. Il rejoint son père à Cologne. Il collecte pour lui des loyers dans des immeubles principalement occupés par des Gastarbeiters (travailleurs "invités" c'est-à-dire immigrés). RWF prend des cours du soir, écrit, fréquente les bars homosexuels. </t>
  </si>
  <si>
    <t>À l'occasion du festival du film documentaire d'Oberhausen, publication du Manifeste d'Oberhausen : naissance du Nouveau Cinéma Allemand ("Le vieux cinéma est mort").
Les Beatles entament leur carrière par un concert à Hambourg</t>
  </si>
  <si>
    <t>Visite de J.F Kennedy à Berlin-ouest : "ich bin ein Berliner". 
Procès d'Auschwitz à Francfort (1963-1965)
Démission d'Adenauer à 87 ans. Ludwig Ehrard, père du "miracle économique", devient Chancelier de la RFA.
La visite de John F. Kennedy consacre Berlin-Ouest comme symbole du camp occidental. L’ouverture du procès d’Auschwitz à Francfort marque une nouvelle étape dans la confrontation judiciaire avec les crimes nazis.
Le traité de l’Élysée consolide l’axe franco-allemand et l’Office franco-allemand pour la jeunesse multiplie les échanges. Un accord de recrutement est signé avec le Maroc.</t>
  </si>
  <si>
    <r>
      <t xml:space="preserve">Jean-Marie Straub sort son premier court-métrage, </t>
    </r>
    <r>
      <rPr>
        <i/>
        <sz val="10"/>
        <color rgb="FF000000"/>
        <rFont val="Arial"/>
        <family val="2"/>
      </rPr>
      <t>Machorka Muff,</t>
    </r>
    <r>
      <rPr>
        <sz val="10"/>
        <color rgb="FF000000"/>
        <rFont val="Arial"/>
        <family val="2"/>
      </rPr>
      <t xml:space="preserve"> d'après un roman d'Heinrich Böll.
Création de la deuxième chaîne de télévision ouest-allemande, la ZDF.
Hannah Arendt, qui a suivi le procès d'Eichmann pour la revue </t>
    </r>
    <r>
      <rPr>
        <i/>
        <sz val="10"/>
        <color rgb="FF000000"/>
        <rFont val="Arial"/>
        <family val="2"/>
      </rPr>
      <t>The New-Yorker</t>
    </r>
    <r>
      <rPr>
        <sz val="10"/>
        <color rgb="FF000000"/>
        <rFont val="Arial"/>
        <family val="2"/>
      </rPr>
      <t xml:space="preserve">,  publie </t>
    </r>
    <r>
      <rPr>
        <i/>
        <sz val="10"/>
        <color rgb="FF000000"/>
        <rFont val="Arial"/>
        <family val="2"/>
      </rPr>
      <t>Eichmann à Jérusalem : Rapport sur la banalité du mal</t>
    </r>
    <r>
      <rPr>
        <sz val="10"/>
        <color rgb="FF000000"/>
        <rFont val="Arial"/>
        <family val="2"/>
      </rPr>
      <t xml:space="preserve">
Alexander Mitscherlich publie</t>
    </r>
    <r>
      <rPr>
        <i/>
        <sz val="10"/>
        <color rgb="FF000000"/>
        <rFont val="Arial"/>
        <family val="2"/>
      </rPr>
      <t xml:space="preserve"> La société sans père </t>
    </r>
    <r>
      <rPr>
        <sz val="10"/>
        <color rgb="FF000000"/>
        <rFont val="Arial"/>
        <family val="2"/>
      </rPr>
      <t xml:space="preserve">qui décrit l'affaiblissement et la crise du système patriarcal dans les sociétés modernes d'après-guerre. La figure du père n'est plus un modèle absolu et le vide de son absence (d'abord concrète puisqu'il travaille mais aussi symbolique du fait du manque de figures crédibles ) entraîne l'expression, plus ou moins anarchique et violente, des forces pulsionnelles négatives. celles-ci sont le fait d'une autorité sociale dont les contraintes paraissent de plus en plus absurdes et répressives puisqu'elles ne sont plus intégrées par l'identification à une figure individuelle affective. </t>
    </r>
  </si>
  <si>
    <t>RWF retourne à Munich et continue d'écrire, pièces, romans, scénarios. Il travaille quelques temps au département documentation au journal Südedeutsche Zeitung . 
RWF prend des cours privés de théâtre.</t>
  </si>
  <si>
    <t>RWF s'inscrit à l'école d'art dramatique Fridl Leonhard.</t>
  </si>
  <si>
    <r>
      <t xml:space="preserve">La pièce </t>
    </r>
    <r>
      <rPr>
        <i/>
        <sz val="10"/>
        <color theme="1"/>
        <rFont val="Arial"/>
        <family val="2"/>
      </rPr>
      <t>Outrage au public</t>
    </r>
    <r>
      <rPr>
        <sz val="10"/>
        <color theme="1"/>
        <rFont val="Arial"/>
        <family val="2"/>
      </rPr>
      <t xml:space="preserve"> du dramaturge allemand Peter Handke témoigne du goût de l'avant-garde  artistique subventionnée pour une forme de provocation à l'égard du public, manière paradoxale de s'affranchir de la tutelle culturelle dont ils bénéficient.
La publication du </t>
    </r>
    <r>
      <rPr>
        <i/>
        <sz val="10"/>
        <color theme="1"/>
        <rFont val="Arial"/>
        <family val="2"/>
      </rPr>
      <t>Journal de Spandau</t>
    </r>
    <r>
      <rPr>
        <sz val="10"/>
        <color theme="1"/>
        <rFont val="Arial"/>
        <family val="2"/>
      </rPr>
      <t xml:space="preserve"> d’Albert Speer participe à la mise en récit du passé nazi.
Le rock et les cultures venues des États-Unis, de Grande-Bretagne et de France gagnent en légitimité. Chansons et culture populaire diffusent des idées critiques envers l’État, la famille, la religion, les rapports de genre et les formes traditionnelles d’autorité.</t>
    </r>
  </si>
  <si>
    <t>2 Juin : l’étudiant Benno Ohnesorg est tué par un policier lors d’une manifestation contre le Shah d’Iran. Les mouvements protestataires font le parallèle avec le IIIème Reich : se développe alors un discours critique à l’égard de la génération précédente et de son rôle, favorable ou passif, face au nazisme. La radicalisation des mouvements d'extrême-gauche est en cours.</t>
  </si>
  <si>
    <r>
      <t xml:space="preserve">La parution du </t>
    </r>
    <r>
      <rPr>
        <i/>
        <sz val="10"/>
        <color rgb="FF000000"/>
        <rFont val="Arial"/>
        <family val="2"/>
      </rPr>
      <t>Deuil impossible</t>
    </r>
    <r>
      <rPr>
        <sz val="10"/>
        <color rgb="FF000000"/>
        <rFont val="Arial"/>
        <family val="2"/>
      </rPr>
      <t xml:space="preserve"> de Alexander et Margarete Mitscherlich fait scandale. À travers l'exposé des troubles psychosomatiques de certains patients, les psychanalystes Alexander et Margarete Mitscherlich y analysent  le refoulement collectif des souvenirs du IIIe Reich en Allemagne. Il doit exister, selon les auteurs, un lien de cause à effet entre une forme de conservatisme teinté et de provincialisme, qui règne en RFA et le refoulement du passé. L'ouvrage exerce une influence sur les artistes allemands de l'époque. 
</t>
    </r>
  </si>
  <si>
    <t xml:space="preserve">Premier film accuelli froidement à Berlin. Le second, une critique de la xénophobie et de l'apathie bourgeoise,  remporte 5 distinctions cinématographiques en Allemagne. Le coût de production de 80000 marks est largement couvert : avec 650000 marks de prix et 200000 marks de subventions a posteriori, le film assure à RWF de quoi poursuivre son travail pour quelques années. </t>
  </si>
  <si>
    <r>
      <rPr>
        <i/>
        <sz val="10"/>
        <color rgb="FF000000"/>
        <rFont val="Arial"/>
        <family val="2"/>
      </rPr>
      <t>Les damnés</t>
    </r>
    <r>
      <rPr>
        <sz val="10"/>
        <color rgb="FF000000"/>
        <rFont val="Arial"/>
        <family val="2"/>
      </rPr>
      <t>, mélodrame de Visconti, travaille à interroger le régime nazi et la manière dont l'imagerie nazie, qui érotise de façon spectaculaire le pouvoir, contamine moralement les esprits. L'éloignement du néoréalisme est maximal.</t>
    </r>
  </si>
  <si>
    <t>Le chancelier Willy Brandt se rend en Pologne et s'agenouille devant le mémorial du ghetto de Varsovie. Le geste de Willy Brandt s'accompagne de la reconnaissance de la frontière Oder-Neisse avec la Pologne.
L’abaissement de la majorité électorale à 18 ans reconnaît  et intègre la politisation de la jeunesse. 
La libération armée d’Andreas Baader, à laquelle participe Ulrike Meinhof, puis le manifeste « Bâtir l’Armée rouge » marquent la naissance de la RAF. Le groupe se finance par des braquages.
En RDA, les effectifs de la Stasi et de ses informateurs augmentent fortement. À l’Ouest, mouvements féministes et écologistes se structurent ; la transformation des normes sexuelles se poursuit, sans faire disparaître les inégalités entre femmes et hommes.</t>
  </si>
  <si>
    <t>Si RWF ne renonce pas à l'expérimentation l'attention qu'il porte à la réception de ses films et donc au public est de plus en plus grande. L'intérêt pour le mélodrame, genre populaire américain, son travail pour la télévision et notamment la création de séries, plus tard le développement de productions internationales, traduisent sa volonté de toucher un public large et populaire. RWF intègre dans œuvre sentiment et distanciation réflexive, échappant à la seule création de cas sociaux.</t>
  </si>
  <si>
    <r>
      <t xml:space="preserve">"Il m'est impossible de comprendre qu'on puisse travailler avec un outil comme la caméra en ne se souciant pas du spectateur", interview avec Norbert Sparrow, in </t>
    </r>
    <r>
      <rPr>
        <i/>
        <sz val="10"/>
        <rFont val="Arial"/>
        <family val="2"/>
      </rPr>
      <t>Cinéaste</t>
    </r>
    <r>
      <rPr>
        <sz val="10"/>
        <rFont val="Arial"/>
        <family val="2"/>
      </rPr>
      <t>, WIII/2 automne 1977</t>
    </r>
  </si>
  <si>
    <r>
      <rPr>
        <i/>
        <sz val="10"/>
        <color rgb="FF000000"/>
        <rFont val="Arial"/>
        <family val="2"/>
      </rPr>
      <t xml:space="preserve">Aguirre, la colère de Dieu </t>
    </r>
    <r>
      <rPr>
        <sz val="10"/>
        <color rgb="FF000000"/>
        <rFont val="Arial"/>
        <family val="2"/>
      </rPr>
      <t xml:space="preserve">de Werner Herzog (1972)
</t>
    </r>
    <r>
      <rPr>
        <i/>
        <sz val="10"/>
        <color rgb="FF000000"/>
        <rFont val="Arial"/>
        <family val="2"/>
      </rPr>
      <t>Cabaret</t>
    </r>
    <r>
      <rPr>
        <sz val="10"/>
        <color rgb="FF000000"/>
        <rFont val="Arial"/>
        <family val="2"/>
      </rPr>
      <t xml:space="preserve"> de Bob Fosse met en scène la période de Weimar et l'ascension d'Hitler sous forme de comédie musicale. Sa mise en scène de l'homosexualité comme espace de résistance à l'oppression nazie fait advenir une représentation des persécutions dont la communauté LGBT a fait l'objet sous le nazisme, elle déconstruit aussi le cliché homophobe de l'officier nazi associé à une forme de perversion sexuelle souvent assimilée à une homosexualité refoulée. La mise en scène de la culture populaire (la chanson) et l'inscription dans un genre hollywoodien majeur constituent elles aussi des transgressions culturelles qui bouleversent l'histoire des représentations.</t>
    </r>
  </si>
  <si>
    <t>Entrée des deux États allemands à l'ONU
Le premier choc pétrolier met fin à la haute croissance et entraîne l’arrêt du recrutement de Gastarbeiter. Cette décision favorise ensuite l’installation durable des travailleurs déjà présents et le regroupement familial.</t>
  </si>
  <si>
    <r>
      <rPr>
        <i/>
        <sz val="10"/>
        <color rgb="FF000000"/>
        <rFont val="Arial"/>
        <family val="2"/>
      </rPr>
      <t xml:space="preserve">Effi Briest
Martha - Téléfilm
Tous les autres s'appellent Ali
Nora Helmer - </t>
    </r>
    <r>
      <rPr>
        <sz val="10"/>
        <color rgb="FF000000"/>
        <rFont val="Arial"/>
        <family val="2"/>
      </rPr>
      <t>Téléfilm</t>
    </r>
  </si>
  <si>
    <t>Tensions sociales et crises du logement (Westend). Débats sur la visibilité des minorités. Lois limitant les libertés civiles.
Confronté à l’enlèvement du candidat CDU Peter Lorenz par le Mouvement du 2-Juin ; le gouvernement ouest-allemand autorise  la libération de cinq militants de la RAF. La prise d’otages de l’ambassade de RFA à Stockholm par un commando de la RAF s’achève dans le sang.
Le procès des principaux dirigeants de la RAF s’ouvre à Stuttgart-Stammheim, tandis que se structurent en Allemagne et à l’étranger des comités de soutien.</t>
  </si>
  <si>
    <r>
      <t xml:space="preserve">RWF écrit la pièce </t>
    </r>
    <r>
      <rPr>
        <i/>
        <sz val="10"/>
        <color rgb="FF000000"/>
        <rFont val="Arial"/>
        <family val="2"/>
      </rPr>
      <t>Les ordures, la ville et la mort</t>
    </r>
    <r>
      <rPr>
        <sz val="10"/>
        <color rgb="FF000000"/>
        <rFont val="Arial"/>
        <family val="2"/>
      </rPr>
      <t>, qu'il doit mettre en scène au Theater und Sturm de Francfort. La pièce, qui traite de corruption et de spéculation immobilière, a pour protagoniste un homme juif, désigné comme "le juif riche". Son ton satirique vise surtout l'administration municipale de la ville. Avant même sa publication et l'ouverture du spectacle, la pièce fait scandale. Suite à la circulation de quelques copies du texte et de la publication d'un communiqué de presse,</t>
    </r>
    <r>
      <rPr>
        <i/>
        <sz val="10"/>
        <color rgb="FF000000"/>
        <rFont val="Arial"/>
        <family val="2"/>
      </rPr>
      <t xml:space="preserve"> </t>
    </r>
    <r>
      <rPr>
        <sz val="10"/>
        <color rgb="FF000000"/>
        <rFont val="Arial"/>
        <family val="2"/>
      </rPr>
      <t xml:space="preserve">RWF est accusé d'antisémitisme, notamment par Joachim C. Fest dont le livre </t>
    </r>
    <r>
      <rPr>
        <i/>
        <sz val="10"/>
        <color rgb="FF000000"/>
        <rFont val="Arial"/>
        <family val="2"/>
      </rPr>
      <t xml:space="preserve">Hitler une carrière </t>
    </r>
    <r>
      <rPr>
        <sz val="10"/>
        <color rgb="FF000000"/>
        <rFont val="Arial"/>
        <family val="2"/>
      </rPr>
      <t xml:space="preserve">avait contribué à mettre à jour l'existence d'une "vague Hitler" nostalgique au sein de la population, qu'il associait notamment à une gauche "rouge" affiliée au fascisme de Moscou. La pièce est abandonnée et RWF interdit qu'on la représente de son vivant en Allemagne. Le projet de téléfilm </t>
    </r>
    <r>
      <rPr>
        <i/>
        <sz val="10"/>
        <color rgb="FF000000"/>
        <rFont val="Arial"/>
        <family val="2"/>
      </rPr>
      <t xml:space="preserve">La terre est inhabitable comme la lune, </t>
    </r>
    <r>
      <rPr>
        <sz val="10"/>
        <color rgb="FF000000"/>
        <rFont val="Arial"/>
        <family val="2"/>
      </rPr>
      <t>qui s'inspirait en partie des personnages de la pièce, perd ses financements. 
Liaison avec Armin Meier.</t>
    </r>
  </si>
  <si>
    <r>
      <t xml:space="preserve">Le militantisme et l'action politique violente, marquée à l'extrême gauche après 1968 en Allemagne, sont le terreau de plusieurs films de Fassbinder : Voyage à Niklashausen, , Maman Kusters s'en va au ciel, ou encore La troisième génération. Il est remarquable qu'un comique outrancier associe l'action violente à une forme de bêtise radicale.
Fassbinder joue le rôle principal du </t>
    </r>
    <r>
      <rPr>
        <i/>
        <sz val="10"/>
        <color rgb="FF000000"/>
        <rFont val="Arial"/>
        <family val="2"/>
      </rPr>
      <t>Droit du plus fort</t>
    </r>
    <r>
      <rPr>
        <sz val="10"/>
        <color rgb="FF000000"/>
        <rFont val="Arial"/>
        <family val="2"/>
      </rPr>
      <t xml:space="preserve">, assumant une visibilité politique de son homosexualité.
Une rétrospective de l'œuvre de RWF à New York suscite l'enthousiasme de la presse américaine. 
Suite au scandale déclenché par </t>
    </r>
    <r>
      <rPr>
        <i/>
        <sz val="10"/>
        <color rgb="FF000000"/>
        <rFont val="Arial"/>
        <family val="2"/>
      </rPr>
      <t xml:space="preserve">Les ordures, la ville et la mort, </t>
    </r>
    <r>
      <rPr>
        <sz val="10"/>
        <color rgb="FF000000"/>
        <rFont val="Arial"/>
        <family val="2"/>
      </rPr>
      <t xml:space="preserve">RWF subira le soupçon d'antisémitisme dans tous ses autres projets associés à cette question. Pour apprécier la position de RWF, lire "les philosémites sont des antisémites" dans </t>
    </r>
    <r>
      <rPr>
        <i/>
        <sz val="10"/>
        <color rgb="FF000000"/>
        <rFont val="Arial"/>
        <family val="2"/>
      </rPr>
      <t xml:space="preserve">L'anarchie de l'imagination, </t>
    </r>
    <r>
      <rPr>
        <sz val="10"/>
        <color rgb="FF000000"/>
        <rFont val="Arial"/>
        <family val="2"/>
      </rPr>
      <t xml:space="preserve">et "prise de position à propos de L'ordure, la ville et la mort dans </t>
    </r>
    <r>
      <rPr>
        <i/>
        <sz val="10"/>
        <color rgb="FF000000"/>
        <rFont val="Arial"/>
        <family val="2"/>
      </rPr>
      <t>Les films libèrent la tête. La pièce</t>
    </r>
    <r>
      <rPr>
        <sz val="10"/>
        <color rgb="FF000000"/>
        <rFont val="Arial"/>
        <family val="2"/>
      </rPr>
      <t xml:space="preserve"> Les ordures, la ville et la mort est toujours un texte polémique, rarement monté. En 1985, le projet de le mettre sur scène à Francfort déclencha de vifs débats, le projet, d'abord retiré, fut monté à huis-clos devant un public restreint de journalistes dans un autre théâtre de Francfort dans un contexte politique d'affirmation de l'unité refondée du peuple allemand mais de sensibilités mémorielles toujours vives. </t>
    </r>
  </si>
  <si>
    <r>
      <t xml:space="preserve">Il faut bien qu'on ait la possibilité d'aborder un thème d'une manière dangereuse, peut-être contestable, et pas seulement en avançant à couvert; sinon ce qu'on fait est encore une fois aussi mort que tout le reste dans le paysage théâtral allemand. Plus rien de vivant ne s'y produit ; rien que des gens gentils, sympas et rien que des gens qui veulent plaire. A long terme ce n'est pas possible". RWF, "les philosémites sont des antisémites", avril 1976, repris dans </t>
    </r>
    <r>
      <rPr>
        <i/>
        <sz val="10"/>
        <rFont val="Arial"/>
        <family val="2"/>
      </rPr>
      <t>L'anarchie de l'imagination P; 76</t>
    </r>
  </si>
  <si>
    <t xml:space="preserve">RWF devient actionnaire du Filmverlag der Autoren. 
</t>
  </si>
  <si>
    <t xml:space="preserve">Automne Allemand (1977) : enlèvement de Schleyer, détournement du Landshut, morts à Stammheim.
La réforme du droit de la famille supprime l’obligation faite à l’épouse de se consacrer prioritairement au foyer et lui permet de travailler sans l’autorisation de son mari.
Avril : Le procureur fédéral Siegfried Bubak est assassiné avec son chauffeur et son garde du corps. L’offensive 77, qui se développe dans le contexte du procès des leaders de la RAF, est lancée. Après 192 jours de procès à Stammheim, les accusés du groupe Baader sont condamnés pour assassinat à une peine d'emprisonnement à perpétuité. Juillet 1977 :  Jürgen Ponto, président de la Dresdner Bank est assassiné par un commando dont fait partie sa filleule. L’automne allemand de 1977 désigne un climat de terreur et d’oppression qui règne en RFA, apogée de ce qui est nommé « les années de plomb ». Septembre 1977 : pour obtenir la libération de ses membres détenus à la prison de Stuttgart-Stammheim, la RAF enlève le président du patronat allemand Hanns Martin Schleyer. Il est dénoncé comme ancien membre du parti nazi et des SS. Onze prisonniers sont réclamés en échange de sa vie. La famille Schleyer n'a pas le droit de payer la rançon. Octobre 1977 : un avion de la Lufthansa est détourné sur Mogadiscio en Somalie par le commando palestinien « Martyr Halimeh », prenant en otages 86 passagers et cinq membres d'équipage. Le commando assassine le commandant de bord. La prise d'otages prend fin avec l'intervention des forces spéciales allemandes durant laquelle trois des quatre membres du commando palestinien sont tués. Le même jour, les autorités allemandes annoncent la mort d'Andreas Baader, Gudrun Ensslin, la compagne de Baader, et Jan-Carl Raspe, par suicide lors de ce qu'il est convenu d'appeler « la nuit de la mort de Stammheim ». En représailles, la RAF annonce la mort de Hanns Martin Schleyer. Son corps est retrouvé dans le coffre d'une automobile à Mulhouse, en France. Brigitte Mohnhaupt, leader de la seconde génération, impliquée dans ce meurtre, est alors considérée comme la femme la plus dangereuse d'Allemagne. Novembre 1977 : Ingrid Schubert est retrouvée pendue dans sa cellule de la prison de Munich. </t>
  </si>
  <si>
    <r>
      <t xml:space="preserve">Le mouvement du Nouveau cinéma allemand atteint son apogée thématique et politique.
</t>
    </r>
    <r>
      <rPr>
        <i/>
        <sz val="10"/>
        <color theme="1"/>
        <rFont val="Arial"/>
        <family val="2"/>
      </rPr>
      <t>Hitler, un film d'Allemagne</t>
    </r>
    <r>
      <rPr>
        <sz val="10"/>
        <color theme="1"/>
        <rFont val="Arial"/>
        <family val="2"/>
      </rPr>
      <t xml:space="preserve"> de Syberberg interroge le nazisme à travers son usage des médias (radio et cinéma) et sa mise en spectacle du politique.  Le film révèle comment le show business moderne présente une dimension fasciste.
L’expression « Automne allemand » désigne bientôt autant la séquence terroriste que le climat de peur, de contrôle et de crise démocratique qu’elle produit. Cinéastes, écrivains et artistes s’interrogent sur la violence politique, la mémoire du nazisme et les réponses de l’État.</t>
    </r>
  </si>
  <si>
    <t xml:space="preserve">Dans "devoir de l'avoir - avoir du devoir" un article repris dans Les films libèrent la tête, RWF revient sur le roman de Freytag  et son projet empêché .  Son propos marque la conscience précoce du cinéaste de l'antisémitisme  conscient ou inconscient qui règne encore et du positionnement ambigu de la population allemande à l'égard de sa responsabilité historique dans le génocide juif, de son absence de regard critique sur l'histoire du pays. Il revient sur le "péché originel" qu'a été la constitution d'une identité de la bourgeoisie allemande fondamentalement antisémite et défend le choix d'une oeuvre antisémite selon deux arguments : 1. le roman est bien construit et narrativement divertissant, ce qui en fait un bon support pour une adaptation cinématographique. 2. L'oeuvre permettrait de mettre à jour avec justesse, c'est-à-dire historiquement, le point de vue "faux" de la bourgeoisie allemande du XIXè, ce que justement cette classe sociale considérait comme "juste". C'est donc, comme toujours chez RWF, un travail des points de vue et de leur agencement qui intéresse le cinéaste en ce qu'il permettrait de déconstruire le point de vue du spectateur contemporain, de l'amener à interroger son propre regard. </t>
  </si>
  <si>
    <t>Les années 55-75, celles pendant lesquelles RWF est sorti de l'enfance et s'est développé comme adolescent puis adulte, seront celles qui nourriront son inspiration cinématographique et sa réflexion politique. Même les films dont l'action se situe avant 1945 sont à envisager comme "une archéologie de la société allemande d'après-guerre" (Elsaesser, p. 34)</t>
  </si>
  <si>
    <r>
      <t xml:space="preserve">"je trouve que l'Allemagne en particulier est dans une situation où beaucoup de choses régressent. Je dirais qu'en 1945, lorsque la guerre a pris fin, lorsque le troisième Reich a pris fin, on n'a pas perçu quelles chances s'offraient à l'Allemagne, mais je pense qu'au contraire, comme je l'ai écrit dans </t>
    </r>
    <r>
      <rPr>
        <i/>
        <sz val="10"/>
        <rFont val="Arial"/>
        <family val="2"/>
      </rPr>
      <t xml:space="preserve">Die Zeit, </t>
    </r>
    <r>
      <rPr>
        <sz val="10"/>
        <rFont val="Arial"/>
        <family val="2"/>
      </rPr>
      <t xml:space="preserve">les valeurs et les structures sur lesquelles repose cet Etat, aujourd'hui devenu démocratique, sont restées, fondamentalement les mêmes qu'autrefois. Cet état de fait, si on ajoute cette tendance régressive, va conduire à quelque chose, une forme d'Etat dans lequel je n'aimerais pas tellement vivre". Entretien donné à Peter W. Jansen en 1978 et repris dans l'ouvrage </t>
    </r>
    <r>
      <rPr>
        <i/>
        <sz val="10"/>
        <rFont val="Arial"/>
        <family val="2"/>
      </rPr>
      <t>Fassbinder par lui-même</t>
    </r>
    <r>
      <rPr>
        <sz val="10"/>
        <rFont val="Arial"/>
        <family val="2"/>
      </rPr>
      <t>, p.342-343, G3J éditeur, 2010</t>
    </r>
  </si>
  <si>
    <r>
      <rPr>
        <sz val="10"/>
        <color rgb="FF000000"/>
        <rFont val="Arial"/>
        <family val="2"/>
      </rPr>
      <t xml:space="preserve">Mai 1978 : RWF quitte Armin Meier pendant un voyage à New York. Meier rentre seul à Munich tandis que RWF se rend à Cannes. Le 31 mai 1978, jour d'anniversaire de RWF, Armin Meier se suicide dans leur appartement. Le corps n'est découvert qu'une semaine plus tard. Scandale. RWF se jette dans le travail. L'année des treize lunes, qui sort trois mois plus tard est dédié à Armin (et à tous les autres). 
Début de la collaboration avec Juliane Lorenz. </t>
    </r>
    <r>
      <rPr>
        <i/>
        <sz val="10"/>
        <color rgb="FF000000"/>
        <rFont val="Arial"/>
        <family val="2"/>
      </rPr>
      <t xml:space="preserve">L'année des treize lunes devient un film </t>
    </r>
    <r>
      <rPr>
        <sz val="10"/>
        <color rgb="FF000000"/>
        <rFont val="Arial"/>
        <family val="2"/>
      </rPr>
      <t>expiatoire. Le tournage de</t>
    </r>
    <r>
      <rPr>
        <i/>
        <sz val="10"/>
        <color rgb="FF000000"/>
        <rFont val="Arial"/>
        <family val="2"/>
      </rPr>
      <t xml:space="preserve"> Maria Braun </t>
    </r>
    <r>
      <rPr>
        <sz val="10"/>
        <color rgb="FF000000"/>
        <rFont val="Arial"/>
        <family val="2"/>
      </rPr>
      <t xml:space="preserve">est compliqué : dépassement de budget, consommation explosive de cocaïne. Ceci explique peut-être la fin de la collaboration entre Ballhaus et RWF.
RWF travaille activement à l'écriture de Berlin Alexanderplatz, dont il dicte des passages dans </t>
    </r>
    <r>
      <rPr>
        <i/>
        <sz val="10"/>
        <color rgb="FF000000"/>
        <rFont val="Arial"/>
        <family val="2"/>
      </rPr>
      <t xml:space="preserve">L'année des treize lunes. </t>
    </r>
  </si>
  <si>
    <r>
      <rPr>
        <i/>
        <sz val="10"/>
        <rFont val="Arial"/>
        <family val="2"/>
      </rPr>
      <t>L'année des treize lunes</t>
    </r>
    <r>
      <rPr>
        <sz val="10"/>
        <rFont val="Arial"/>
        <family val="2"/>
      </rPr>
      <t xml:space="preserve"> est un projet très personnel pour RWF. Outre son sujet, qui se nourrit du deuil et de la culpabilité liés à la mort d'Armin Meier, RWF y participe à toutes les étapes, y compris le cadrage et le montage. La critique est divisée, entre enthousiasme et rejet, entre lecture sentimentale et lecture politique. 
"</t>
    </r>
    <r>
      <rPr>
        <i/>
        <sz val="10"/>
        <rFont val="Arial"/>
        <family val="2"/>
      </rPr>
      <t xml:space="preserve">Despair </t>
    </r>
    <r>
      <rPr>
        <sz val="10"/>
        <rFont val="Arial"/>
        <family val="2"/>
      </rPr>
      <t xml:space="preserve">est le film le plus rempli d'espoir que j'ai jamais fait " RWF, </t>
    </r>
    <r>
      <rPr>
        <i/>
        <sz val="10"/>
        <rFont val="Arial"/>
        <family val="2"/>
      </rPr>
      <t>L'anarchie de l'imaginaire</t>
    </r>
    <r>
      <rPr>
        <sz val="10"/>
        <rFont val="Arial"/>
        <family val="2"/>
      </rPr>
      <t xml:space="preserve">, </t>
    </r>
    <r>
      <rPr>
        <i/>
        <sz val="10"/>
        <rFont val="Arial"/>
        <family val="2"/>
      </rPr>
      <t>p.80-81</t>
    </r>
    <r>
      <rPr>
        <sz val="10"/>
        <rFont val="Arial"/>
        <family val="2"/>
      </rPr>
      <t xml:space="preserve">. Le film constitue un nouveau tournant dans la carrière de RWF en l'intégrant au club fermé des auteurs importants du cinéma européen même si son écho critique reste mitigé. Mais RWF présente aussi à Cannes, en projection non officielle </t>
    </r>
    <r>
      <rPr>
        <i/>
        <sz val="10"/>
        <rFont val="Arial"/>
        <family val="2"/>
      </rPr>
      <t xml:space="preserve">Le mariage de Maria Braun. </t>
    </r>
    <r>
      <rPr>
        <sz val="10"/>
        <rFont val="Arial"/>
        <family val="2"/>
      </rPr>
      <t xml:space="preserve">ce film éclipse </t>
    </r>
    <r>
      <rPr>
        <i/>
        <sz val="10"/>
        <rFont val="Arial"/>
        <family val="2"/>
      </rPr>
      <t xml:space="preserve">Despair.
L'allemagne en automne n'est vu que par un public limité. </t>
    </r>
  </si>
  <si>
    <r>
      <t xml:space="preserve">La première génération était celle de 1968. Des idéalistes qui voulaient changer le monde et qui s'imaginaient pouvoir le faire avec des mots et des manifestes. La deuxième, celle du groupe Baader-Meinhof, passa de la légalité à la lutte armée et à l'illégalité totale. la troisième génération est celle d'aujourd'hui, qui se contente d'agir sans réfléchir, qui n'a ni idéologie ni politique, et qui se fait manipuler à son insu comme une troupe de marionnettes" </t>
    </r>
    <r>
      <rPr>
        <i/>
        <sz val="10"/>
        <rFont val="Arial"/>
        <family val="2"/>
      </rPr>
      <t>Fassbinder</t>
    </r>
    <r>
      <rPr>
        <sz val="10"/>
        <rFont val="Arial"/>
        <family val="2"/>
      </rPr>
      <t>, Jansen/Schütte, Collection Rivages-cinéma, 1986, p.106</t>
    </r>
  </si>
  <si>
    <r>
      <rPr>
        <i/>
        <sz val="10"/>
        <color rgb="FF000000"/>
        <rFont val="Arial"/>
        <family val="2"/>
      </rPr>
      <t>Le tambour</t>
    </r>
    <r>
      <rPr>
        <sz val="10"/>
        <color rgb="FF000000"/>
        <rFont val="Arial"/>
        <family val="2"/>
      </rPr>
      <t xml:space="preserve"> de V. Schöndorff obtient la palme d'or à Cannes. 
La diffusion de la série américaine  </t>
    </r>
    <r>
      <rPr>
        <i/>
        <sz val="10"/>
        <color rgb="FF000000"/>
        <rFont val="Arial"/>
        <family val="2"/>
      </rPr>
      <t>Holocaust</t>
    </r>
    <r>
      <rPr>
        <sz val="10"/>
        <color rgb="FF000000"/>
        <rFont val="Arial"/>
        <family val="2"/>
      </rPr>
      <t xml:space="preserve"> de Marvin J. Chomsky (1976) touche le grand public qui découvre l'ampleur des crimes commis pendant la seconde guerre mondiale à l'égard de la population juive.  La série suit le parcours de deux familles , l'une  "aryenne", l'autre juive. La série déclenche de vifs débats en RFA : comment l'histoire du pays peut-elle toucher le grand public à travers une production américaine et non allemande ? Si la série ouvre les vannes de la mémoire, Certains lui reprochent son sentimentalisme de </t>
    </r>
    <r>
      <rPr>
        <i/>
        <sz val="10"/>
        <color rgb="FF000000"/>
        <rFont val="Arial"/>
        <family val="2"/>
      </rPr>
      <t>soap opera.</t>
    </r>
  </si>
  <si>
    <r>
      <rPr>
        <sz val="10"/>
        <color rgb="FF000000"/>
        <rFont val="Arial"/>
        <family val="2"/>
      </rPr>
      <t xml:space="preserve">Le succès du </t>
    </r>
    <r>
      <rPr>
        <i/>
        <sz val="10"/>
        <color rgb="FF000000"/>
        <rFont val="Arial"/>
        <family val="2"/>
      </rPr>
      <t>Mariage de Maria Braun</t>
    </r>
    <r>
      <rPr>
        <sz val="10"/>
        <color rgb="FF000000"/>
        <rFont val="Arial"/>
        <family val="2"/>
      </rPr>
      <t xml:space="preserve"> amène RWF à espérer pouvoir réaliser </t>
    </r>
    <r>
      <rPr>
        <i/>
        <sz val="10"/>
        <color rgb="FF000000"/>
        <rFont val="Arial"/>
        <family val="2"/>
      </rPr>
      <t>Cocaïne</t>
    </r>
    <r>
      <rPr>
        <sz val="10"/>
        <color rgb="FF000000"/>
        <rFont val="Arial"/>
        <family val="2"/>
      </rPr>
      <t xml:space="preserve">, l'adaptation d'un roman de Pitigrilli. Il lui permet aussi de renégocier à la hausse le budget de production de </t>
    </r>
    <r>
      <rPr>
        <i/>
        <sz val="10"/>
        <color rgb="FF000000"/>
        <rFont val="Arial"/>
        <family val="2"/>
      </rPr>
      <t>Berlin Alexanderplatz</t>
    </r>
    <r>
      <rPr>
        <sz val="10"/>
        <color rgb="FF000000"/>
        <rFont val="Arial"/>
        <family val="2"/>
      </rPr>
      <t xml:space="preserve"> : le projet devient le plus coûteux de l'histoire de la télévision allemande. </t>
    </r>
  </si>
  <si>
    <t xml:space="preserve">Holocaust, une série américaine,éveille les consciences|https://www.ina.fr/ina-eclaire-actu/video/s1313279_001/1979-une-serie-eveille-les-consciences-sur-la-shoah; </t>
  </si>
  <si>
    <r>
      <rPr>
        <i/>
        <sz val="10"/>
        <color rgb="FF000000"/>
        <rFont val="Arial"/>
        <family val="2"/>
      </rPr>
      <t xml:space="preserve">Allemagne mère blafarde </t>
    </r>
    <r>
      <rPr>
        <sz val="10"/>
        <color rgb="FF000000"/>
        <rFont val="Arial"/>
        <family val="2"/>
      </rPr>
      <t>de Helma Sanders-Brahms. 
Début du tournage d'</t>
    </r>
    <r>
      <rPr>
        <i/>
        <sz val="10"/>
        <color rgb="FF000000"/>
        <rFont val="Arial"/>
        <family val="2"/>
      </rPr>
      <t>Heima</t>
    </r>
    <r>
      <rPr>
        <sz val="10"/>
        <color rgb="FF000000"/>
        <rFont val="Arial"/>
        <family val="2"/>
      </rPr>
      <t>t</t>
    </r>
    <r>
      <rPr>
        <i/>
        <sz val="10"/>
        <color rgb="FF000000"/>
        <rFont val="Arial"/>
        <family val="2"/>
      </rPr>
      <t xml:space="preserve"> de Edgar Reitz qui sera diffusé en 1984</t>
    </r>
  </si>
  <si>
    <r>
      <rPr>
        <sz val="10"/>
        <color rgb="FF000000"/>
        <rFont val="Arial"/>
        <family val="2"/>
      </rPr>
      <t xml:space="preserve">Monumental </t>
    </r>
    <r>
      <rPr>
        <i/>
        <sz val="10"/>
        <color rgb="FF000000"/>
        <rFont val="Arial"/>
        <family val="2"/>
      </rPr>
      <t>Berlin Alexanderplatz</t>
    </r>
    <r>
      <rPr>
        <sz val="10"/>
        <color rgb="FF000000"/>
        <rFont val="Arial"/>
        <family val="2"/>
      </rPr>
      <t xml:space="preserve">  - série en 14 épisodes et un épilogue </t>
    </r>
  </si>
  <si>
    <t>La première diffusion de Berlin Alexanderplatz à la télévision déclenche une violente campagne de haine contre le réalisateur. Le journaliste Klaus Eder qualifie l'oeuvre de "masturbations malpropres" 
Adaptant librement, près d'un siècle après sa parution - et quarante ans après la série culte de Fassbinder - le chef-d'oeuvre polyphonique d'Alfred Döblin, le réalisateur germano-afghan Burhan Qurbani en modernise le propos de manière radicale, en imaginant un réfugié sans papiers dans la peau de Franz Biberkopf, antihéros en quête de rédemption. Il transpose également à l'image l'audace formelle du roman, saturant les sens dans un tourbillon de musique, de mouvements et de couleurs. </t>
  </si>
  <si>
    <r>
      <t xml:space="preserve">"je ferai des films jusqu'à ce que j'ai conduit mon histoire de la RFA jusqu'à ici et aujourd'hui. Les histoires de </t>
    </r>
    <r>
      <rPr>
        <i/>
        <sz val="10"/>
        <rFont val="Arial"/>
        <family val="2"/>
      </rPr>
      <t xml:space="preserve">Lola </t>
    </r>
    <r>
      <rPr>
        <sz val="10"/>
        <rFont val="Arial"/>
        <family val="2"/>
      </rPr>
      <t xml:space="preserve">et </t>
    </r>
    <r>
      <rPr>
        <i/>
        <sz val="10"/>
        <rFont val="Arial"/>
        <family val="2"/>
      </rPr>
      <t>Maria Braun</t>
    </r>
    <r>
      <rPr>
        <sz val="10"/>
        <rFont val="Arial"/>
        <family val="2"/>
      </rPr>
      <t xml:space="preserve"> ne sont possibles que dans l'époque où elles se déroulent. Et elles s'intègrent, je l'espère, dans un portrait d'ensemble de la République fédérale, elles aident à comprendre cette étrange entité, avec ses dangers et ses menaces. En ce sens, ce sont des films très politiques". in </t>
    </r>
    <r>
      <rPr>
        <i/>
        <sz val="10"/>
        <rFont val="Arial"/>
        <family val="2"/>
      </rPr>
      <t xml:space="preserve">Rainer Werner Fassbinder, Dichter, Schauspieler, Filmemacher, </t>
    </r>
    <r>
      <rPr>
        <sz val="10"/>
        <rFont val="Arial"/>
        <family val="2"/>
      </rPr>
      <t>Argon, 1992, p.77</t>
    </r>
  </si>
  <si>
    <r>
      <rPr>
        <i/>
        <sz val="10"/>
        <color rgb="FF000000"/>
        <rFont val="Arial"/>
        <family val="2"/>
      </rPr>
      <t>Lola, une femme allemande</t>
    </r>
    <r>
      <rPr>
        <sz val="10"/>
        <color rgb="FF000000"/>
        <rFont val="Arial"/>
        <family val="2"/>
      </rPr>
      <t xml:space="preserve"> est d'abord conçu comme un remake de L</t>
    </r>
    <r>
      <rPr>
        <i/>
        <sz val="10"/>
        <color rgb="FF000000"/>
        <rFont val="Arial"/>
        <family val="2"/>
      </rPr>
      <t xml:space="preserve">'ange bleu </t>
    </r>
    <r>
      <rPr>
        <sz val="10"/>
        <color rgb="FF000000"/>
        <rFont val="Arial"/>
        <family val="2"/>
      </rPr>
      <t>de Josef von Sternberg (1930).</t>
    </r>
  </si>
  <si>
    <r>
      <rPr>
        <i/>
        <sz val="10"/>
        <rFont val="Arial"/>
        <family val="2"/>
      </rPr>
      <t>Lola</t>
    </r>
    <r>
      <rPr>
        <sz val="10"/>
        <rFont val="Arial"/>
        <family val="2"/>
      </rPr>
      <t xml:space="preserve"> est "un des films les plus intelligents, les plus pénétrants, mais aussi les plus grinçants sur la période d'après-guerre", Thomas Elsaesser, </t>
    </r>
    <r>
      <rPr>
        <i/>
        <sz val="10"/>
        <rFont val="Arial"/>
        <family val="2"/>
      </rPr>
      <t>RWF un cinéaste d'Allemagne</t>
    </r>
    <r>
      <rPr>
        <sz val="10"/>
        <rFont val="Arial"/>
        <family val="2"/>
      </rPr>
      <t xml:space="preserve">, p. 1965
</t>
    </r>
    <r>
      <rPr>
        <i/>
        <sz val="10"/>
        <rFont val="Arial"/>
        <family val="2"/>
      </rPr>
      <t>Lili Marleen (…) est ma première tentative de faire un film sur le IIIe Reich. Et je ferai certainement encore plusieurs films sur le IIIe Reich. (...) Il en résultera peut-être pour finir un tableau d'ensemble de la bourgeoisie depuis 1848" Rainer Werner Fassbinder. Dichter, Schauspieler, Filmemacher</t>
    </r>
    <r>
      <rPr>
        <sz val="10"/>
        <rFont val="Arial"/>
        <family val="2"/>
      </rPr>
      <t>, 1992, p.178</t>
    </r>
  </si>
  <si>
    <r>
      <t xml:space="preserve">"Je ne pense pas qu'il ait fait un seul film que l'on pourrait qualifier de chef-d'œuvre. Le chef-d'œuvre, c'est les 41 films et la vie et tout le reste. Les films ne sont que le résidu de cette vie."Peter Chatel </t>
    </r>
    <r>
      <rPr>
        <i/>
        <sz val="10"/>
        <rFont val="Arial"/>
        <family val="2"/>
      </rPr>
      <t xml:space="preserve">in  Die Sehnsucht des Rainer Werner Fassbinder » (La Nostalgie de Rainer Werner Fassbinder), De Kurt Raab et Karsten Peters, 1982, éditions Bertelsmann </t>
    </r>
  </si>
  <si>
    <t>Le Chancelier Helmut Kohl (CDU)</t>
  </si>
  <si>
    <t>Deux États allemands : miracle économique à l'Ouest, socialisme d'État à l'Est</t>
  </si>
  <si>
    <t>Des ruines de l'Heure zéro à la division de l'Allemagne</t>
  </si>
  <si>
    <t xml:space="preserve">Le Mur, stabilisation froide des deux Etats </t>
  </si>
  <si>
    <t xml:space="preserve"> De la Grande Coalition à l'Ostpolitik : contestation, réforme e Ostpoltik (1966-1973)</t>
  </si>
  <si>
    <t xml:space="preserve">Après le miracle : crise économlique, années de plomb et désenchantement 
</t>
  </si>
  <si>
    <t>La fin d'une ère : fin de la détente et tournant conservateur</t>
  </si>
  <si>
    <t>Le miracle économique : une croissance fondée sur l'essor des chaines de production industrielle</t>
  </si>
  <si>
    <t>Histoire du mur de Berlin|https://youtu.be/UQcKMxpU2bQ?si=rzfmz4JDbYvFqZ-H; Portrait d'Alexander Kluge|https://www.dailymotion.com/video/xzf7zm</t>
  </si>
  <si>
    <t>La bande à Baader présentée par la télébision suisse en 1972|https://www.rts.ch/archives/1972/video/la-bande-baader-meinhof-26956164.html</t>
  </si>
  <si>
    <t xml:space="preserve">La période est marquée par les attentats et l’arrestation de la première génération de la RAF, le choc pétrolier, la fin du recrutement des Gastarbeiter et la démission de Willy Brandt. La crise économique et le terrorisme infléchissent le climat réformateur.
Démission de Willy Brandt (1974) suite à l'affaire Guillaume, un collaborateur accusé d'espionnage pour le compte de la RDA. L'Ostpolitik se poursuit sous Helmut Schmidt (SPD). Conférence d'Helsinki (1975) : la RFA reconnaît le statu quo territorial européen.
Premier choc pétrolier (1973) et crise économique qui en découle mettent fin au système des Gastarbeiter. 4 millions d'étrangers en RFA (1974) : la politique de regroupement familial a accru les arrivées. Fin du plein emploi : montée structurelle du chômage. Tensions sociales et crises du logement (Westend). Débats sur la visibilité des minorités. 
Procès, enlèvements, prises d’otages et morts en détention installent la RAF au centre du débat public. Terrorisme de la RAF (arrestations en 1972). Attentat des JO de Munich (1972). L'« Automne allemand » (1977) désigne l'apogée du terrorisme en RFA. Assassinat du procureur fédéral Buback (avril 1977), de Jürgen Ponto, président de la Dresdner Bank (juillet 1977). Enlèvement et assassinat de Hanns Martin Schleyer, président du patronat allemand (septembre-octobre 1977). Détournement du vol Lufthansa à Mogadiscio ; intervention des forces spéciales allemandes. Nuit de la mort de Stammheim : Baader, Ensslin et Raspe se suicident en prison (octobre 1977) 
Les réformes sociétales se poursuivent : Loi sur l'avortement (1976) et réforme du droit de la famille (1977) qui confère plus d'autonomie aux femmes.
</t>
  </si>
  <si>
    <t>Assassinat d'Hanns Meyer Schleyer|https://youtu.be/Swkle9X11SQ?si=ndqGi8UZz0DZAULQ&amp;t=41; Inhumanation des suicidés de Stammheim|https://www.ina.fr/ina-eclaire-actu/video/cab7701618601/enterrement-bande-a-baader</t>
  </si>
  <si>
    <t>Portrait d'Helmut Kohl|https://www.ina.fr/ina-eclaire-actu/video/cab8201713301/helmut-kohl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</si>
</sst>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1" x14ac:knownFonts="1">
    <font>
      <sz val="10"/>
      <name val="Arial"/>
    </font>
    <font>
      <sz val="12"/>
      <color theme="10"/>
      <name val="Aptos Narrow"/>
    </font>
    <font>
      <sz val="12"/>
      <color theme="1"/>
      <name val="Aptos Narrow"/>
    </font>
    <font>
      <sz val="10"/>
      <color theme="1"/>
      <name val="Arial"/>
      <family val="2"/>
    </font>
    <font>
      <sz val="12"/>
      <color rgb="FF1F4E78"/>
      <name val="Aptos Narrow"/>
    </font>
    <font>
      <sz val="10"/>
      <color theme="0"/>
      <name val="Arial"/>
      <family val="2"/>
    </font>
    <font>
      <b/>
      <sz val="15"/>
      <color rgb="FFFFFFFF"/>
      <name val="Aptos Narrow"/>
    </font>
    <font>
      <b/>
      <sz val="12"/>
      <color rgb="FF1F4E78"/>
      <name val="Aptos Narrow"/>
    </font>
    <font>
      <sz val="10"/>
      <name val="Arial"/>
      <family val="2"/>
    </font>
    <font>
      <i/>
      <sz val="10"/>
      <color theme="1"/>
      <name val="Arial"/>
      <family val="2"/>
    </font>
    <font>
      <b/>
      <sz val="10"/>
      <color rgb="FF000000"/>
      <name val="Arial"/>
      <family val="2"/>
    </font>
    <font>
      <sz val="10"/>
      <color rgb="FF000000"/>
      <name val="Arial"/>
      <family val="2"/>
    </font>
    <font>
      <sz val="10"/>
      <color theme="10"/>
      <name val="Arial"/>
      <family val="2"/>
    </font>
    <font>
      <i/>
      <sz val="10"/>
      <color rgb="FF000000"/>
      <name val="Arial"/>
      <family val="2"/>
    </font>
    <font>
      <sz val="10"/>
      <color rgb="FF1F4E78"/>
      <name val="Arial"/>
      <family val="2"/>
    </font>
    <font>
      <sz val="10"/>
      <color theme="0"/>
      <name val="Arial"/>
      <family val="2"/>
    </font>
    <font>
      <sz val="10"/>
      <color rgb="FF1F4E78"/>
      <name val="Aptos Narrow"/>
    </font>
    <font>
      <sz val="10"/>
      <color theme="10"/>
      <name val="Aptos Narrow"/>
    </font>
    <font>
      <sz val="10"/>
      <color theme="1"/>
      <name val="Aptos Narrow"/>
    </font>
    <font>
      <i/>
      <sz val="10"/>
      <color theme="1"/>
      <name val="Aptos Narrow"/>
    </font>
    <font>
      <i/>
      <sz val="10"/>
      <name val="Arial"/>
      <family val="2"/>
    </font>
  </fonts>
  <fills count="9">
    <fill>
      <patternFill patternType="none"/>
    </fill>
    <fill>
      <patternFill patternType="gray125"/>
    </fill>
    <fill>
      <patternFill patternType="solid">
        <fgColor rgb="FFEEF5FA"/>
      </patternFill>
    </fill>
    <fill>
      <patternFill patternType="solid">
        <fgColor rgb="FFF2F7FB"/>
      </patternFill>
    </fill>
    <fill>
      <patternFill patternType="solid">
        <fgColor rgb="FF1F4E78"/>
      </patternFill>
    </fill>
    <fill>
      <patternFill patternType="solid">
        <fgColor rgb="FFD9EAF4"/>
      </patternFill>
    </fill>
    <fill>
      <patternFill patternType="solid">
        <fgColor rgb="FFD9D9D9"/>
      </patternFill>
    </fill>
    <fill>
      <patternFill patternType="solid">
        <fgColor theme="1"/>
      </patternFill>
    </fill>
    <fill>
      <patternFill patternType="solid">
        <fgColor rgb="FFD9D9D9"/>
        <bgColor rgb="FFD9D9D9"/>
      </patternFill>
    </fill>
  </fills>
  <borders count="2">
    <border>
      <left/>
      <right/>
      <top/>
      <bottom/>
      <diagonal/>
    </border>
    <border>
      <left/>
      <right/>
      <top style="thin">
        <color rgb="FF000000"/>
      </top>
      <bottom style="thin">
        <color rgb="FF000000"/>
      </bottom>
      <diagonal/>
    </border>
  </borders>
  <cellStyleXfs count="3">
    <xf numFmtId="0" fontId="0" fillId="0" borderId="0"/>
    <xf numFmtId="0" fontId="1" fillId="0" borderId="0"/>
    <xf numFmtId="0" fontId="2" fillId="0" borderId="0"/>
  </cellStyleXfs>
  <cellXfs count="35">
    <xf numFmtId="0" fontId="0" fillId="0" borderId="0" xfId="0"/>
    <xf numFmtId="0" fontId="3" fillId="0" borderId="0" xfId="2" applyFont="1" applyAlignment="1">
      <alignment vertical="top" wrapText="1"/>
    </xf>
    <xf numFmtId="0" fontId="4" fillId="2" borderId="0" xfId="2" applyFont="1" applyFill="1" applyAlignment="1">
      <alignment wrapText="1"/>
    </xf>
    <xf numFmtId="0" fontId="2" fillId="0" borderId="0" xfId="2" applyAlignment="1">
      <alignment wrapText="1"/>
    </xf>
    <xf numFmtId="0" fontId="5" fillId="0" borderId="0" xfId="2" applyFont="1" applyAlignment="1">
      <alignment vertical="top" wrapText="1"/>
    </xf>
    <xf numFmtId="0" fontId="2" fillId="3" borderId="0" xfId="2" applyFill="1" applyAlignment="1">
      <alignment wrapText="1"/>
    </xf>
    <xf numFmtId="0" fontId="6" fillId="4" borderId="0" xfId="2" applyFont="1" applyFill="1" applyAlignment="1">
      <alignment wrapText="1"/>
    </xf>
    <xf numFmtId="0" fontId="7" fillId="5" borderId="0" xfId="2" applyFont="1" applyFill="1" applyAlignment="1">
      <alignment wrapText="1"/>
    </xf>
    <xf numFmtId="0" fontId="5" fillId="0" borderId="0" xfId="0" applyFont="1"/>
    <xf numFmtId="0" fontId="0" fillId="0" borderId="0" xfId="0" applyAlignment="1">
      <alignment vertical="top"/>
    </xf>
    <xf numFmtId="0" fontId="10" fillId="0" borderId="0" xfId="0" applyFont="1"/>
    <xf numFmtId="0" fontId="11" fillId="0" borderId="0" xfId="0" applyFont="1" applyAlignment="1">
      <alignment vertical="top" wrapText="1"/>
    </xf>
    <xf numFmtId="0" fontId="8" fillId="0" borderId="0" xfId="0" applyFont="1" applyAlignment="1">
      <alignment vertical="top" wrapText="1"/>
    </xf>
    <xf numFmtId="0" fontId="12" fillId="0" borderId="0" xfId="1" applyFont="1" applyAlignment="1">
      <alignment vertical="top" wrapText="1"/>
    </xf>
    <xf numFmtId="0" fontId="11" fillId="0" borderId="0" xfId="2" applyFont="1" applyAlignment="1">
      <alignment vertical="top" wrapText="1"/>
    </xf>
    <xf numFmtId="0" fontId="13" fillId="0" borderId="0" xfId="2" applyFont="1" applyAlignment="1">
      <alignment vertical="top" wrapText="1"/>
    </xf>
    <xf numFmtId="0" fontId="3" fillId="0" borderId="0" xfId="2" applyFont="1" applyAlignment="1">
      <alignment horizontal="left" vertical="top" wrapText="1"/>
    </xf>
    <xf numFmtId="0" fontId="9" fillId="0" borderId="0" xfId="2" applyFont="1" applyAlignment="1">
      <alignment vertical="top" wrapText="1"/>
    </xf>
    <xf numFmtId="0" fontId="11" fillId="6" borderId="1" xfId="0" applyFont="1" applyFill="1" applyBorder="1" applyAlignment="1">
      <alignment vertical="top" wrapText="1"/>
    </xf>
    <xf numFmtId="0" fontId="5" fillId="7" borderId="0" xfId="0" applyFont="1" applyFill="1" applyAlignment="1">
      <alignment vertical="top"/>
    </xf>
    <xf numFmtId="0" fontId="15" fillId="0" borderId="0" xfId="2" applyFont="1" applyAlignment="1">
      <alignment vertical="top" wrapText="1"/>
    </xf>
    <xf numFmtId="0" fontId="16" fillId="2" borderId="0" xfId="2" applyFont="1" applyFill="1" applyAlignment="1">
      <alignment wrapText="1"/>
    </xf>
    <xf numFmtId="0" fontId="14" fillId="2" borderId="0" xfId="2" applyFont="1" applyFill="1" applyAlignment="1">
      <alignment vertical="top" wrapText="1"/>
    </xf>
    <xf numFmtId="0" fontId="17" fillId="0" borderId="0" xfId="1" applyFont="1" applyAlignment="1">
      <alignment vertical="top" wrapText="1"/>
    </xf>
    <xf numFmtId="0" fontId="18" fillId="0" borderId="0" xfId="2" applyFont="1" applyAlignment="1">
      <alignment vertical="top" wrapText="1"/>
    </xf>
    <xf numFmtId="0" fontId="18" fillId="0" borderId="0" xfId="2" applyFont="1" applyAlignment="1">
      <alignment horizontal="left" vertical="top" wrapText="1"/>
    </xf>
    <xf numFmtId="0" fontId="11" fillId="0" borderId="0" xfId="0" applyFont="1"/>
    <xf numFmtId="0" fontId="3" fillId="0" borderId="0" xfId="0" applyFont="1" applyAlignment="1">
      <alignment vertical="top" wrapText="1"/>
    </xf>
    <xf numFmtId="0" fontId="8" fillId="0" borderId="0" xfId="0" applyFont="1"/>
    <xf numFmtId="0" fontId="11" fillId="8" borderId="1" xfId="0" applyFont="1" applyFill="1" applyBorder="1" applyAlignment="1">
      <alignment vertical="top" wrapText="1"/>
    </xf>
    <xf numFmtId="0" fontId="8" fillId="0" borderId="0" xfId="0" applyFont="1" applyAlignment="1">
      <alignment vertical="top"/>
    </xf>
    <xf numFmtId="0" fontId="8" fillId="0" borderId="0" xfId="0" applyFont="1" applyAlignment="1">
      <alignment wrapText="1"/>
    </xf>
    <xf numFmtId="0" fontId="11" fillId="0" borderId="1" xfId="0" applyFont="1" applyBorder="1" applyAlignment="1">
      <alignment vertical="top" wrapText="1"/>
    </xf>
    <xf numFmtId="0" fontId="20" fillId="0" borderId="0" xfId="0" applyFont="1" applyAlignment="1">
      <alignment vertical="top" wrapText="1"/>
    </xf>
    <xf numFmtId="0" fontId="7" fillId="2" borderId="0" xfId="2" applyFont="1" applyFill="1" applyAlignment="1">
      <alignment wrapText="1"/>
    </xf>
  </cellXfs>
  <cellStyles count="3">
    <cellStyle name="Lien hypertexte" xfId="1" xr:uid="{00000000-0005-0000-0000-000000000000}"/>
    <cellStyle name="Normal" xfId="0" builtinId="0"/>
    <cellStyle name="Normal 2" xfId="2" xr:uid="{00000000-0005-0000-0000-000002000000}"/>
  </cellStyles>
  <dxfs count="37">
    <dxf>
      <font>
        <strike val="0"/>
        <outline val="0"/>
        <shadow val="0"/>
        <u val="none"/>
        <vertAlign val="baseline"/>
        <sz val="10"/>
        <name val="Arial"/>
        <scheme val="none"/>
      </font>
    </dxf>
    <dxf>
      <font>
        <strike val="0"/>
        <outline val="0"/>
        <shadow val="0"/>
        <u val="none"/>
        <vertAlign val="baseline"/>
        <sz val="10"/>
        <name val="Arial"/>
        <scheme val="none"/>
      </font>
    </dxf>
    <dxf>
      <font>
        <strike val="0"/>
        <outline val="0"/>
        <shadow val="0"/>
        <u val="none"/>
        <vertAlign val="baseline"/>
        <sz val="10"/>
        <name val="Arial"/>
        <scheme val="none"/>
      </font>
    </dxf>
    <dxf>
      <font>
        <strike val="0"/>
        <outline val="0"/>
        <shadow val="0"/>
        <u val="none"/>
        <vertAlign val="baseline"/>
        <sz val="10"/>
        <name val="Arial"/>
        <scheme val="none"/>
      </font>
    </dxf>
    <dxf>
      <font>
        <strike val="0"/>
        <outline val="0"/>
        <shadow val="0"/>
        <u val="none"/>
        <vertAlign val="baseline"/>
        <sz val="10"/>
        <name val="Arial"/>
        <scheme val="none"/>
      </font>
    </dxf>
    <dxf>
      <font>
        <strike val="0"/>
        <outline val="0"/>
        <shadow val="0"/>
        <u val="none"/>
        <vertAlign val="baseline"/>
        <sz val="10"/>
        <name val="Arial"/>
        <scheme val="none"/>
      </font>
    </dxf>
    <dxf>
      <font>
        <strike val="0"/>
        <outline val="0"/>
        <shadow val="0"/>
        <u val="none"/>
        <vertAlign val="baseline"/>
        <sz val="10"/>
        <name val="Arial"/>
        <scheme val="none"/>
      </font>
    </dxf>
    <dxf>
      <font>
        <strike val="0"/>
        <outline val="0"/>
        <shadow val="0"/>
        <u val="none"/>
        <vertAlign val="baseline"/>
        <sz val="10"/>
        <name val="Arial"/>
        <scheme val="none"/>
      </font>
    </dxf>
    <dxf>
      <font>
        <strike val="0"/>
        <outline val="0"/>
        <shadow val="0"/>
        <u val="none"/>
        <vertAlign val="baseline"/>
        <sz val="10"/>
        <name val="Arial"/>
        <scheme val="none"/>
      </font>
    </dxf>
    <dxf>
      <font>
        <strike val="0"/>
        <outline val="0"/>
        <shadow val="0"/>
        <u val="none"/>
        <vertAlign val="baseline"/>
        <sz val="10"/>
        <name val="Arial"/>
        <scheme val="none"/>
      </font>
    </dxf>
    <dxf>
      <font>
        <strike val="0"/>
        <outline val="0"/>
        <shadow val="0"/>
        <u val="none"/>
        <vertAlign val="baseline"/>
        <sz val="10"/>
        <name val="Arial"/>
        <scheme val="none"/>
      </font>
    </dxf>
    <dxf>
      <font>
        <strike val="0"/>
        <outline val="0"/>
        <shadow val="0"/>
        <u val="none"/>
        <vertAlign val="baseline"/>
        <sz val="10"/>
        <name val="Arial"/>
        <scheme val="none"/>
      </font>
    </dxf>
    <dxf>
      <font>
        <strike val="0"/>
        <outline val="0"/>
        <shadow val="0"/>
        <u val="none"/>
        <vertAlign val="baseline"/>
        <sz val="10"/>
        <name val="Arial"/>
        <scheme val="none"/>
      </font>
    </dxf>
    <dxf>
      <font>
        <strike val="0"/>
        <outline val="0"/>
        <shadow val="0"/>
        <u val="none"/>
        <vertAlign val="baseline"/>
        <sz val="10"/>
        <name val="Arial"/>
        <scheme val="none"/>
      </font>
    </dxf>
    <dxf>
      <font>
        <strike val="0"/>
        <outline val="0"/>
        <shadow val="0"/>
        <u val="none"/>
        <vertAlign val="baseline"/>
        <sz val="10"/>
        <name val="Arial"/>
        <scheme val="none"/>
      </font>
    </dxf>
    <dxf>
      <font>
        <strike val="0"/>
        <outline val="0"/>
        <shadow val="0"/>
        <u val="none"/>
        <vertAlign val="baseline"/>
        <sz val="10"/>
        <name val="Arial"/>
        <scheme val="none"/>
      </font>
    </dxf>
    <dxf>
      <font>
        <strike val="0"/>
        <outline val="0"/>
        <shadow val="0"/>
        <u val="none"/>
        <vertAlign val="baseline"/>
        <sz val="10"/>
        <name val="Arial"/>
        <scheme val="none"/>
      </font>
    </dxf>
    <dxf>
      <font>
        <strike val="0"/>
        <outline val="0"/>
        <shadow val="0"/>
        <u val="none"/>
        <vertAlign val="baseline"/>
        <sz val="10"/>
        <name val="Arial"/>
        <scheme val="none"/>
      </font>
    </dxf>
    <dxf>
      <font>
        <strike val="0"/>
        <outline val="0"/>
        <shadow val="0"/>
        <u val="none"/>
        <vertAlign val="baseline"/>
        <sz val="10"/>
        <name val="Arial"/>
        <scheme val="none"/>
      </font>
    </dxf>
    <dxf>
      <font>
        <strike val="0"/>
        <outline val="0"/>
        <shadow val="0"/>
        <u val="none"/>
        <vertAlign val="baseline"/>
        <sz val="10"/>
        <name val="Arial"/>
        <scheme val="none"/>
      </font>
    </dxf>
    <dxf>
      <font>
        <strike val="0"/>
        <outline val="0"/>
        <shadow val="0"/>
        <u val="none"/>
        <vertAlign val="baseline"/>
        <sz val="10"/>
        <name val="Arial"/>
        <scheme val="none"/>
      </font>
    </dxf>
    <dxf>
      <font>
        <b val="0"/>
        <strike val="0"/>
        <outline val="0"/>
        <shadow val="0"/>
        <u val="none"/>
        <vertAlign val="baseline"/>
        <sz val="10"/>
      </font>
    </dxf>
    <dxf>
      <font>
        <b val="0"/>
        <strike val="0"/>
        <outline val="0"/>
        <shadow val="0"/>
        <u val="none"/>
        <vertAlign val="baseline"/>
        <sz val="10"/>
      </font>
    </dxf>
    <dxf>
      <font>
        <b val="0"/>
        <strike val="0"/>
        <outline val="0"/>
        <shadow val="0"/>
        <u val="none"/>
        <vertAlign val="baseline"/>
        <sz val="10"/>
      </font>
    </dxf>
    <dxf>
      <font>
        <b val="0"/>
        <strike val="0"/>
        <outline val="0"/>
        <shadow val="0"/>
        <u val="none"/>
        <vertAlign val="baseline"/>
        <sz val="10"/>
      </font>
    </dxf>
    <dxf>
      <font>
        <b val="0"/>
        <strike val="0"/>
        <outline val="0"/>
        <shadow val="0"/>
        <u val="none"/>
        <vertAlign val="baseline"/>
        <sz val="10"/>
      </font>
    </dxf>
    <dxf>
      <font>
        <b val="0"/>
        <strike val="0"/>
        <outline val="0"/>
        <shadow val="0"/>
        <u val="none"/>
        <vertAlign val="baseline"/>
        <sz val="10"/>
      </font>
    </dxf>
    <dxf>
      <font>
        <b val="0"/>
        <strike val="0"/>
        <outline val="0"/>
        <shadow val="0"/>
        <u val="none"/>
        <vertAlign val="baseline"/>
        <sz val="10"/>
      </font>
    </dxf>
    <dxf>
      <font>
        <b val="0"/>
        <strike val="0"/>
        <outline val="0"/>
        <shadow val="0"/>
        <u val="none"/>
        <vertAlign val="baseline"/>
        <sz val="10"/>
      </font>
    </dxf>
    <dxf>
      <font>
        <b val="0"/>
        <strike val="0"/>
        <outline val="0"/>
        <shadow val="0"/>
        <u val="none"/>
        <vertAlign val="baseline"/>
        <sz val="10"/>
      </font>
    </dxf>
    <dxf>
      <font>
        <b val="0"/>
        <strike val="0"/>
        <outline val="0"/>
        <shadow val="0"/>
        <u val="none"/>
        <vertAlign val="baseline"/>
        <sz val="10"/>
      </font>
    </dxf>
    <dxf>
      <font>
        <b val="0"/>
        <strike val="0"/>
        <outline val="0"/>
        <shadow val="0"/>
        <u val="none"/>
        <vertAlign val="baseline"/>
        <sz val="10"/>
      </font>
    </dxf>
    <dxf>
      <font>
        <b val="0"/>
        <strike val="0"/>
        <outline val="0"/>
        <shadow val="0"/>
        <u val="none"/>
        <vertAlign val="baseline"/>
        <sz val="10"/>
      </font>
    </dxf>
    <dxf>
      <font>
        <b val="0"/>
        <strike val="0"/>
        <outline val="0"/>
        <shadow val="0"/>
        <u val="none"/>
        <vertAlign val="baseline"/>
        <sz val="10"/>
      </font>
    </dxf>
    <dxf>
      <font>
        <b val="0"/>
        <strike val="0"/>
        <outline val="0"/>
        <shadow val="0"/>
        <u val="none"/>
        <vertAlign val="baseline"/>
        <sz val="10"/>
      </font>
    </dxf>
    <dxf>
      <font>
        <b val="0"/>
        <strike val="0"/>
        <outline val="0"/>
        <shadow val="0"/>
        <u val="none"/>
        <vertAlign val="baseline"/>
        <sz val="10"/>
      </font>
    </dxf>
    <dxf>
      <font>
        <strike val="0"/>
        <outline val="0"/>
        <shadow val="0"/>
        <u val="none"/>
        <vertAlign val="baseline"/>
        <sz val="10"/>
      </font>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2F7FB"/>
      <rgbColor rgb="FFD9EAF4"/>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EEF5FA"/>
      <rgbColor rgb="FFCCFFCC"/>
      <rgbColor rgb="FFFFFF99"/>
      <rgbColor rgb="FF99CCFF"/>
      <rgbColor rgb="FFFF99CC"/>
      <rgbColor rgb="FFCC99FF"/>
      <rgbColor rgb="FFFFCC99"/>
      <rgbColor rgb="FF3366FF"/>
      <rgbColor rgb="FF33CCCC"/>
      <rgbColor rgb="FF99CC00"/>
      <rgbColor rgb="FFFFCC00"/>
      <rgbColor rgb="FFFF9900"/>
      <rgbColor rgb="FFFF6600"/>
      <rgbColor rgb="FF467886"/>
      <rgbColor rgb="FF969696"/>
      <rgbColor rgb="FF003366"/>
      <rgbColor rgb="FF339966"/>
      <rgbColor rgb="FF003300"/>
      <rgbColor rgb="FF333300"/>
      <rgbColor rgb="FF993300"/>
      <rgbColor rgb="FF993366"/>
      <rgbColor rgb="FF1F4E78"/>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0000000}" name="Tableau2" displayName="Tableau2" ref="A1:N7" totalsRowShown="0" headerRowDxfId="36" dataDxfId="35">
  <autoFilter ref="A1:N7" xr:uid="{00000000-0009-0000-0100-000003000000}"/>
  <tableColumns count="14">
    <tableColumn id="1" xr3:uid="{00000000-0010-0000-0000-000001000000}" name="ID période" dataDxfId="34"/>
    <tableColumn id="2" xr3:uid="{00000000-0010-0000-0000-000002000000}" name="Titre période" dataDxfId="33"/>
    <tableColumn id="3" xr3:uid="{00000000-0010-0000-0000-000003000000}" name="question directrice" dataDxfId="32"/>
    <tableColumn id="4" xr3:uid="{00000000-0010-0000-0000-000004000000}" name="Événement histoire et politique" dataDxfId="31"/>
    <tableColumn id="5" xr3:uid="{00000000-0010-0000-0000-000005000000}" name="Contexte culturel" dataDxfId="30"/>
    <tableColumn id="6" xr3:uid="{00000000-0010-0000-0000-000006000000}" name="Biographie de Fassbinder" dataDxfId="29"/>
    <tableColumn id="7" xr3:uid="{00000000-0010-0000-0000-000007000000}" name="Œuvres" dataDxfId="28"/>
    <tableColumn id="8" xr3:uid="{00000000-0010-0000-0000-000008000000}" name="ID films - Œuvres" dataDxfId="27"/>
    <tableColumn id="9" xr3:uid="{00000000-0010-0000-0000-000009000000}" name="Analyse et réception critique" dataDxfId="26"/>
    <tableColumn id="10" xr3:uid="{00000000-0010-0000-0000-00000A000000}" name="Liens" dataDxfId="25"/>
    <tableColumn id="11" xr3:uid="{00000000-0010-0000-0000-00000B000000}" name="Citation" dataDxfId="24"/>
    <tableColumn id="12" xr3:uid="{00000000-0010-0000-0000-00000C000000}" name="Image" dataDxfId="23"/>
    <tableColumn id="13" xr3:uid="{00000000-0010-0000-0000-00000D000000}" name="Légende" dataDxfId="22"/>
    <tableColumn id="14" xr3:uid="{00000000-0010-0000-0000-00000E000000}" name="Notion" dataDxfId="21"/>
  </tableColumns>
  <tableStyleInfo name="TableStyleMedium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au1" displayName="Tableau1" ref="A1:T37" totalsRowShown="0" dataDxfId="20">
  <autoFilter ref="A1:T37" xr:uid="{00000000-0009-0000-0100-000002000000}"/>
  <tableColumns count="20">
    <tableColumn id="1" xr3:uid="{00000000-0010-0000-0100-000001000000}" name="Année" dataDxfId="19"/>
    <tableColumn id="2" xr3:uid="{00000000-0010-0000-0100-000002000000}" name="ID période" dataDxfId="18"/>
    <tableColumn id="3" xr3:uid="{00000000-0010-0000-0100-000003000000}" name="Événement histoire et politique" dataDxfId="17"/>
    <tableColumn id="4" xr3:uid="{00000000-0010-0000-0100-000004000000}" name="Contexte culturel" dataDxfId="16"/>
    <tableColumn id="5" xr3:uid="{00000000-0010-0000-0100-000005000000}" name="Biographie de Fassbinder" dataDxfId="15"/>
    <tableColumn id="6" xr3:uid="{00000000-0010-0000-0100-000006000000}" name="Œuvres" dataDxfId="14"/>
    <tableColumn id="7" xr3:uid="{00000000-0010-0000-0100-000007000000}" name="Analyse et Réception critique" dataDxfId="13"/>
    <tableColumn id="8" xr3:uid="{00000000-0010-0000-0100-000008000000}" name="Liens" dataDxfId="12"/>
    <tableColumn id="9" xr3:uid="{00000000-0010-0000-0100-000009000000}" name="Extraits" dataDxfId="11"/>
    <tableColumn id="10" xr3:uid="{00000000-0010-0000-0100-00000A000000}" name="Description de l'extrait" dataDxfId="10"/>
    <tableColumn id="11" xr3:uid="{00000000-0010-0000-0100-00000B000000}" name="Consigne d'analyse" dataDxfId="9"/>
    <tableColumn id="12" xr3:uid="{00000000-0010-0000-0100-00000C000000}" name="Citation" dataDxfId="8"/>
    <tableColumn id="13" xr3:uid="{00000000-0010-0000-0100-00000D000000}" name="Image 1" dataDxfId="7"/>
    <tableColumn id="14" xr3:uid="{00000000-0010-0000-0100-00000E000000}" name="Légende 1" dataDxfId="6"/>
    <tableColumn id="15" xr3:uid="{00000000-0010-0000-0100-00000F000000}" name="Image 2" dataDxfId="5"/>
    <tableColumn id="16" xr3:uid="{00000000-0010-0000-0100-000010000000}" name="Légende 2" dataDxfId="4"/>
    <tableColumn id="17" xr3:uid="{00000000-0010-0000-0100-000011000000}" name="Image 3" dataDxfId="3"/>
    <tableColumn id="18" xr3:uid="{00000000-0010-0000-0100-000012000000}" name="Légende 3" dataDxfId="2"/>
    <tableColumn id="19" xr3:uid="{00000000-0010-0000-0100-000013000000}" name="Notion" dataDxfId="1"/>
    <tableColumn id="20" xr3:uid="{00000000-0010-0000-0100-000014000000}" name="Source" dataDxfId="0"/>
  </tableColumns>
  <tableStyleInfo name="TableStyleMedium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2000000}" name="ReferentielFilmsFrise" displayName="ReferentielFilmsFrise" ref="A1:B41" totalsRowShown="0">
  <tableColumns count="2">
    <tableColumn id="1" xr3:uid="{00000000-0010-0000-0200-000001000000}" name="Titre canonique"/>
    <tableColumn id="2" xr3:uid="{00000000-0010-0000-0200-000002000000}" name="ID canonique"/>
  </tableColumns>
  <tableStyleInfo name="TableStyleMedium1" showFirstColumn="0" showLastColumn="0" showRowStripes="1" showColumnStripes="0"/>
</table>
</file>

<file path=xl/theme/theme1.xml><?xml version="1.0" encoding="utf-8"?>
<a:theme xmlns:a="http://schemas.openxmlformats.org/drawingml/2006/main" name="Thème Offic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a:gradFill>
      </a:fillStyleLst>
      <a:lnStyleLst>
        <a:ln w="12700">
          <a:prstDash val="solid"/>
        </a:ln>
        <a:ln w="19050">
          <a:prstDash val="solid"/>
        </a:ln>
        <a:ln w="2540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hyperlink" Target="https://www.youtube.com/watch?v=XOEZi6eGT60" TargetMode="External"/><Relationship Id="rId1" Type="http://schemas.openxmlformats.org/officeDocument/2006/relationships/hyperlink" Target="https://youtu.be/kp-fpPFhwyU?si=I3f1RY_wqNXN_k0l"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https://www.lemonde.fr/disparitions/article/2022/11/20/le-cineaste-jean-marie-straub-est-mort_6150761_3382.html?srsltid=ARcRdnpDLpgbyMuJ_BMuHIlLiO-ZJquwo9Xa-RH838OCOEYmmoYM1tFp" TargetMode="External"/><Relationship Id="rId3" Type="http://schemas.openxmlformats.org/officeDocument/2006/relationships/hyperlink" Target="https://www.youtube.com/watch?v=n94PjCv9HHI" TargetMode="External"/><Relationship Id="rId7" Type="http://schemas.openxmlformats.org/officeDocument/2006/relationships/hyperlink" Target="https://fresques.ina.fr/en-scenes/parcours/0010/le-theatre-brechtien-et-son-heritage.html" TargetMode="External"/><Relationship Id="rId2" Type="http://schemas.openxmlformats.org/officeDocument/2006/relationships/hyperlink" Target="https://youtu.be/Fl7QGI6R0PU?si=dJe7Hw-LQki1uquU" TargetMode="External"/><Relationship Id="rId1" Type="http://schemas.openxmlformats.org/officeDocument/2006/relationships/hyperlink" Target="https://youtu.be/kp-fpPFhwyU?si=C1WL9vXZBQ2rRfql" TargetMode="External"/><Relationship Id="rId6" Type="http://schemas.openxmlformats.org/officeDocument/2006/relationships/hyperlink" Target="https://youtu.be/Re2pxEMbZtA?si=l6bk_kzEIePjcE5M" TargetMode="External"/><Relationship Id="rId5" Type="http://schemas.openxmlformats.org/officeDocument/2006/relationships/hyperlink" Target="https://www.lhistoire.fr/17-juin-1953-insurrection-&#224;-berlin-une-m&#233;moire-allemande" TargetMode="External"/><Relationship Id="rId10" Type="http://schemas.openxmlformats.org/officeDocument/2006/relationships/table" Target="../tables/table2.xml"/><Relationship Id="rId4" Type="http://schemas.openxmlformats.org/officeDocument/2006/relationships/hyperlink" Target="https://youtu.be/SOWsLVl7zG4?si=HJ-3Bd1iMfxALCeK" TargetMode="External"/><Relationship Id="rId9" Type="http://schemas.openxmlformats.org/officeDocument/2006/relationships/hyperlink" Target="https://www.youtube.com/watch?v=LdxyHs5IgLg" TargetMode="Externa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7"/>
  <sheetViews>
    <sheetView tabSelected="1" topLeftCell="C6" zoomScale="90" zoomScaleNormal="90" workbookViewId="0">
      <selection activeCell="K7" sqref="K7"/>
    </sheetView>
  </sheetViews>
  <sheetFormatPr baseColWidth="10" defaultColWidth="13" defaultRowHeight="13" x14ac:dyDescent="0.15"/>
  <cols>
    <col min="1" max="3" width="31.83203125" customWidth="1"/>
    <col min="4" max="4" width="35.5" customWidth="1"/>
    <col min="5" max="5" width="42.33203125" customWidth="1"/>
    <col min="6" max="8" width="31.83203125" customWidth="1"/>
    <col min="9" max="9" width="33.33203125" customWidth="1"/>
    <col min="10" max="10" width="24.83203125" customWidth="1"/>
    <col min="11" max="11" width="37" customWidth="1"/>
    <col min="12" max="14" width="27.1640625" customWidth="1"/>
  </cols>
  <sheetData>
    <row r="1" spans="1:14" s="8" customFormat="1" ht="37.25" customHeight="1" x14ac:dyDescent="0.15">
      <c r="A1" s="20" t="s">
        <v>0</v>
      </c>
      <c r="B1" s="20" t="s">
        <v>1</v>
      </c>
      <c r="C1" s="20" t="s">
        <v>2</v>
      </c>
      <c r="D1" s="20" t="s">
        <v>3</v>
      </c>
      <c r="E1" s="20" t="s">
        <v>4</v>
      </c>
      <c r="F1" s="20" t="s">
        <v>5</v>
      </c>
      <c r="G1" s="20" t="s">
        <v>6</v>
      </c>
      <c r="H1" s="20" t="s">
        <v>7</v>
      </c>
      <c r="I1" s="20" t="s">
        <v>8</v>
      </c>
      <c r="J1" s="20" t="s">
        <v>9</v>
      </c>
      <c r="K1" s="20" t="s">
        <v>10</v>
      </c>
      <c r="L1" s="20" t="s">
        <v>11</v>
      </c>
      <c r="M1" s="4" t="s">
        <v>267</v>
      </c>
      <c r="N1" s="20" t="s">
        <v>12</v>
      </c>
    </row>
    <row r="2" spans="1:14" ht="409.6" x14ac:dyDescent="0.2">
      <c r="A2" s="1" t="s">
        <v>262</v>
      </c>
      <c r="B2" s="1" t="s">
        <v>346</v>
      </c>
      <c r="C2" s="1" t="s">
        <v>13</v>
      </c>
      <c r="D2" s="1" t="s">
        <v>268</v>
      </c>
      <c r="E2" s="1" t="s">
        <v>269</v>
      </c>
      <c r="F2" s="1" t="s">
        <v>14</v>
      </c>
      <c r="G2" s="28"/>
      <c r="H2" s="21" t="str">
        <f>IF(G2="","",_xlfn.TEXTJOIN("; ",TRUE(),IF(ISNUMBER(SEARCH(SUBSTITUTE('Référentiel films'!$A$2,"’","'"),SUBSTITUTE(G2,"’","'"))),'Référentiel films'!$B$2,""),IF(ISNUMBER(SEARCH(SUBSTITUTE('Référentiel films'!$A$3,"’","'"),SUBSTITUTE(G2,"’","'"))),'Référentiel films'!$B$3,""),IF(ISNUMBER(SEARCH(SUBSTITUTE('Référentiel films'!$A$4,"’","'"),SUBSTITUTE(G2,"’","'"))),'Référentiel films'!$B$4,""),IF(ISNUMBER(SEARCH(SUBSTITUTE('Référentiel films'!$A$5,"’","'"),SUBSTITUTE(G2,"’","'"))),'Référentiel films'!$B$5,""),IF(ISNUMBER(SEARCH(SUBSTITUTE('Référentiel films'!$A$6,"’","'"),SUBSTITUTE(G2,"’","'"))),'Référentiel films'!$B$6,""),IF(ISNUMBER(SEARCH(SUBSTITUTE('Référentiel films'!$A$7,"’","'"),SUBSTITUTE(G2,"’","'"))),'Référentiel films'!$B$7,""),IF(ISNUMBER(SEARCH(SUBSTITUTE('Référentiel films'!$A$8,"’","'"),SUBSTITUTE(G2,"’","'"))),'Référentiel films'!$B$8,""),IF(ISNUMBER(SEARCH(SUBSTITUTE('Référentiel films'!$A$9,"’","'"),SUBSTITUTE(G2,"’","'"))),'Référentiel films'!$B$9,""),IF(ISNUMBER(SEARCH(SUBSTITUTE('Référentiel films'!$A$10,"’","'"),SUBSTITUTE(G2,"’","'"))),'Référentiel films'!$B$10,""),IF(ISNUMBER(SEARCH(SUBSTITUTE('Référentiel films'!$A$11,"’","'"),SUBSTITUTE(G2,"’","'"))),'Référentiel films'!$B$11,""),IF(ISNUMBER(SEARCH(SUBSTITUTE('Référentiel films'!$A$12,"’","'"),SUBSTITUTE(G2,"’","'"))),'Référentiel films'!$B$12,""),IF(ISNUMBER(SEARCH(SUBSTITUTE('Référentiel films'!$A$13,"’","'"),SUBSTITUTE(G2,"’","'"))),'Référentiel films'!$B$13,""),IF(ISNUMBER(SEARCH(SUBSTITUTE('Référentiel films'!$A$14,"’","'"),SUBSTITUTE(G2,"’","'"))),'Référentiel films'!$B$14,""),IF(ISNUMBER(SEARCH(SUBSTITUTE('Référentiel films'!$A$15,"’","'"),SUBSTITUTE(G2,"’","'"))),'Référentiel films'!$B$15,""),IF(ISNUMBER(SEARCH(SUBSTITUTE('Référentiel films'!$A$16,"’","'"),SUBSTITUTE(G2,"’","'"))),'Référentiel films'!$B$16,""),IF(ISNUMBER(SEARCH(SUBSTITUTE('Référentiel films'!$A$17,"’","'"),SUBSTITUTE(G2,"’","'"))),'Référentiel films'!$B$17,""),IF(ISNUMBER(SEARCH(SUBSTITUTE('Référentiel films'!$A$18,"’","'"),SUBSTITUTE(G2,"’","'"))),'Référentiel films'!$B$18,""),IF(ISNUMBER(SEARCH(SUBSTITUTE('Référentiel films'!$A$19,"’","'"),SUBSTITUTE(G2,"’","'"))),'Référentiel films'!$B$19,""),IF(ISNUMBER(SEARCH(SUBSTITUTE('Référentiel films'!$A$20,"’","'"),SUBSTITUTE(G2,"’","'"))),'Référentiel films'!$B$20,""),IF(ISNUMBER(SEARCH(SUBSTITUTE('Référentiel films'!$A$21,"’","'"),SUBSTITUTE(G2,"’","'"))),'Référentiel films'!$B$21,""),IF(ISNUMBER(SEARCH(SUBSTITUTE('Référentiel films'!$A$22,"’","'"),SUBSTITUTE(G2,"’","'"))),'Référentiel films'!$B$22,""),IF(ISNUMBER(SEARCH(SUBSTITUTE('Référentiel films'!$A$23,"’","'"),SUBSTITUTE(G2,"’","'"))),'Référentiel films'!$B$23,""),IF(ISNUMBER(SEARCH(SUBSTITUTE('Référentiel films'!$A$24,"’","'"),SUBSTITUTE(G2,"’","'"))),'Référentiel films'!$B$24,""),IF(ISNUMBER(SEARCH(SUBSTITUTE('Référentiel films'!$A$25,"’","'"),SUBSTITUTE(G2,"’","'"))),'Référentiel films'!$B$25,""),IF(ISNUMBER(SEARCH(SUBSTITUTE('Référentiel films'!$A$26,"’","'"),SUBSTITUTE(G2,"’","'"))),'Référentiel films'!$B$26,""),IF(ISNUMBER(SEARCH(SUBSTITUTE('Référentiel films'!$A$27,"’","'"),SUBSTITUTE(G2,"’","'"))),'Référentiel films'!$B$27,""),IF(ISNUMBER(SEARCH(SUBSTITUTE('Référentiel films'!$A$28,"’","'"),SUBSTITUTE(G2,"’","'"))),'Référentiel films'!$B$28,""),IF(ISNUMBER(SEARCH(SUBSTITUTE('Référentiel films'!$A$29,"’","'"),SUBSTITUTE(G2,"’","'"))),'Référentiel films'!$B$29,""),IF(ISNUMBER(SEARCH(SUBSTITUTE('Référentiel films'!$A$30,"’","'"),SUBSTITUTE(G2,"’","'"))),'Référentiel films'!$B$30,""),IF(ISNUMBER(SEARCH(SUBSTITUTE('Référentiel films'!$A$31,"’","'"),SUBSTITUTE(G2,"’","'"))),'Référentiel films'!$B$31,""),IF(ISNUMBER(SEARCH(SUBSTITUTE('Référentiel films'!$A$32,"’","'"),SUBSTITUTE(G2,"’","'"))),'Référentiel films'!$B$32,""),IF(ISNUMBER(SEARCH(SUBSTITUTE('Référentiel films'!$A$33,"’","'"),SUBSTITUTE(G2,"’","'"))),'Référentiel films'!$B$33,""),IF(ISNUMBER(SEARCH(SUBSTITUTE('Référentiel films'!$A$34,"’","'"),SUBSTITUTE(G2,"’","'"))),'Référentiel films'!$B$34,""),IF(ISNUMBER(SEARCH(SUBSTITUTE('Référentiel films'!$A$35,"’","'"),SUBSTITUTE(G2,"’","'"))),'Référentiel films'!$B$35,""),IF(ISNUMBER(SEARCH(SUBSTITUTE('Référentiel films'!$A$36,"’","'"),SUBSTITUTE(G2,"’","'"))),'Référentiel films'!$B$36,""),IF(ISNUMBER(SEARCH(SUBSTITUTE('Référentiel films'!$A$37,"’","'"),SUBSTITUTE(G2,"’","'"))),'Référentiel films'!$B$37,""),IF(ISNUMBER(SEARCH(SUBSTITUTE('Référentiel films'!$A$38,"’","'"),SUBSTITUTE(G2,"’","'"))),'Référentiel films'!$B$38,""),IF(ISNUMBER(SEARCH(SUBSTITUTE('Référentiel films'!$A$39,"’","'"),SUBSTITUTE(G2,"’","'"))),'Référentiel films'!$B$39,""),IF(ISNUMBER(SEARCH(SUBSTITUTE('Référentiel films'!$A$40,"’","'"),SUBSTITUTE(G2,"’","'"))),'Référentiel films'!$B$40,""),IF(ISNUMBER(SEARCH(SUBSTITUTE('Référentiel films'!$A$41,"’","'"),SUBSTITUTE(G2,"’","'"))),'Référentiel films'!$B$41,"")))</f>
        <v/>
      </c>
      <c r="I2" s="14" t="s">
        <v>270</v>
      </c>
      <c r="J2" s="23" t="s">
        <v>15</v>
      </c>
      <c r="K2" s="12" t="s">
        <v>16</v>
      </c>
      <c r="L2" s="30" t="s">
        <v>17</v>
      </c>
      <c r="M2" s="12" t="s">
        <v>18</v>
      </c>
      <c r="N2" s="28"/>
    </row>
    <row r="3" spans="1:14" s="9" customFormat="1" ht="409.5" customHeight="1" x14ac:dyDescent="0.15">
      <c r="A3" s="1" t="s">
        <v>259</v>
      </c>
      <c r="B3" s="11" t="s">
        <v>345</v>
      </c>
      <c r="C3" s="1" t="s">
        <v>258</v>
      </c>
      <c r="D3" s="1" t="s">
        <v>271</v>
      </c>
      <c r="E3" s="1" t="s">
        <v>272</v>
      </c>
      <c r="F3" s="1" t="s">
        <v>19</v>
      </c>
      <c r="G3" s="1"/>
      <c r="H3" s="22" t="str">
        <f>IF(G3="","",_xlfn.TEXTJOIN("; ",TRUE(),IF(ISNUMBER(SEARCH(SUBSTITUTE('Référentiel films'!$A$2,"’","'"),SUBSTITUTE(G3,"’","'"))),'Référentiel films'!$B$2,""),IF(ISNUMBER(SEARCH(SUBSTITUTE('Référentiel films'!$A$3,"’","'"),SUBSTITUTE(G3,"’","'"))),'Référentiel films'!$B$3,""),IF(ISNUMBER(SEARCH(SUBSTITUTE('Référentiel films'!$A$4,"’","'"),SUBSTITUTE(G3,"’","'"))),'Référentiel films'!$B$4,""),IF(ISNUMBER(SEARCH(SUBSTITUTE('Référentiel films'!$A$5,"’","'"),SUBSTITUTE(G3,"’","'"))),'Référentiel films'!$B$5,""),IF(ISNUMBER(SEARCH(SUBSTITUTE('Référentiel films'!$A$6,"’","'"),SUBSTITUTE(G3,"’","'"))),'Référentiel films'!$B$6,""),IF(ISNUMBER(SEARCH(SUBSTITUTE('Référentiel films'!$A$7,"’","'"),SUBSTITUTE(G3,"’","'"))),'Référentiel films'!$B$7,""),IF(ISNUMBER(SEARCH(SUBSTITUTE('Référentiel films'!$A$8,"’","'"),SUBSTITUTE(G3,"’","'"))),'Référentiel films'!$B$8,""),IF(ISNUMBER(SEARCH(SUBSTITUTE('Référentiel films'!$A$9,"’","'"),SUBSTITUTE(G3,"’","'"))),'Référentiel films'!$B$9,""),IF(ISNUMBER(SEARCH(SUBSTITUTE('Référentiel films'!$A$10,"’","'"),SUBSTITUTE(G3,"’","'"))),'Référentiel films'!$B$10,""),IF(ISNUMBER(SEARCH(SUBSTITUTE('Référentiel films'!$A$11,"’","'"),SUBSTITUTE(G3,"’","'"))),'Référentiel films'!$B$11,""),IF(ISNUMBER(SEARCH(SUBSTITUTE('Référentiel films'!$A$12,"’","'"),SUBSTITUTE(G3,"’","'"))),'Référentiel films'!$B$12,""),IF(ISNUMBER(SEARCH(SUBSTITUTE('Référentiel films'!$A$13,"’","'"),SUBSTITUTE(G3,"’","'"))),'Référentiel films'!$B$13,""),IF(ISNUMBER(SEARCH(SUBSTITUTE('Référentiel films'!$A$14,"’","'"),SUBSTITUTE(G3,"’","'"))),'Référentiel films'!$B$14,""),IF(ISNUMBER(SEARCH(SUBSTITUTE('Référentiel films'!$A$15,"’","'"),SUBSTITUTE(G3,"’","'"))),'Référentiel films'!$B$15,""),IF(ISNUMBER(SEARCH(SUBSTITUTE('Référentiel films'!$A$16,"’","'"),SUBSTITUTE(G3,"’","'"))),'Référentiel films'!$B$16,""),IF(ISNUMBER(SEARCH(SUBSTITUTE('Référentiel films'!$A$17,"’","'"),SUBSTITUTE(G3,"’","'"))),'Référentiel films'!$B$17,""),IF(ISNUMBER(SEARCH(SUBSTITUTE('Référentiel films'!$A$18,"’","'"),SUBSTITUTE(G3,"’","'"))),'Référentiel films'!$B$18,""),IF(ISNUMBER(SEARCH(SUBSTITUTE('Référentiel films'!$A$19,"’","'"),SUBSTITUTE(G3,"’","'"))),'Référentiel films'!$B$19,""),IF(ISNUMBER(SEARCH(SUBSTITUTE('Référentiel films'!$A$20,"’","'"),SUBSTITUTE(G3,"’","'"))),'Référentiel films'!$B$20,""),IF(ISNUMBER(SEARCH(SUBSTITUTE('Référentiel films'!$A$21,"’","'"),SUBSTITUTE(G3,"’","'"))),'Référentiel films'!$B$21,""),IF(ISNUMBER(SEARCH(SUBSTITUTE('Référentiel films'!$A$22,"’","'"),SUBSTITUTE(G3,"’","'"))),'Référentiel films'!$B$22,""),IF(ISNUMBER(SEARCH(SUBSTITUTE('Référentiel films'!$A$23,"’","'"),SUBSTITUTE(G3,"’","'"))),'Référentiel films'!$B$23,""),IF(ISNUMBER(SEARCH(SUBSTITUTE('Référentiel films'!$A$24,"’","'"),SUBSTITUTE(G3,"’","'"))),'Référentiel films'!$B$24,""),IF(ISNUMBER(SEARCH(SUBSTITUTE('Référentiel films'!$A$25,"’","'"),SUBSTITUTE(G3,"’","'"))),'Référentiel films'!$B$25,""),IF(ISNUMBER(SEARCH(SUBSTITUTE('Référentiel films'!$A$26,"’","'"),SUBSTITUTE(G3,"’","'"))),'Référentiel films'!$B$26,""),IF(ISNUMBER(SEARCH(SUBSTITUTE('Référentiel films'!$A$27,"’","'"),SUBSTITUTE(G3,"’","'"))),'Référentiel films'!$B$27,""),IF(ISNUMBER(SEARCH(SUBSTITUTE('Référentiel films'!$A$28,"’","'"),SUBSTITUTE(G3,"’","'"))),'Référentiel films'!$B$28,""),IF(ISNUMBER(SEARCH(SUBSTITUTE('Référentiel films'!$A$29,"’","'"),SUBSTITUTE(G3,"’","'"))),'Référentiel films'!$B$29,""),IF(ISNUMBER(SEARCH(SUBSTITUTE('Référentiel films'!$A$30,"’","'"),SUBSTITUTE(G3,"’","'"))),'Référentiel films'!$B$30,""),IF(ISNUMBER(SEARCH(SUBSTITUTE('Référentiel films'!$A$31,"’","'"),SUBSTITUTE(G3,"’","'"))),'Référentiel films'!$B$31,""),IF(ISNUMBER(SEARCH(SUBSTITUTE('Référentiel films'!$A$32,"’","'"),SUBSTITUTE(G3,"’","'"))),'Référentiel films'!$B$32,""),IF(ISNUMBER(SEARCH(SUBSTITUTE('Référentiel films'!$A$33,"’","'"),SUBSTITUTE(G3,"’","'"))),'Référentiel films'!$B$33,""),IF(ISNUMBER(SEARCH(SUBSTITUTE('Référentiel films'!$A$34,"’","'"),SUBSTITUTE(G3,"’","'"))),'Référentiel films'!$B$34,""),IF(ISNUMBER(SEARCH(SUBSTITUTE('Référentiel films'!$A$35,"’","'"),SUBSTITUTE(G3,"’","'"))),'Référentiel films'!$B$35,""),IF(ISNUMBER(SEARCH(SUBSTITUTE('Référentiel films'!$A$36,"’","'"),SUBSTITUTE(G3,"’","'"))),'Référentiel films'!$B$36,""),IF(ISNUMBER(SEARCH(SUBSTITUTE('Référentiel films'!$A$37,"’","'"),SUBSTITUTE(G3,"’","'"))),'Référentiel films'!$B$37,""),IF(ISNUMBER(SEARCH(SUBSTITUTE('Référentiel films'!$A$38,"’","'"),SUBSTITUTE(G3,"’","'"))),'Référentiel films'!$B$38,""),IF(ISNUMBER(SEARCH(SUBSTITUTE('Référentiel films'!$A$39,"’","'"),SUBSTITUTE(G3,"’","'"))),'Référentiel films'!$B$39,""),IF(ISNUMBER(SEARCH(SUBSTITUTE('Référentiel films'!$A$40,"’","'"),SUBSTITUTE(G3,"’","'"))),'Référentiel films'!$B$40,""),IF(ISNUMBER(SEARCH(SUBSTITUTE('Référentiel films'!$A$41,"’","'"),SUBSTITUTE(G3,"’","'"))),'Référentiel films'!$B$41,"")))</f>
        <v/>
      </c>
      <c r="I3" s="1" t="s">
        <v>206</v>
      </c>
      <c r="J3" s="23" t="s">
        <v>20</v>
      </c>
      <c r="K3" s="30"/>
      <c r="L3" s="12" t="s">
        <v>21</v>
      </c>
      <c r="M3" s="12" t="s">
        <v>351</v>
      </c>
      <c r="N3" s="30"/>
    </row>
    <row r="4" spans="1:14" ht="409.5" customHeight="1" x14ac:dyDescent="0.15">
      <c r="A4" s="1" t="s">
        <v>260</v>
      </c>
      <c r="B4" s="1" t="s">
        <v>347</v>
      </c>
      <c r="C4" s="1" t="s">
        <v>22</v>
      </c>
      <c r="D4" s="1" t="s">
        <v>273</v>
      </c>
      <c r="E4" s="1" t="s">
        <v>274</v>
      </c>
      <c r="F4" s="1" t="s">
        <v>23</v>
      </c>
      <c r="G4" s="1" t="s">
        <v>24</v>
      </c>
      <c r="H4" s="22" t="str">
        <f>IF(G4="","",_xlfn.TEXTJOIN("; ",TRUE(),IF(ISNUMBER(SEARCH(SUBSTITUTE('Référentiel films'!$A$2,"’","'"),SUBSTITUTE(G4,"’","'"))),'Référentiel films'!$B$2,""),IF(ISNUMBER(SEARCH(SUBSTITUTE('Référentiel films'!$A$3,"’","'"),SUBSTITUTE(G4,"’","'"))),'Référentiel films'!$B$3,""),IF(ISNUMBER(SEARCH(SUBSTITUTE('Référentiel films'!$A$4,"’","'"),SUBSTITUTE(G4,"’","'"))),'Référentiel films'!$B$4,""),IF(ISNUMBER(SEARCH(SUBSTITUTE('Référentiel films'!$A$5,"’","'"),SUBSTITUTE(G4,"’","'"))),'Référentiel films'!$B$5,""),IF(ISNUMBER(SEARCH(SUBSTITUTE('Référentiel films'!$A$6,"’","'"),SUBSTITUTE(G4,"’","'"))),'Référentiel films'!$B$6,""),IF(ISNUMBER(SEARCH(SUBSTITUTE('Référentiel films'!$A$7,"’","'"),SUBSTITUTE(G4,"’","'"))),'Référentiel films'!$B$7,""),IF(ISNUMBER(SEARCH(SUBSTITUTE('Référentiel films'!$A$8,"’","'"),SUBSTITUTE(G4,"’","'"))),'Référentiel films'!$B$8,""),IF(ISNUMBER(SEARCH(SUBSTITUTE('Référentiel films'!$A$9,"’","'"),SUBSTITUTE(G4,"’","'"))),'Référentiel films'!$B$9,""),IF(ISNUMBER(SEARCH(SUBSTITUTE('Référentiel films'!$A$10,"’","'"),SUBSTITUTE(G4,"’","'"))),'Référentiel films'!$B$10,""),IF(ISNUMBER(SEARCH(SUBSTITUTE('Référentiel films'!$A$11,"’","'"),SUBSTITUTE(G4,"’","'"))),'Référentiel films'!$B$11,""),IF(ISNUMBER(SEARCH(SUBSTITUTE('Référentiel films'!$A$12,"’","'"),SUBSTITUTE(G4,"’","'"))),'Référentiel films'!$B$12,""),IF(ISNUMBER(SEARCH(SUBSTITUTE('Référentiel films'!$A$13,"’","'"),SUBSTITUTE(G4,"’","'"))),'Référentiel films'!$B$13,""),IF(ISNUMBER(SEARCH(SUBSTITUTE('Référentiel films'!$A$14,"’","'"),SUBSTITUTE(G4,"’","'"))),'Référentiel films'!$B$14,""),IF(ISNUMBER(SEARCH(SUBSTITUTE('Référentiel films'!$A$15,"’","'"),SUBSTITUTE(G4,"’","'"))),'Référentiel films'!$B$15,""),IF(ISNUMBER(SEARCH(SUBSTITUTE('Référentiel films'!$A$16,"’","'"),SUBSTITUTE(G4,"’","'"))),'Référentiel films'!$B$16,""),IF(ISNUMBER(SEARCH(SUBSTITUTE('Référentiel films'!$A$17,"’","'"),SUBSTITUTE(G4,"’","'"))),'Référentiel films'!$B$17,""),IF(ISNUMBER(SEARCH(SUBSTITUTE('Référentiel films'!$A$18,"’","'"),SUBSTITUTE(G4,"’","'"))),'Référentiel films'!$B$18,""),IF(ISNUMBER(SEARCH(SUBSTITUTE('Référentiel films'!$A$19,"’","'"),SUBSTITUTE(G4,"’","'"))),'Référentiel films'!$B$19,""),IF(ISNUMBER(SEARCH(SUBSTITUTE('Référentiel films'!$A$20,"’","'"),SUBSTITUTE(G4,"’","'"))),'Référentiel films'!$B$20,""),IF(ISNUMBER(SEARCH(SUBSTITUTE('Référentiel films'!$A$21,"’","'"),SUBSTITUTE(G4,"’","'"))),'Référentiel films'!$B$21,""),IF(ISNUMBER(SEARCH(SUBSTITUTE('Référentiel films'!$A$22,"’","'"),SUBSTITUTE(G4,"’","'"))),'Référentiel films'!$B$22,""),IF(ISNUMBER(SEARCH(SUBSTITUTE('Référentiel films'!$A$23,"’","'"),SUBSTITUTE(G4,"’","'"))),'Référentiel films'!$B$23,""),IF(ISNUMBER(SEARCH(SUBSTITUTE('Référentiel films'!$A$24,"’","'"),SUBSTITUTE(G4,"’","'"))),'Référentiel films'!$B$24,""),IF(ISNUMBER(SEARCH(SUBSTITUTE('Référentiel films'!$A$25,"’","'"),SUBSTITUTE(G4,"’","'"))),'Référentiel films'!$B$25,""),IF(ISNUMBER(SEARCH(SUBSTITUTE('Référentiel films'!$A$26,"’","'"),SUBSTITUTE(G4,"’","'"))),'Référentiel films'!$B$26,""),IF(ISNUMBER(SEARCH(SUBSTITUTE('Référentiel films'!$A$27,"’","'"),SUBSTITUTE(G4,"’","'"))),'Référentiel films'!$B$27,""),IF(ISNUMBER(SEARCH(SUBSTITUTE('Référentiel films'!$A$28,"’","'"),SUBSTITUTE(G4,"’","'"))),'Référentiel films'!$B$28,""),IF(ISNUMBER(SEARCH(SUBSTITUTE('Référentiel films'!$A$29,"’","'"),SUBSTITUTE(G4,"’","'"))),'Référentiel films'!$B$29,""),IF(ISNUMBER(SEARCH(SUBSTITUTE('Référentiel films'!$A$30,"’","'"),SUBSTITUTE(G4,"’","'"))),'Référentiel films'!$B$30,""),IF(ISNUMBER(SEARCH(SUBSTITUTE('Référentiel films'!$A$31,"’","'"),SUBSTITUTE(G4,"’","'"))),'Référentiel films'!$B$31,""),IF(ISNUMBER(SEARCH(SUBSTITUTE('Référentiel films'!$A$32,"’","'"),SUBSTITUTE(G4,"’","'"))),'Référentiel films'!$B$32,""),IF(ISNUMBER(SEARCH(SUBSTITUTE('Référentiel films'!$A$33,"’","'"),SUBSTITUTE(G4,"’","'"))),'Référentiel films'!$B$33,""),IF(ISNUMBER(SEARCH(SUBSTITUTE('Référentiel films'!$A$34,"’","'"),SUBSTITUTE(G4,"’","'"))),'Référentiel films'!$B$34,""),IF(ISNUMBER(SEARCH(SUBSTITUTE('Référentiel films'!$A$35,"’","'"),SUBSTITUTE(G4,"’","'"))),'Référentiel films'!$B$35,""),IF(ISNUMBER(SEARCH(SUBSTITUTE('Référentiel films'!$A$36,"’","'"),SUBSTITUTE(G4,"’","'"))),'Référentiel films'!$B$36,""),IF(ISNUMBER(SEARCH(SUBSTITUTE('Référentiel films'!$A$37,"’","'"),SUBSTITUTE(G4,"’","'"))),'Référentiel films'!$B$37,""),IF(ISNUMBER(SEARCH(SUBSTITUTE('Référentiel films'!$A$38,"’","'"),SUBSTITUTE(G4,"’","'"))),'Référentiel films'!$B$38,""),IF(ISNUMBER(SEARCH(SUBSTITUTE('Référentiel films'!$A$39,"’","'"),SUBSTITUTE(G4,"’","'"))),'Référentiel films'!$B$39,""),IF(ISNUMBER(SEARCH(SUBSTITUTE('Référentiel films'!$A$40,"’","'"),SUBSTITUTE(G4,"’","'"))),'Référentiel films'!$B$40,""),IF(ISNUMBER(SEARCH(SUBSTITUTE('Référentiel films'!$A$41,"’","'"),SUBSTITUTE(G4,"’","'"))),'Référentiel films'!$B$41,"")))</f>
        <v/>
      </c>
      <c r="I4" s="28"/>
      <c r="J4" s="23" t="s">
        <v>352</v>
      </c>
      <c r="K4" s="24" t="s">
        <v>275</v>
      </c>
      <c r="L4" s="28"/>
      <c r="M4" s="28"/>
      <c r="N4" s="28"/>
    </row>
    <row r="5" spans="1:14" ht="409.5" customHeight="1" x14ac:dyDescent="0.15">
      <c r="A5" s="1" t="s">
        <v>261</v>
      </c>
      <c r="B5" s="1" t="s">
        <v>348</v>
      </c>
      <c r="C5" s="1" t="s">
        <v>276</v>
      </c>
      <c r="D5" s="1" t="s">
        <v>277</v>
      </c>
      <c r="E5" s="1" t="s">
        <v>278</v>
      </c>
      <c r="F5" s="1" t="s">
        <v>279</v>
      </c>
      <c r="G5" s="1" t="s">
        <v>280</v>
      </c>
      <c r="H5" s="22" t="str">
        <f>IF(G5="","",_xlfn.TEXTJOIN("; ",TRUE(),IF(ISNUMBER(SEARCH(SUBSTITUTE('Référentiel films'!$A$2,"’","'"),SUBSTITUTE(G5,"’","'"))),'Référentiel films'!$B$2,""),IF(ISNUMBER(SEARCH(SUBSTITUTE('Référentiel films'!$A$3,"’","'"),SUBSTITUTE(G5,"’","'"))),'Référentiel films'!$B$3,""),IF(ISNUMBER(SEARCH(SUBSTITUTE('Référentiel films'!$A$4,"’","'"),SUBSTITUTE(G5,"’","'"))),'Référentiel films'!$B$4,""),IF(ISNUMBER(SEARCH(SUBSTITUTE('Référentiel films'!$A$5,"’","'"),SUBSTITUTE(G5,"’","'"))),'Référentiel films'!$B$5,""),IF(ISNUMBER(SEARCH(SUBSTITUTE('Référentiel films'!$A$6,"’","'"),SUBSTITUTE(G5,"’","'"))),'Référentiel films'!$B$6,""),IF(ISNUMBER(SEARCH(SUBSTITUTE('Référentiel films'!$A$7,"’","'"),SUBSTITUTE(G5,"’","'"))),'Référentiel films'!$B$7,""),IF(ISNUMBER(SEARCH(SUBSTITUTE('Référentiel films'!$A$8,"’","'"),SUBSTITUTE(G5,"’","'"))),'Référentiel films'!$B$8,""),IF(ISNUMBER(SEARCH(SUBSTITUTE('Référentiel films'!$A$9,"’","'"),SUBSTITUTE(G5,"’","'"))),'Référentiel films'!$B$9,""),IF(ISNUMBER(SEARCH(SUBSTITUTE('Référentiel films'!$A$10,"’","'"),SUBSTITUTE(G5,"’","'"))),'Référentiel films'!$B$10,""),IF(ISNUMBER(SEARCH(SUBSTITUTE('Référentiel films'!$A$11,"’","'"),SUBSTITUTE(G5,"’","'"))),'Référentiel films'!$B$11,""),IF(ISNUMBER(SEARCH(SUBSTITUTE('Référentiel films'!$A$12,"’","'"),SUBSTITUTE(G5,"’","'"))),'Référentiel films'!$B$12,""),IF(ISNUMBER(SEARCH(SUBSTITUTE('Référentiel films'!$A$13,"’","'"),SUBSTITUTE(G5,"’","'"))),'Référentiel films'!$B$13,""),IF(ISNUMBER(SEARCH(SUBSTITUTE('Référentiel films'!$A$14,"’","'"),SUBSTITUTE(G5,"’","'"))),'Référentiel films'!$B$14,""),IF(ISNUMBER(SEARCH(SUBSTITUTE('Référentiel films'!$A$15,"’","'"),SUBSTITUTE(G5,"’","'"))),'Référentiel films'!$B$15,""),IF(ISNUMBER(SEARCH(SUBSTITUTE('Référentiel films'!$A$16,"’","'"),SUBSTITUTE(G5,"’","'"))),'Référentiel films'!$B$16,""),IF(ISNUMBER(SEARCH(SUBSTITUTE('Référentiel films'!$A$17,"’","'"),SUBSTITUTE(G5,"’","'"))),'Référentiel films'!$B$17,""),IF(ISNUMBER(SEARCH(SUBSTITUTE('Référentiel films'!$A$18,"’","'"),SUBSTITUTE(G5,"’","'"))),'Référentiel films'!$B$18,""),IF(ISNUMBER(SEARCH(SUBSTITUTE('Référentiel films'!$A$19,"’","'"),SUBSTITUTE(G5,"’","'"))),'Référentiel films'!$B$19,""),IF(ISNUMBER(SEARCH(SUBSTITUTE('Référentiel films'!$A$20,"’","'"),SUBSTITUTE(G5,"’","'"))),'Référentiel films'!$B$20,""),IF(ISNUMBER(SEARCH(SUBSTITUTE('Référentiel films'!$A$21,"’","'"),SUBSTITUTE(G5,"’","'"))),'Référentiel films'!$B$21,""),IF(ISNUMBER(SEARCH(SUBSTITUTE('Référentiel films'!$A$22,"’","'"),SUBSTITUTE(G5,"’","'"))),'Référentiel films'!$B$22,""),IF(ISNUMBER(SEARCH(SUBSTITUTE('Référentiel films'!$A$23,"’","'"),SUBSTITUTE(G5,"’","'"))),'Référentiel films'!$B$23,""),IF(ISNUMBER(SEARCH(SUBSTITUTE('Référentiel films'!$A$24,"’","'"),SUBSTITUTE(G5,"’","'"))),'Référentiel films'!$B$24,""),IF(ISNUMBER(SEARCH(SUBSTITUTE('Référentiel films'!$A$25,"’","'"),SUBSTITUTE(G5,"’","'"))),'Référentiel films'!$B$25,""),IF(ISNUMBER(SEARCH(SUBSTITUTE('Référentiel films'!$A$26,"’","'"),SUBSTITUTE(G5,"’","'"))),'Référentiel films'!$B$26,""),IF(ISNUMBER(SEARCH(SUBSTITUTE('Référentiel films'!$A$27,"’","'"),SUBSTITUTE(G5,"’","'"))),'Référentiel films'!$B$27,""),IF(ISNUMBER(SEARCH(SUBSTITUTE('Référentiel films'!$A$28,"’","'"),SUBSTITUTE(G5,"’","'"))),'Référentiel films'!$B$28,""),IF(ISNUMBER(SEARCH(SUBSTITUTE('Référentiel films'!$A$29,"’","'"),SUBSTITUTE(G5,"’","'"))),'Référentiel films'!$B$29,""),IF(ISNUMBER(SEARCH(SUBSTITUTE('Référentiel films'!$A$30,"’","'"),SUBSTITUTE(G5,"’","'"))),'Référentiel films'!$B$30,""),IF(ISNUMBER(SEARCH(SUBSTITUTE('Référentiel films'!$A$31,"’","'"),SUBSTITUTE(G5,"’","'"))),'Référentiel films'!$B$31,""),IF(ISNUMBER(SEARCH(SUBSTITUTE('Référentiel films'!$A$32,"’","'"),SUBSTITUTE(G5,"’","'"))),'Référentiel films'!$B$32,""),IF(ISNUMBER(SEARCH(SUBSTITUTE('Référentiel films'!$A$33,"’","'"),SUBSTITUTE(G5,"’","'"))),'Référentiel films'!$B$33,""),IF(ISNUMBER(SEARCH(SUBSTITUTE('Référentiel films'!$A$34,"’","'"),SUBSTITUTE(G5,"’","'"))),'Référentiel films'!$B$34,""),IF(ISNUMBER(SEARCH(SUBSTITUTE('Référentiel films'!$A$35,"’","'"),SUBSTITUTE(G5,"’","'"))),'Référentiel films'!$B$35,""),IF(ISNUMBER(SEARCH(SUBSTITUTE('Référentiel films'!$A$36,"’","'"),SUBSTITUTE(G5,"’","'"))),'Référentiel films'!$B$36,""),IF(ISNUMBER(SEARCH(SUBSTITUTE('Référentiel films'!$A$37,"’","'"),SUBSTITUTE(G5,"’","'"))),'Référentiel films'!$B$37,""),IF(ISNUMBER(SEARCH(SUBSTITUTE('Référentiel films'!$A$38,"’","'"),SUBSTITUTE(G5,"’","'"))),'Référentiel films'!$B$38,""),IF(ISNUMBER(SEARCH(SUBSTITUTE('Référentiel films'!$A$39,"’","'"),SUBSTITUTE(G5,"’","'"))),'Référentiel films'!$B$39,""),IF(ISNUMBER(SEARCH(SUBSTITUTE('Référentiel films'!$A$40,"’","'"),SUBSTITUTE(G5,"’","'"))),'Référentiel films'!$B$40,""),IF(ISNUMBER(SEARCH(SUBSTITUTE('Référentiel films'!$A$41,"’","'"),SUBSTITUTE(G5,"’","'"))),'Référentiel films'!$B$41,"")))</f>
        <v>film-1969-l-amour-est-plus-froid-que-la-mort; film-1969-le-bouc; film-1972-le-marchand-des-quatre-saisons</v>
      </c>
      <c r="I5" s="25" t="s">
        <v>281</v>
      </c>
      <c r="J5" s="12" t="s">
        <v>353</v>
      </c>
      <c r="K5" s="31"/>
      <c r="L5" s="28"/>
      <c r="M5" s="28"/>
      <c r="N5" s="28"/>
    </row>
    <row r="6" spans="1:14" ht="409.5" customHeight="1" x14ac:dyDescent="0.15">
      <c r="A6" s="1" t="s">
        <v>253</v>
      </c>
      <c r="B6" s="1" t="s">
        <v>349</v>
      </c>
      <c r="C6" s="1" t="s">
        <v>26</v>
      </c>
      <c r="D6" s="1" t="s">
        <v>354</v>
      </c>
      <c r="E6" s="1" t="s">
        <v>254</v>
      </c>
      <c r="F6" s="1" t="s">
        <v>282</v>
      </c>
      <c r="G6" s="1" t="s">
        <v>283</v>
      </c>
      <c r="H6" s="22" t="str">
        <f>IF(G6="","",_xlfn.TEXTJOIN("; ",TRUE(),IF(ISNUMBER(SEARCH(SUBSTITUTE('Référentiel films'!$A$2,"’","'"),SUBSTITUTE(G6,"’","'"))),'Référentiel films'!$B$2,""),IF(ISNUMBER(SEARCH(SUBSTITUTE('Référentiel films'!$A$3,"’","'"),SUBSTITUTE(G6,"’","'"))),'Référentiel films'!$B$3,""),IF(ISNUMBER(SEARCH(SUBSTITUTE('Référentiel films'!$A$4,"’","'"),SUBSTITUTE(G6,"’","'"))),'Référentiel films'!$B$4,""),IF(ISNUMBER(SEARCH(SUBSTITUTE('Référentiel films'!$A$5,"’","'"),SUBSTITUTE(G6,"’","'"))),'Référentiel films'!$B$5,""),IF(ISNUMBER(SEARCH(SUBSTITUTE('Référentiel films'!$A$6,"’","'"),SUBSTITUTE(G6,"’","'"))),'Référentiel films'!$B$6,""),IF(ISNUMBER(SEARCH(SUBSTITUTE('Référentiel films'!$A$7,"’","'"),SUBSTITUTE(G6,"’","'"))),'Référentiel films'!$B$7,""),IF(ISNUMBER(SEARCH(SUBSTITUTE('Référentiel films'!$A$8,"’","'"),SUBSTITUTE(G6,"’","'"))),'Référentiel films'!$B$8,""),IF(ISNUMBER(SEARCH(SUBSTITUTE('Référentiel films'!$A$9,"’","'"),SUBSTITUTE(G6,"’","'"))),'Référentiel films'!$B$9,""),IF(ISNUMBER(SEARCH(SUBSTITUTE('Référentiel films'!$A$10,"’","'"),SUBSTITUTE(G6,"’","'"))),'Référentiel films'!$B$10,""),IF(ISNUMBER(SEARCH(SUBSTITUTE('Référentiel films'!$A$11,"’","'"),SUBSTITUTE(G6,"’","'"))),'Référentiel films'!$B$11,""),IF(ISNUMBER(SEARCH(SUBSTITUTE('Référentiel films'!$A$12,"’","'"),SUBSTITUTE(G6,"’","'"))),'Référentiel films'!$B$12,""),IF(ISNUMBER(SEARCH(SUBSTITUTE('Référentiel films'!$A$13,"’","'"),SUBSTITUTE(G6,"’","'"))),'Référentiel films'!$B$13,""),IF(ISNUMBER(SEARCH(SUBSTITUTE('Référentiel films'!$A$14,"’","'"),SUBSTITUTE(G6,"’","'"))),'Référentiel films'!$B$14,""),IF(ISNUMBER(SEARCH(SUBSTITUTE('Référentiel films'!$A$15,"’","'"),SUBSTITUTE(G6,"’","'"))),'Référentiel films'!$B$15,""),IF(ISNUMBER(SEARCH(SUBSTITUTE('Référentiel films'!$A$16,"’","'"),SUBSTITUTE(G6,"’","'"))),'Référentiel films'!$B$16,""),IF(ISNUMBER(SEARCH(SUBSTITUTE('Référentiel films'!$A$17,"’","'"),SUBSTITUTE(G6,"’","'"))),'Référentiel films'!$B$17,""),IF(ISNUMBER(SEARCH(SUBSTITUTE('Référentiel films'!$A$18,"’","'"),SUBSTITUTE(G6,"’","'"))),'Référentiel films'!$B$18,""),IF(ISNUMBER(SEARCH(SUBSTITUTE('Référentiel films'!$A$19,"’","'"),SUBSTITUTE(G6,"’","'"))),'Référentiel films'!$B$19,""),IF(ISNUMBER(SEARCH(SUBSTITUTE('Référentiel films'!$A$20,"’","'"),SUBSTITUTE(G6,"’","'"))),'Référentiel films'!$B$20,""),IF(ISNUMBER(SEARCH(SUBSTITUTE('Référentiel films'!$A$21,"’","'"),SUBSTITUTE(G6,"’","'"))),'Référentiel films'!$B$21,""),IF(ISNUMBER(SEARCH(SUBSTITUTE('Référentiel films'!$A$22,"’","'"),SUBSTITUTE(G6,"’","'"))),'Référentiel films'!$B$22,""),IF(ISNUMBER(SEARCH(SUBSTITUTE('Référentiel films'!$A$23,"’","'"),SUBSTITUTE(G6,"’","'"))),'Référentiel films'!$B$23,""),IF(ISNUMBER(SEARCH(SUBSTITUTE('Référentiel films'!$A$24,"’","'"),SUBSTITUTE(G6,"’","'"))),'Référentiel films'!$B$24,""),IF(ISNUMBER(SEARCH(SUBSTITUTE('Référentiel films'!$A$25,"’","'"),SUBSTITUTE(G6,"’","'"))),'Référentiel films'!$B$25,""),IF(ISNUMBER(SEARCH(SUBSTITUTE('Référentiel films'!$A$26,"’","'"),SUBSTITUTE(G6,"’","'"))),'Référentiel films'!$B$26,""),IF(ISNUMBER(SEARCH(SUBSTITUTE('Référentiel films'!$A$27,"’","'"),SUBSTITUTE(G6,"’","'"))),'Référentiel films'!$B$27,""),IF(ISNUMBER(SEARCH(SUBSTITUTE('Référentiel films'!$A$28,"’","'"),SUBSTITUTE(G6,"’","'"))),'Référentiel films'!$B$28,""),IF(ISNUMBER(SEARCH(SUBSTITUTE('Référentiel films'!$A$29,"’","'"),SUBSTITUTE(G6,"’","'"))),'Référentiel films'!$B$29,""),IF(ISNUMBER(SEARCH(SUBSTITUTE('Référentiel films'!$A$30,"’","'"),SUBSTITUTE(G6,"’","'"))),'Référentiel films'!$B$30,""),IF(ISNUMBER(SEARCH(SUBSTITUTE('Référentiel films'!$A$31,"’","'"),SUBSTITUTE(G6,"’","'"))),'Référentiel films'!$B$31,""),IF(ISNUMBER(SEARCH(SUBSTITUTE('Référentiel films'!$A$32,"’","'"),SUBSTITUTE(G6,"’","'"))),'Référentiel films'!$B$32,""),IF(ISNUMBER(SEARCH(SUBSTITUTE('Référentiel films'!$A$33,"’","'"),SUBSTITUTE(G6,"’","'"))),'Référentiel films'!$B$33,""),IF(ISNUMBER(SEARCH(SUBSTITUTE('Référentiel films'!$A$34,"’","'"),SUBSTITUTE(G6,"’","'"))),'Référentiel films'!$B$34,""),IF(ISNUMBER(SEARCH(SUBSTITUTE('Référentiel films'!$A$35,"’","'"),SUBSTITUTE(G6,"’","'"))),'Référentiel films'!$B$35,""),IF(ISNUMBER(SEARCH(SUBSTITUTE('Référentiel films'!$A$36,"’","'"),SUBSTITUTE(G6,"’","'"))),'Référentiel films'!$B$36,""),IF(ISNUMBER(SEARCH(SUBSTITUTE('Référentiel films'!$A$37,"’","'"),SUBSTITUTE(G6,"’","'"))),'Référentiel films'!$B$37,""),IF(ISNUMBER(SEARCH(SUBSTITUTE('Référentiel films'!$A$38,"’","'"),SUBSTITUTE(G6,"’","'"))),'Référentiel films'!$B$38,""),IF(ISNUMBER(SEARCH(SUBSTITUTE('Référentiel films'!$A$39,"’","'"),SUBSTITUTE(G6,"’","'"))),'Référentiel films'!$B$39,""),IF(ISNUMBER(SEARCH(SUBSTITUTE('Référentiel films'!$A$40,"’","'"),SUBSTITUTE(G6,"’","'"))),'Référentiel films'!$B$40,""),IF(ISNUMBER(SEARCH(SUBSTITUTE('Référentiel films'!$A$41,"’","'"),SUBSTITUTE(G6,"’","'"))),'Référentiel films'!$B$41,"")))</f>
        <v>film-1974-tous-les-autres-s-appellent-ali; film-1975-le-droit-du-plus-fort; film-1975-maman-kusters-s-en-va-au-ciel; film-1978-l-allemagne-en-automne; film-1978-l-annee-des-treize-lunes; film-1978-le-mariage-de-maria-braun</v>
      </c>
      <c r="I6" s="1" t="s">
        <v>284</v>
      </c>
      <c r="J6" s="12" t="s">
        <v>355</v>
      </c>
      <c r="K6" s="32" t="s">
        <v>27</v>
      </c>
      <c r="L6" s="28"/>
      <c r="M6" s="28"/>
      <c r="N6" s="28"/>
    </row>
    <row r="7" spans="1:14" ht="409.5" customHeight="1" x14ac:dyDescent="0.15">
      <c r="A7" s="1" t="s">
        <v>263</v>
      </c>
      <c r="B7" s="1" t="s">
        <v>350</v>
      </c>
      <c r="C7" s="12" t="s">
        <v>257</v>
      </c>
      <c r="D7" s="1" t="s">
        <v>256</v>
      </c>
      <c r="E7" s="12" t="s">
        <v>255</v>
      </c>
      <c r="F7" s="1" t="s">
        <v>285</v>
      </c>
      <c r="G7" s="1" t="s">
        <v>266</v>
      </c>
      <c r="H7" s="22" t="str">
        <f>IF(G7="","",_xlfn.TEXTJOIN("; ",TRUE(),IF(ISNUMBER(SEARCH(SUBSTITUTE('Référentiel films'!$A$2,"’","'"),SUBSTITUTE(G7,"’","'"))),'Référentiel films'!$B$2,""),IF(ISNUMBER(SEARCH(SUBSTITUTE('Référentiel films'!$A$3,"’","'"),SUBSTITUTE(G7,"’","'"))),'Référentiel films'!$B$3,""),IF(ISNUMBER(SEARCH(SUBSTITUTE('Référentiel films'!$A$4,"’","'"),SUBSTITUTE(G7,"’","'"))),'Référentiel films'!$B$4,""),IF(ISNUMBER(SEARCH(SUBSTITUTE('Référentiel films'!$A$5,"’","'"),SUBSTITUTE(G7,"’","'"))),'Référentiel films'!$B$5,""),IF(ISNUMBER(SEARCH(SUBSTITUTE('Référentiel films'!$A$6,"’","'"),SUBSTITUTE(G7,"’","'"))),'Référentiel films'!$B$6,""),IF(ISNUMBER(SEARCH(SUBSTITUTE('Référentiel films'!$A$7,"’","'"),SUBSTITUTE(G7,"’","'"))),'Référentiel films'!$B$7,""),IF(ISNUMBER(SEARCH(SUBSTITUTE('Référentiel films'!$A$8,"’","'"),SUBSTITUTE(G7,"’","'"))),'Référentiel films'!$B$8,""),IF(ISNUMBER(SEARCH(SUBSTITUTE('Référentiel films'!$A$9,"’","'"),SUBSTITUTE(G7,"’","'"))),'Référentiel films'!$B$9,""),IF(ISNUMBER(SEARCH(SUBSTITUTE('Référentiel films'!$A$10,"’","'"),SUBSTITUTE(G7,"’","'"))),'Référentiel films'!$B$10,""),IF(ISNUMBER(SEARCH(SUBSTITUTE('Référentiel films'!$A$11,"’","'"),SUBSTITUTE(G7,"’","'"))),'Référentiel films'!$B$11,""),IF(ISNUMBER(SEARCH(SUBSTITUTE('Référentiel films'!$A$12,"’","'"),SUBSTITUTE(G7,"’","'"))),'Référentiel films'!$B$12,""),IF(ISNUMBER(SEARCH(SUBSTITUTE('Référentiel films'!$A$13,"’","'"),SUBSTITUTE(G7,"’","'"))),'Référentiel films'!$B$13,""),IF(ISNUMBER(SEARCH(SUBSTITUTE('Référentiel films'!$A$14,"’","'"),SUBSTITUTE(G7,"’","'"))),'Référentiel films'!$B$14,""),IF(ISNUMBER(SEARCH(SUBSTITUTE('Référentiel films'!$A$15,"’","'"),SUBSTITUTE(G7,"’","'"))),'Référentiel films'!$B$15,""),IF(ISNUMBER(SEARCH(SUBSTITUTE('Référentiel films'!$A$16,"’","'"),SUBSTITUTE(G7,"’","'"))),'Référentiel films'!$B$16,""),IF(ISNUMBER(SEARCH(SUBSTITUTE('Référentiel films'!$A$17,"’","'"),SUBSTITUTE(G7,"’","'"))),'Référentiel films'!$B$17,""),IF(ISNUMBER(SEARCH(SUBSTITUTE('Référentiel films'!$A$18,"’","'"),SUBSTITUTE(G7,"’","'"))),'Référentiel films'!$B$18,""),IF(ISNUMBER(SEARCH(SUBSTITUTE('Référentiel films'!$A$19,"’","'"),SUBSTITUTE(G7,"’","'"))),'Référentiel films'!$B$19,""),IF(ISNUMBER(SEARCH(SUBSTITUTE('Référentiel films'!$A$20,"’","'"),SUBSTITUTE(G7,"’","'"))),'Référentiel films'!$B$20,""),IF(ISNUMBER(SEARCH(SUBSTITUTE('Référentiel films'!$A$21,"’","'"),SUBSTITUTE(G7,"’","'"))),'Référentiel films'!$B$21,""),IF(ISNUMBER(SEARCH(SUBSTITUTE('Référentiel films'!$A$22,"’","'"),SUBSTITUTE(G7,"’","'"))),'Référentiel films'!$B$22,""),IF(ISNUMBER(SEARCH(SUBSTITUTE('Référentiel films'!$A$23,"’","'"),SUBSTITUTE(G7,"’","'"))),'Référentiel films'!$B$23,""),IF(ISNUMBER(SEARCH(SUBSTITUTE('Référentiel films'!$A$24,"’","'"),SUBSTITUTE(G7,"’","'"))),'Référentiel films'!$B$24,""),IF(ISNUMBER(SEARCH(SUBSTITUTE('Référentiel films'!$A$25,"’","'"),SUBSTITUTE(G7,"’","'"))),'Référentiel films'!$B$25,""),IF(ISNUMBER(SEARCH(SUBSTITUTE('Référentiel films'!$A$26,"’","'"),SUBSTITUTE(G7,"’","'"))),'Référentiel films'!$B$26,""),IF(ISNUMBER(SEARCH(SUBSTITUTE('Référentiel films'!$A$27,"’","'"),SUBSTITUTE(G7,"’","'"))),'Référentiel films'!$B$27,""),IF(ISNUMBER(SEARCH(SUBSTITUTE('Référentiel films'!$A$28,"’","'"),SUBSTITUTE(G7,"’","'"))),'Référentiel films'!$B$28,""),IF(ISNUMBER(SEARCH(SUBSTITUTE('Référentiel films'!$A$29,"’","'"),SUBSTITUTE(G7,"’","'"))),'Référentiel films'!$B$29,""),IF(ISNUMBER(SEARCH(SUBSTITUTE('Référentiel films'!$A$30,"’","'"),SUBSTITUTE(G7,"’","'"))),'Référentiel films'!$B$30,""),IF(ISNUMBER(SEARCH(SUBSTITUTE('Référentiel films'!$A$31,"’","'"),SUBSTITUTE(G7,"’","'"))),'Référentiel films'!$B$31,""),IF(ISNUMBER(SEARCH(SUBSTITUTE('Référentiel films'!$A$32,"’","'"),SUBSTITUTE(G7,"’","'"))),'Référentiel films'!$B$32,""),IF(ISNUMBER(SEARCH(SUBSTITUTE('Référentiel films'!$A$33,"’","'"),SUBSTITUTE(G7,"’","'"))),'Référentiel films'!$B$33,""),IF(ISNUMBER(SEARCH(SUBSTITUTE('Référentiel films'!$A$34,"’","'"),SUBSTITUTE(G7,"’","'"))),'Référentiel films'!$B$34,""),IF(ISNUMBER(SEARCH(SUBSTITUTE('Référentiel films'!$A$35,"’","'"),SUBSTITUTE(G7,"’","'"))),'Référentiel films'!$B$35,""),IF(ISNUMBER(SEARCH(SUBSTITUTE('Référentiel films'!$A$36,"’","'"),SUBSTITUTE(G7,"’","'"))),'Référentiel films'!$B$36,""),IF(ISNUMBER(SEARCH(SUBSTITUTE('Référentiel films'!$A$37,"’","'"),SUBSTITUTE(G7,"’","'"))),'Référentiel films'!$B$37,""),IF(ISNUMBER(SEARCH(SUBSTITUTE('Référentiel films'!$A$38,"’","'"),SUBSTITUTE(G7,"’","'"))),'Référentiel films'!$B$38,""),IF(ISNUMBER(SEARCH(SUBSTITUTE('Référentiel films'!$A$39,"’","'"),SUBSTITUTE(G7,"’","'"))),'Référentiel films'!$B$39,""),IF(ISNUMBER(SEARCH(SUBSTITUTE('Référentiel films'!$A$40,"’","'"),SUBSTITUTE(G7,"’","'"))),'Référentiel films'!$B$40,""),IF(ISNUMBER(SEARCH(SUBSTITUTE('Référentiel films'!$A$41,"’","'"),SUBSTITUTE(G7,"’","'"))),'Référentiel films'!$B$41,"")))</f>
        <v>film-1980-berlin-alexanderplatz; film-1981-lili-marleen; film-1981-lola-une-femme-allemande; film-1981-le-secret-de-veronika-voss; film-1982-querelle</v>
      </c>
      <c r="I7" s="28"/>
      <c r="J7" s="12" t="s">
        <v>356</v>
      </c>
      <c r="K7" s="28"/>
      <c r="L7" s="28"/>
      <c r="M7" s="28"/>
      <c r="N7" s="28"/>
    </row>
  </sheetData>
  <hyperlinks>
    <hyperlink ref="J2" r:id="rId1" xr:uid="{00000000-0004-0000-0000-000000000000}"/>
    <hyperlink ref="J4" r:id="rId2" display="Documentaire sur le nouveau cinéma allemand" xr:uid="{00000000-0004-0000-0000-000001000000}"/>
  </hyperlinks>
  <pageMargins left="0.7" right="0.7" top="0.75" bottom="0.75" header="0.3" footer="0.3"/>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U37"/>
  <sheetViews>
    <sheetView topLeftCell="A5" workbookViewId="0">
      <selection activeCell="U22" sqref="U22"/>
    </sheetView>
  </sheetViews>
  <sheetFormatPr baseColWidth="10" defaultColWidth="13" defaultRowHeight="13" x14ac:dyDescent="0.15"/>
  <cols>
    <col min="1" max="2" width="31.83203125" customWidth="1"/>
    <col min="3" max="3" width="32.6640625" customWidth="1"/>
    <col min="4" max="6" width="31.83203125" customWidth="1"/>
    <col min="7" max="7" width="31" customWidth="1"/>
    <col min="8" max="8" width="16.1640625" customWidth="1"/>
    <col min="9" max="9" width="20.6640625" customWidth="1"/>
    <col min="10" max="11" width="37.83203125" customWidth="1"/>
    <col min="12" max="12" width="37" customWidth="1"/>
    <col min="13" max="19" width="27.1640625" customWidth="1"/>
    <col min="21" max="21" width="56.83203125" customWidth="1"/>
  </cols>
  <sheetData>
    <row r="1" spans="1:21" s="8" customFormat="1" ht="37.25" customHeight="1" x14ac:dyDescent="0.15">
      <c r="A1" s="4" t="s">
        <v>31</v>
      </c>
      <c r="B1" s="4" t="s">
        <v>0</v>
      </c>
      <c r="C1" s="4" t="s">
        <v>3</v>
      </c>
      <c r="D1" s="4" t="s">
        <v>4</v>
      </c>
      <c r="E1" s="4" t="s">
        <v>5</v>
      </c>
      <c r="F1" s="4" t="s">
        <v>6</v>
      </c>
      <c r="G1" s="4" t="s">
        <v>32</v>
      </c>
      <c r="H1" s="4" t="s">
        <v>9</v>
      </c>
      <c r="I1" s="4" t="s">
        <v>33</v>
      </c>
      <c r="J1" s="4" t="s">
        <v>34</v>
      </c>
      <c r="K1" s="4" t="s">
        <v>35</v>
      </c>
      <c r="L1" s="4" t="s">
        <v>10</v>
      </c>
      <c r="M1" s="4" t="s">
        <v>36</v>
      </c>
      <c r="N1" s="4" t="s">
        <v>37</v>
      </c>
      <c r="O1" s="4" t="s">
        <v>38</v>
      </c>
      <c r="P1" s="4" t="s">
        <v>39</v>
      </c>
      <c r="Q1" s="4" t="s">
        <v>40</v>
      </c>
      <c r="R1" s="4" t="s">
        <v>41</v>
      </c>
      <c r="S1" s="4" t="s">
        <v>12</v>
      </c>
      <c r="T1" s="4" t="s">
        <v>42</v>
      </c>
      <c r="U1" s="19" t="s">
        <v>43</v>
      </c>
    </row>
    <row r="2" spans="1:21" ht="368" customHeight="1" x14ac:dyDescent="0.2">
      <c r="A2" s="1">
        <v>1945</v>
      </c>
      <c r="B2" s="1" t="s">
        <v>262</v>
      </c>
      <c r="C2" s="1" t="s">
        <v>286</v>
      </c>
      <c r="D2" s="1" t="s">
        <v>287</v>
      </c>
      <c r="E2" s="1" t="s">
        <v>44</v>
      </c>
      <c r="F2" s="1"/>
      <c r="G2" s="1"/>
      <c r="H2" s="13" t="s">
        <v>15</v>
      </c>
      <c r="I2" s="13"/>
      <c r="J2" s="13"/>
      <c r="K2" s="13"/>
      <c r="L2" s="1"/>
      <c r="M2" s="12"/>
      <c r="N2" s="12"/>
      <c r="O2" s="12"/>
      <c r="P2" s="12"/>
      <c r="Q2" s="12"/>
      <c r="R2" s="12"/>
      <c r="S2" s="12"/>
      <c r="T2" s="12"/>
      <c r="U2" s="2" t="str">
        <f>IF(F2="","",_xlfn.TEXTJOIN("; ",TRUE(),IF(ISNUMBER(SEARCH(SUBSTITUTE('Référentiel films'!$A$2,"’","'"),SUBSTITUTE(F2,"’","'"))),'Référentiel films'!$B$2,""),IF(ISNUMBER(SEARCH(SUBSTITUTE('Référentiel films'!$A$3,"’","'"),SUBSTITUTE(F2,"’","'"))),'Référentiel films'!$B$3,""),IF(ISNUMBER(SEARCH(SUBSTITUTE('Référentiel films'!$A$4,"’","'"),SUBSTITUTE(F2,"’","'"))),'Référentiel films'!$B$4,""),IF(ISNUMBER(SEARCH(SUBSTITUTE('Référentiel films'!$A$5,"’","'"),SUBSTITUTE(F2,"’","'"))),'Référentiel films'!$B$5,""),IF(ISNUMBER(SEARCH(SUBSTITUTE('Référentiel films'!$A$6,"’","'"),SUBSTITUTE(F2,"’","'"))),'Référentiel films'!$B$6,""),IF(ISNUMBER(SEARCH(SUBSTITUTE('Référentiel films'!$A$7,"’","'"),SUBSTITUTE(F2,"’","'"))),'Référentiel films'!$B$7,""),IF(ISNUMBER(SEARCH(SUBSTITUTE('Référentiel films'!$A$8,"’","'"),SUBSTITUTE(F2,"’","'"))),'Référentiel films'!$B$8,""),IF(ISNUMBER(SEARCH(SUBSTITUTE('Référentiel films'!$A$9,"’","'"),SUBSTITUTE(F2,"’","'"))),'Référentiel films'!$B$9,""),IF(ISNUMBER(SEARCH(SUBSTITUTE('Référentiel films'!$A$10,"’","'"),SUBSTITUTE(F2,"’","'"))),'Référentiel films'!$B$10,""),IF(ISNUMBER(SEARCH(SUBSTITUTE('Référentiel films'!$A$11,"’","'"),SUBSTITUTE(F2,"’","'"))),'Référentiel films'!$B$11,""),IF(ISNUMBER(SEARCH(SUBSTITUTE('Référentiel films'!$A$12,"’","'"),SUBSTITUTE(F2,"’","'"))),'Référentiel films'!$B$12,""),IF(ISNUMBER(SEARCH(SUBSTITUTE('Référentiel films'!$A$13,"’","'"),SUBSTITUTE(F2,"’","'"))),'Référentiel films'!$B$13,""),IF(ISNUMBER(SEARCH(SUBSTITUTE('Référentiel films'!$A$14,"’","'"),SUBSTITUTE(F2,"’","'"))),'Référentiel films'!$B$14,""),IF(ISNUMBER(SEARCH(SUBSTITUTE('Référentiel films'!$A$15,"’","'"),SUBSTITUTE(F2,"’","'"))),'Référentiel films'!$B$15,""),IF(ISNUMBER(SEARCH(SUBSTITUTE('Référentiel films'!$A$16,"’","'"),SUBSTITUTE(F2,"’","'"))),'Référentiel films'!$B$16,""),IF(ISNUMBER(SEARCH(SUBSTITUTE('Référentiel films'!$A$17,"’","'"),SUBSTITUTE(F2,"’","'"))),'Référentiel films'!$B$17,""),IF(ISNUMBER(SEARCH(SUBSTITUTE('Référentiel films'!$A$18,"’","'"),SUBSTITUTE(F2,"’","'"))),'Référentiel films'!$B$18,""),IF(ISNUMBER(SEARCH(SUBSTITUTE('Référentiel films'!$A$19,"’","'"),SUBSTITUTE(F2,"’","'"))),'Référentiel films'!$B$19,""),IF(ISNUMBER(SEARCH(SUBSTITUTE('Référentiel films'!$A$20,"’","'"),SUBSTITUTE(F2,"’","'"))),'Référentiel films'!$B$20,""),IF(ISNUMBER(SEARCH(SUBSTITUTE('Référentiel films'!$A$21,"’","'"),SUBSTITUTE(F2,"’","'"))),'Référentiel films'!$B$21,""),IF(ISNUMBER(SEARCH(SUBSTITUTE('Référentiel films'!$A$22,"’","'"),SUBSTITUTE(F2,"’","'"))),'Référentiel films'!$B$22,""),IF(ISNUMBER(SEARCH(SUBSTITUTE('Référentiel films'!$A$23,"’","'"),SUBSTITUTE(F2,"’","'"))),'Référentiel films'!$B$23,""),IF(ISNUMBER(SEARCH(SUBSTITUTE('Référentiel films'!$A$24,"’","'"),SUBSTITUTE(F2,"’","'"))),'Référentiel films'!$B$24,""),IF(ISNUMBER(SEARCH(SUBSTITUTE('Référentiel films'!$A$25,"’","'"),SUBSTITUTE(F2,"’","'"))),'Référentiel films'!$B$25,""),IF(ISNUMBER(SEARCH(SUBSTITUTE('Référentiel films'!$A$26,"’","'"),SUBSTITUTE(F2,"’","'"))),'Référentiel films'!$B$26,""),IF(ISNUMBER(SEARCH(SUBSTITUTE('Référentiel films'!$A$27,"’","'"),SUBSTITUTE(F2,"’","'"))),'Référentiel films'!$B$27,""),IF(ISNUMBER(SEARCH(SUBSTITUTE('Référentiel films'!$A$28,"’","'"),SUBSTITUTE(F2,"’","'"))),'Référentiel films'!$B$28,""),IF(ISNUMBER(SEARCH(SUBSTITUTE('Référentiel films'!$A$29,"’","'"),SUBSTITUTE(F2,"’","'"))),'Référentiel films'!$B$29,""),IF(ISNUMBER(SEARCH(SUBSTITUTE('Référentiel films'!$A$30,"’","'"),SUBSTITUTE(F2,"’","'"))),'Référentiel films'!$B$30,""),IF(ISNUMBER(SEARCH(SUBSTITUTE('Référentiel films'!$A$31,"’","'"),SUBSTITUTE(F2,"’","'"))),'Référentiel films'!$B$31,""),IF(ISNUMBER(SEARCH(SUBSTITUTE('Référentiel films'!$A$32,"’","'"),SUBSTITUTE(F2,"’","'"))),'Référentiel films'!$B$32,""),IF(ISNUMBER(SEARCH(SUBSTITUTE('Référentiel films'!$A$33,"’","'"),SUBSTITUTE(F2,"’","'"))),'Référentiel films'!$B$33,""),IF(ISNUMBER(SEARCH(SUBSTITUTE('Référentiel films'!$A$34,"’","'"),SUBSTITUTE(F2,"’","'"))),'Référentiel films'!$B$34,""),IF(ISNUMBER(SEARCH(SUBSTITUTE('Référentiel films'!$A$35,"’","'"),SUBSTITUTE(F2,"’","'"))),'Référentiel films'!$B$35,""),IF(ISNUMBER(SEARCH(SUBSTITUTE('Référentiel films'!$A$36,"’","'"),SUBSTITUTE(F2,"’","'"))),'Référentiel films'!$B$36,""),IF(ISNUMBER(SEARCH(SUBSTITUTE('Référentiel films'!$A$37,"’","'"),SUBSTITUTE(F2,"’","'"))),'Référentiel films'!$B$37,""),IF(ISNUMBER(SEARCH(SUBSTITUTE('Référentiel films'!$A$38,"’","'"),SUBSTITUTE(F2,"’","'"))),'Référentiel films'!$B$38,""),IF(ISNUMBER(SEARCH(SUBSTITUTE('Référentiel films'!$A$39,"’","'"),SUBSTITUTE(F2,"’","'"))),'Référentiel films'!$B$39,""),IF(ISNUMBER(SEARCH(SUBSTITUTE('Référentiel films'!$A$40,"’","'"),SUBSTITUTE(F2,"’","'"))),'Référentiel films'!$B$40,""),IF(ISNUMBER(SEARCH(SUBSTITUTE('Référentiel films'!$A$41,"’","'"),SUBSTITUTE(F2,"’","'"))),'Référentiel films'!$B$41,"")))</f>
        <v/>
      </c>
    </row>
    <row r="3" spans="1:21" ht="409.5" customHeight="1" x14ac:dyDescent="0.2">
      <c r="A3" s="1">
        <v>1946</v>
      </c>
      <c r="B3" s="1" t="s">
        <v>262</v>
      </c>
      <c r="C3" s="1" t="s">
        <v>188</v>
      </c>
      <c r="D3" s="1" t="s">
        <v>288</v>
      </c>
      <c r="E3" s="1" t="s">
        <v>45</v>
      </c>
      <c r="F3" s="12"/>
      <c r="G3" s="1"/>
      <c r="H3" s="13" t="s">
        <v>46</v>
      </c>
      <c r="I3" s="13"/>
      <c r="J3" s="13"/>
      <c r="K3" s="13"/>
      <c r="L3" s="1"/>
      <c r="M3" s="12"/>
      <c r="N3" s="12"/>
      <c r="O3" s="12"/>
      <c r="P3" s="12"/>
      <c r="Q3" s="12"/>
      <c r="R3" s="12"/>
      <c r="S3" s="12"/>
      <c r="T3" s="12"/>
      <c r="U3" s="2" t="str">
        <f>IF(F3="","",_xlfn.TEXTJOIN("; ",TRUE(),IF(ISNUMBER(SEARCH(SUBSTITUTE('Référentiel films'!$A$2,"’","'"),SUBSTITUTE(F3,"’","'"))),'Référentiel films'!$B$2,""),IF(ISNUMBER(SEARCH(SUBSTITUTE('Référentiel films'!$A$3,"’","'"),SUBSTITUTE(F3,"’","'"))),'Référentiel films'!$B$3,""),IF(ISNUMBER(SEARCH(SUBSTITUTE('Référentiel films'!$A$4,"’","'"),SUBSTITUTE(F3,"’","'"))),'Référentiel films'!$B$4,""),IF(ISNUMBER(SEARCH(SUBSTITUTE('Référentiel films'!$A$5,"’","'"),SUBSTITUTE(F3,"’","'"))),'Référentiel films'!$B$5,""),IF(ISNUMBER(SEARCH(SUBSTITUTE('Référentiel films'!$A$6,"’","'"),SUBSTITUTE(F3,"’","'"))),'Référentiel films'!$B$6,""),IF(ISNUMBER(SEARCH(SUBSTITUTE('Référentiel films'!$A$7,"’","'"),SUBSTITUTE(F3,"’","'"))),'Référentiel films'!$B$7,""),IF(ISNUMBER(SEARCH(SUBSTITUTE('Référentiel films'!$A$8,"’","'"),SUBSTITUTE(F3,"’","'"))),'Référentiel films'!$B$8,""),IF(ISNUMBER(SEARCH(SUBSTITUTE('Référentiel films'!$A$9,"’","'"),SUBSTITUTE(F3,"’","'"))),'Référentiel films'!$B$9,""),IF(ISNUMBER(SEARCH(SUBSTITUTE('Référentiel films'!$A$10,"’","'"),SUBSTITUTE(F3,"’","'"))),'Référentiel films'!$B$10,""),IF(ISNUMBER(SEARCH(SUBSTITUTE('Référentiel films'!$A$11,"’","'"),SUBSTITUTE(F3,"’","'"))),'Référentiel films'!$B$11,""),IF(ISNUMBER(SEARCH(SUBSTITUTE('Référentiel films'!$A$12,"’","'"),SUBSTITUTE(F3,"’","'"))),'Référentiel films'!$B$12,""),IF(ISNUMBER(SEARCH(SUBSTITUTE('Référentiel films'!$A$13,"’","'"),SUBSTITUTE(F3,"’","'"))),'Référentiel films'!$B$13,""),IF(ISNUMBER(SEARCH(SUBSTITUTE('Référentiel films'!$A$14,"’","'"),SUBSTITUTE(F3,"’","'"))),'Référentiel films'!$B$14,""),IF(ISNUMBER(SEARCH(SUBSTITUTE('Référentiel films'!$A$15,"’","'"),SUBSTITUTE(F3,"’","'"))),'Référentiel films'!$B$15,""),IF(ISNUMBER(SEARCH(SUBSTITUTE('Référentiel films'!$A$16,"’","'"),SUBSTITUTE(F3,"’","'"))),'Référentiel films'!$B$16,""),IF(ISNUMBER(SEARCH(SUBSTITUTE('Référentiel films'!$A$17,"’","'"),SUBSTITUTE(F3,"’","'"))),'Référentiel films'!$B$17,""),IF(ISNUMBER(SEARCH(SUBSTITUTE('Référentiel films'!$A$18,"’","'"),SUBSTITUTE(F3,"’","'"))),'Référentiel films'!$B$18,""),IF(ISNUMBER(SEARCH(SUBSTITUTE('Référentiel films'!$A$19,"’","'"),SUBSTITUTE(F3,"’","'"))),'Référentiel films'!$B$19,""),IF(ISNUMBER(SEARCH(SUBSTITUTE('Référentiel films'!$A$20,"’","'"),SUBSTITUTE(F3,"’","'"))),'Référentiel films'!$B$20,""),IF(ISNUMBER(SEARCH(SUBSTITUTE('Référentiel films'!$A$21,"’","'"),SUBSTITUTE(F3,"’","'"))),'Référentiel films'!$B$21,""),IF(ISNUMBER(SEARCH(SUBSTITUTE('Référentiel films'!$A$22,"’","'"),SUBSTITUTE(F3,"’","'"))),'Référentiel films'!$B$22,""),IF(ISNUMBER(SEARCH(SUBSTITUTE('Référentiel films'!$A$23,"’","'"),SUBSTITUTE(F3,"’","'"))),'Référentiel films'!$B$23,""),IF(ISNUMBER(SEARCH(SUBSTITUTE('Référentiel films'!$A$24,"’","'"),SUBSTITUTE(F3,"’","'"))),'Référentiel films'!$B$24,""),IF(ISNUMBER(SEARCH(SUBSTITUTE('Référentiel films'!$A$25,"’","'"),SUBSTITUTE(F3,"’","'"))),'Référentiel films'!$B$25,""),IF(ISNUMBER(SEARCH(SUBSTITUTE('Référentiel films'!$A$26,"’","'"),SUBSTITUTE(F3,"’","'"))),'Référentiel films'!$B$26,""),IF(ISNUMBER(SEARCH(SUBSTITUTE('Référentiel films'!$A$27,"’","'"),SUBSTITUTE(F3,"’","'"))),'Référentiel films'!$B$27,""),IF(ISNUMBER(SEARCH(SUBSTITUTE('Référentiel films'!$A$28,"’","'"),SUBSTITUTE(F3,"’","'"))),'Référentiel films'!$B$28,""),IF(ISNUMBER(SEARCH(SUBSTITUTE('Référentiel films'!$A$29,"’","'"),SUBSTITUTE(F3,"’","'"))),'Référentiel films'!$B$29,""),IF(ISNUMBER(SEARCH(SUBSTITUTE('Référentiel films'!$A$30,"’","'"),SUBSTITUTE(F3,"’","'"))),'Référentiel films'!$B$30,""),IF(ISNUMBER(SEARCH(SUBSTITUTE('Référentiel films'!$A$31,"’","'"),SUBSTITUTE(F3,"’","'"))),'Référentiel films'!$B$31,""),IF(ISNUMBER(SEARCH(SUBSTITUTE('Référentiel films'!$A$32,"’","'"),SUBSTITUTE(F3,"’","'"))),'Référentiel films'!$B$32,""),IF(ISNUMBER(SEARCH(SUBSTITUTE('Référentiel films'!$A$33,"’","'"),SUBSTITUTE(F3,"’","'"))),'Référentiel films'!$B$33,""),IF(ISNUMBER(SEARCH(SUBSTITUTE('Référentiel films'!$A$34,"’","'"),SUBSTITUTE(F3,"’","'"))),'Référentiel films'!$B$34,""),IF(ISNUMBER(SEARCH(SUBSTITUTE('Référentiel films'!$A$35,"’","'"),SUBSTITUTE(F3,"’","'"))),'Référentiel films'!$B$35,""),IF(ISNUMBER(SEARCH(SUBSTITUTE('Référentiel films'!$A$36,"’","'"),SUBSTITUTE(F3,"’","'"))),'Référentiel films'!$B$36,""),IF(ISNUMBER(SEARCH(SUBSTITUTE('Référentiel films'!$A$37,"’","'"),SUBSTITUTE(F3,"’","'"))),'Référentiel films'!$B$37,""),IF(ISNUMBER(SEARCH(SUBSTITUTE('Référentiel films'!$A$38,"’","'"),SUBSTITUTE(F3,"’","'"))),'Référentiel films'!$B$38,""),IF(ISNUMBER(SEARCH(SUBSTITUTE('Référentiel films'!$A$39,"’","'"),SUBSTITUTE(F3,"’","'"))),'Référentiel films'!$B$39,""),IF(ISNUMBER(SEARCH(SUBSTITUTE('Référentiel films'!$A$40,"’","'"),SUBSTITUTE(F3,"’","'"))),'Référentiel films'!$B$40,""),IF(ISNUMBER(SEARCH(SUBSTITUTE('Référentiel films'!$A$41,"’","'"),SUBSTITUTE(F3,"’","'"))),'Référentiel films'!$B$41,"")))</f>
        <v/>
      </c>
    </row>
    <row r="4" spans="1:21" ht="288" customHeight="1" x14ac:dyDescent="0.2">
      <c r="A4" s="1">
        <v>1947</v>
      </c>
      <c r="B4" s="1" t="s">
        <v>262</v>
      </c>
      <c r="C4" s="1" t="s">
        <v>189</v>
      </c>
      <c r="D4" s="1" t="s">
        <v>289</v>
      </c>
      <c r="E4" s="1"/>
      <c r="F4" s="12"/>
      <c r="G4" s="1"/>
      <c r="H4" s="13"/>
      <c r="I4" s="12"/>
      <c r="J4" s="12"/>
      <c r="K4" s="12"/>
      <c r="L4" s="1"/>
      <c r="M4" s="12"/>
      <c r="N4" s="12"/>
      <c r="O4" s="12"/>
      <c r="P4" s="12"/>
      <c r="Q4" s="12"/>
      <c r="R4" s="12"/>
      <c r="S4" s="12"/>
      <c r="T4" s="1" t="s">
        <v>47</v>
      </c>
      <c r="U4" s="2" t="str">
        <f>IF(F4="","",_xlfn.TEXTJOIN("; ",TRUE(),IF(ISNUMBER(SEARCH(SUBSTITUTE('Référentiel films'!$A$2,"’","'"),SUBSTITUTE(F4,"’","'"))),'Référentiel films'!$B$2,""),IF(ISNUMBER(SEARCH(SUBSTITUTE('Référentiel films'!$A$3,"’","'"),SUBSTITUTE(F4,"’","'"))),'Référentiel films'!$B$3,""),IF(ISNUMBER(SEARCH(SUBSTITUTE('Référentiel films'!$A$4,"’","'"),SUBSTITUTE(F4,"’","'"))),'Référentiel films'!$B$4,""),IF(ISNUMBER(SEARCH(SUBSTITUTE('Référentiel films'!$A$5,"’","'"),SUBSTITUTE(F4,"’","'"))),'Référentiel films'!$B$5,""),IF(ISNUMBER(SEARCH(SUBSTITUTE('Référentiel films'!$A$6,"’","'"),SUBSTITUTE(F4,"’","'"))),'Référentiel films'!$B$6,""),IF(ISNUMBER(SEARCH(SUBSTITUTE('Référentiel films'!$A$7,"’","'"),SUBSTITUTE(F4,"’","'"))),'Référentiel films'!$B$7,""),IF(ISNUMBER(SEARCH(SUBSTITUTE('Référentiel films'!$A$8,"’","'"),SUBSTITUTE(F4,"’","'"))),'Référentiel films'!$B$8,""),IF(ISNUMBER(SEARCH(SUBSTITUTE('Référentiel films'!$A$9,"’","'"),SUBSTITUTE(F4,"’","'"))),'Référentiel films'!$B$9,""),IF(ISNUMBER(SEARCH(SUBSTITUTE('Référentiel films'!$A$10,"’","'"),SUBSTITUTE(F4,"’","'"))),'Référentiel films'!$B$10,""),IF(ISNUMBER(SEARCH(SUBSTITUTE('Référentiel films'!$A$11,"’","'"),SUBSTITUTE(F4,"’","'"))),'Référentiel films'!$B$11,""),IF(ISNUMBER(SEARCH(SUBSTITUTE('Référentiel films'!$A$12,"’","'"),SUBSTITUTE(F4,"’","'"))),'Référentiel films'!$B$12,""),IF(ISNUMBER(SEARCH(SUBSTITUTE('Référentiel films'!$A$13,"’","'"),SUBSTITUTE(F4,"’","'"))),'Référentiel films'!$B$13,""),IF(ISNUMBER(SEARCH(SUBSTITUTE('Référentiel films'!$A$14,"’","'"),SUBSTITUTE(F4,"’","'"))),'Référentiel films'!$B$14,""),IF(ISNUMBER(SEARCH(SUBSTITUTE('Référentiel films'!$A$15,"’","'"),SUBSTITUTE(F4,"’","'"))),'Référentiel films'!$B$15,""),IF(ISNUMBER(SEARCH(SUBSTITUTE('Référentiel films'!$A$16,"’","'"),SUBSTITUTE(F4,"’","'"))),'Référentiel films'!$B$16,""),IF(ISNUMBER(SEARCH(SUBSTITUTE('Référentiel films'!$A$17,"’","'"),SUBSTITUTE(F4,"’","'"))),'Référentiel films'!$B$17,""),IF(ISNUMBER(SEARCH(SUBSTITUTE('Référentiel films'!$A$18,"’","'"),SUBSTITUTE(F4,"’","'"))),'Référentiel films'!$B$18,""),IF(ISNUMBER(SEARCH(SUBSTITUTE('Référentiel films'!$A$19,"’","'"),SUBSTITUTE(F4,"’","'"))),'Référentiel films'!$B$19,""),IF(ISNUMBER(SEARCH(SUBSTITUTE('Référentiel films'!$A$20,"’","'"),SUBSTITUTE(F4,"’","'"))),'Référentiel films'!$B$20,""),IF(ISNUMBER(SEARCH(SUBSTITUTE('Référentiel films'!$A$21,"’","'"),SUBSTITUTE(F4,"’","'"))),'Référentiel films'!$B$21,""),IF(ISNUMBER(SEARCH(SUBSTITUTE('Référentiel films'!$A$22,"’","'"),SUBSTITUTE(F4,"’","'"))),'Référentiel films'!$B$22,""),IF(ISNUMBER(SEARCH(SUBSTITUTE('Référentiel films'!$A$23,"’","'"),SUBSTITUTE(F4,"’","'"))),'Référentiel films'!$B$23,""),IF(ISNUMBER(SEARCH(SUBSTITUTE('Référentiel films'!$A$24,"’","'"),SUBSTITUTE(F4,"’","'"))),'Référentiel films'!$B$24,""),IF(ISNUMBER(SEARCH(SUBSTITUTE('Référentiel films'!$A$25,"’","'"),SUBSTITUTE(F4,"’","'"))),'Référentiel films'!$B$25,""),IF(ISNUMBER(SEARCH(SUBSTITUTE('Référentiel films'!$A$26,"’","'"),SUBSTITUTE(F4,"’","'"))),'Référentiel films'!$B$26,""),IF(ISNUMBER(SEARCH(SUBSTITUTE('Référentiel films'!$A$27,"’","'"),SUBSTITUTE(F4,"’","'"))),'Référentiel films'!$B$27,""),IF(ISNUMBER(SEARCH(SUBSTITUTE('Référentiel films'!$A$28,"’","'"),SUBSTITUTE(F4,"’","'"))),'Référentiel films'!$B$28,""),IF(ISNUMBER(SEARCH(SUBSTITUTE('Référentiel films'!$A$29,"’","'"),SUBSTITUTE(F4,"’","'"))),'Référentiel films'!$B$29,""),IF(ISNUMBER(SEARCH(SUBSTITUTE('Référentiel films'!$A$30,"’","'"),SUBSTITUTE(F4,"’","'"))),'Référentiel films'!$B$30,""),IF(ISNUMBER(SEARCH(SUBSTITUTE('Référentiel films'!$A$31,"’","'"),SUBSTITUTE(F4,"’","'"))),'Référentiel films'!$B$31,""),IF(ISNUMBER(SEARCH(SUBSTITUTE('Référentiel films'!$A$32,"’","'"),SUBSTITUTE(F4,"’","'"))),'Référentiel films'!$B$32,""),IF(ISNUMBER(SEARCH(SUBSTITUTE('Référentiel films'!$A$33,"’","'"),SUBSTITUTE(F4,"’","'"))),'Référentiel films'!$B$33,""),IF(ISNUMBER(SEARCH(SUBSTITUTE('Référentiel films'!$A$34,"’","'"),SUBSTITUTE(F4,"’","'"))),'Référentiel films'!$B$34,""),IF(ISNUMBER(SEARCH(SUBSTITUTE('Référentiel films'!$A$35,"’","'"),SUBSTITUTE(F4,"’","'"))),'Référentiel films'!$B$35,""),IF(ISNUMBER(SEARCH(SUBSTITUTE('Référentiel films'!$A$36,"’","'"),SUBSTITUTE(F4,"’","'"))),'Référentiel films'!$B$36,""),IF(ISNUMBER(SEARCH(SUBSTITUTE('Référentiel films'!$A$37,"’","'"),SUBSTITUTE(F4,"’","'"))),'Référentiel films'!$B$37,""),IF(ISNUMBER(SEARCH(SUBSTITUTE('Référentiel films'!$A$38,"’","'"),SUBSTITUTE(F4,"’","'"))),'Référentiel films'!$B$38,""),IF(ISNUMBER(SEARCH(SUBSTITUTE('Référentiel films'!$A$39,"’","'"),SUBSTITUTE(F4,"’","'"))),'Référentiel films'!$B$39,""),IF(ISNUMBER(SEARCH(SUBSTITUTE('Référentiel films'!$A$40,"’","'"),SUBSTITUTE(F4,"’","'"))),'Référentiel films'!$B$40,""),IF(ISNUMBER(SEARCH(SUBSTITUTE('Référentiel films'!$A$41,"’","'"),SUBSTITUTE(F4,"’","'"))),'Référentiel films'!$B$41,"")))</f>
        <v/>
      </c>
    </row>
    <row r="5" spans="1:21" ht="409.5" customHeight="1" x14ac:dyDescent="0.2">
      <c r="A5" s="1">
        <v>1948</v>
      </c>
      <c r="B5" s="1" t="s">
        <v>262</v>
      </c>
      <c r="C5" s="1" t="s">
        <v>290</v>
      </c>
      <c r="D5" s="14" t="s">
        <v>207</v>
      </c>
      <c r="E5" s="1"/>
      <c r="F5" s="12"/>
      <c r="G5" s="1"/>
      <c r="H5" s="13" t="s">
        <v>48</v>
      </c>
      <c r="I5" s="1" t="s">
        <v>49</v>
      </c>
      <c r="J5" s="15" t="s">
        <v>291</v>
      </c>
      <c r="K5" s="1" t="s">
        <v>50</v>
      </c>
      <c r="L5" s="1"/>
      <c r="M5" s="12"/>
      <c r="N5" s="12"/>
      <c r="O5" s="12"/>
      <c r="P5" s="12"/>
      <c r="Q5" s="12"/>
      <c r="R5" s="12"/>
      <c r="S5" s="12"/>
      <c r="T5" s="12"/>
      <c r="U5" s="2" t="str">
        <f>IF(F5="","",_xlfn.TEXTJOIN("; ",TRUE(),IF(ISNUMBER(SEARCH(SUBSTITUTE('Référentiel films'!$A$2,"’","'"),SUBSTITUTE(F5,"’","'"))),'Référentiel films'!$B$2,""),IF(ISNUMBER(SEARCH(SUBSTITUTE('Référentiel films'!$A$3,"’","'"),SUBSTITUTE(F5,"’","'"))),'Référentiel films'!$B$3,""),IF(ISNUMBER(SEARCH(SUBSTITUTE('Référentiel films'!$A$4,"’","'"),SUBSTITUTE(F5,"’","'"))),'Référentiel films'!$B$4,""),IF(ISNUMBER(SEARCH(SUBSTITUTE('Référentiel films'!$A$5,"’","'"),SUBSTITUTE(F5,"’","'"))),'Référentiel films'!$B$5,""),IF(ISNUMBER(SEARCH(SUBSTITUTE('Référentiel films'!$A$6,"’","'"),SUBSTITUTE(F5,"’","'"))),'Référentiel films'!$B$6,""),IF(ISNUMBER(SEARCH(SUBSTITUTE('Référentiel films'!$A$7,"’","'"),SUBSTITUTE(F5,"’","'"))),'Référentiel films'!$B$7,""),IF(ISNUMBER(SEARCH(SUBSTITUTE('Référentiel films'!$A$8,"’","'"),SUBSTITUTE(F5,"’","'"))),'Référentiel films'!$B$8,""),IF(ISNUMBER(SEARCH(SUBSTITUTE('Référentiel films'!$A$9,"’","'"),SUBSTITUTE(F5,"’","'"))),'Référentiel films'!$B$9,""),IF(ISNUMBER(SEARCH(SUBSTITUTE('Référentiel films'!$A$10,"’","'"),SUBSTITUTE(F5,"’","'"))),'Référentiel films'!$B$10,""),IF(ISNUMBER(SEARCH(SUBSTITUTE('Référentiel films'!$A$11,"’","'"),SUBSTITUTE(F5,"’","'"))),'Référentiel films'!$B$11,""),IF(ISNUMBER(SEARCH(SUBSTITUTE('Référentiel films'!$A$12,"’","'"),SUBSTITUTE(F5,"’","'"))),'Référentiel films'!$B$12,""),IF(ISNUMBER(SEARCH(SUBSTITUTE('Référentiel films'!$A$13,"’","'"),SUBSTITUTE(F5,"’","'"))),'Référentiel films'!$B$13,""),IF(ISNUMBER(SEARCH(SUBSTITUTE('Référentiel films'!$A$14,"’","'"),SUBSTITUTE(F5,"’","'"))),'Référentiel films'!$B$14,""),IF(ISNUMBER(SEARCH(SUBSTITUTE('Référentiel films'!$A$15,"’","'"),SUBSTITUTE(F5,"’","'"))),'Référentiel films'!$B$15,""),IF(ISNUMBER(SEARCH(SUBSTITUTE('Référentiel films'!$A$16,"’","'"),SUBSTITUTE(F5,"’","'"))),'Référentiel films'!$B$16,""),IF(ISNUMBER(SEARCH(SUBSTITUTE('Référentiel films'!$A$17,"’","'"),SUBSTITUTE(F5,"’","'"))),'Référentiel films'!$B$17,""),IF(ISNUMBER(SEARCH(SUBSTITUTE('Référentiel films'!$A$18,"’","'"),SUBSTITUTE(F5,"’","'"))),'Référentiel films'!$B$18,""),IF(ISNUMBER(SEARCH(SUBSTITUTE('Référentiel films'!$A$19,"’","'"),SUBSTITUTE(F5,"’","'"))),'Référentiel films'!$B$19,""),IF(ISNUMBER(SEARCH(SUBSTITUTE('Référentiel films'!$A$20,"’","'"),SUBSTITUTE(F5,"’","'"))),'Référentiel films'!$B$20,""),IF(ISNUMBER(SEARCH(SUBSTITUTE('Référentiel films'!$A$21,"’","'"),SUBSTITUTE(F5,"’","'"))),'Référentiel films'!$B$21,""),IF(ISNUMBER(SEARCH(SUBSTITUTE('Référentiel films'!$A$22,"’","'"),SUBSTITUTE(F5,"’","'"))),'Référentiel films'!$B$22,""),IF(ISNUMBER(SEARCH(SUBSTITUTE('Référentiel films'!$A$23,"’","'"),SUBSTITUTE(F5,"’","'"))),'Référentiel films'!$B$23,""),IF(ISNUMBER(SEARCH(SUBSTITUTE('Référentiel films'!$A$24,"’","'"),SUBSTITUTE(F5,"’","'"))),'Référentiel films'!$B$24,""),IF(ISNUMBER(SEARCH(SUBSTITUTE('Référentiel films'!$A$25,"’","'"),SUBSTITUTE(F5,"’","'"))),'Référentiel films'!$B$25,""),IF(ISNUMBER(SEARCH(SUBSTITUTE('Référentiel films'!$A$26,"’","'"),SUBSTITUTE(F5,"’","'"))),'Référentiel films'!$B$26,""),IF(ISNUMBER(SEARCH(SUBSTITUTE('Référentiel films'!$A$27,"’","'"),SUBSTITUTE(F5,"’","'"))),'Référentiel films'!$B$27,""),IF(ISNUMBER(SEARCH(SUBSTITUTE('Référentiel films'!$A$28,"’","'"),SUBSTITUTE(F5,"’","'"))),'Référentiel films'!$B$28,""),IF(ISNUMBER(SEARCH(SUBSTITUTE('Référentiel films'!$A$29,"’","'"),SUBSTITUTE(F5,"’","'"))),'Référentiel films'!$B$29,""),IF(ISNUMBER(SEARCH(SUBSTITUTE('Référentiel films'!$A$30,"’","'"),SUBSTITUTE(F5,"’","'"))),'Référentiel films'!$B$30,""),IF(ISNUMBER(SEARCH(SUBSTITUTE('Référentiel films'!$A$31,"’","'"),SUBSTITUTE(F5,"’","'"))),'Référentiel films'!$B$31,""),IF(ISNUMBER(SEARCH(SUBSTITUTE('Référentiel films'!$A$32,"’","'"),SUBSTITUTE(F5,"’","'"))),'Référentiel films'!$B$32,""),IF(ISNUMBER(SEARCH(SUBSTITUTE('Référentiel films'!$A$33,"’","'"),SUBSTITUTE(F5,"’","'"))),'Référentiel films'!$B$33,""),IF(ISNUMBER(SEARCH(SUBSTITUTE('Référentiel films'!$A$34,"’","'"),SUBSTITUTE(F5,"’","'"))),'Référentiel films'!$B$34,""),IF(ISNUMBER(SEARCH(SUBSTITUTE('Référentiel films'!$A$35,"’","'"),SUBSTITUTE(F5,"’","'"))),'Référentiel films'!$B$35,""),IF(ISNUMBER(SEARCH(SUBSTITUTE('Référentiel films'!$A$36,"’","'"),SUBSTITUTE(F5,"’","'"))),'Référentiel films'!$B$36,""),IF(ISNUMBER(SEARCH(SUBSTITUTE('Référentiel films'!$A$37,"’","'"),SUBSTITUTE(F5,"’","'"))),'Référentiel films'!$B$37,""),IF(ISNUMBER(SEARCH(SUBSTITUTE('Référentiel films'!$A$38,"’","'"),SUBSTITUTE(F5,"’","'"))),'Référentiel films'!$B$38,""),IF(ISNUMBER(SEARCH(SUBSTITUTE('Référentiel films'!$A$39,"’","'"),SUBSTITUTE(F5,"’","'"))),'Référentiel films'!$B$39,""),IF(ISNUMBER(SEARCH(SUBSTITUTE('Référentiel films'!$A$40,"’","'"),SUBSTITUTE(F5,"’","'"))),'Référentiel films'!$B$40,""),IF(ISNUMBER(SEARCH(SUBSTITUTE('Référentiel films'!$A$41,"’","'"),SUBSTITUTE(F5,"’","'"))),'Référentiel films'!$B$41,"")))</f>
        <v/>
      </c>
    </row>
    <row r="6" spans="1:21" ht="320" customHeight="1" x14ac:dyDescent="0.2">
      <c r="A6" s="1">
        <v>1949</v>
      </c>
      <c r="B6" s="1" t="s">
        <v>259</v>
      </c>
      <c r="C6" s="1" t="s">
        <v>292</v>
      </c>
      <c r="D6" s="14" t="s">
        <v>293</v>
      </c>
      <c r="E6" s="1"/>
      <c r="F6" s="12"/>
      <c r="G6" s="1"/>
      <c r="H6" s="13" t="s">
        <v>51</v>
      </c>
      <c r="I6" s="13"/>
      <c r="J6" s="13"/>
      <c r="K6" s="13"/>
      <c r="L6" s="1"/>
      <c r="M6" s="12" t="s">
        <v>52</v>
      </c>
      <c r="N6" s="12" t="s">
        <v>251</v>
      </c>
      <c r="O6" s="12"/>
      <c r="P6" s="12"/>
      <c r="Q6" s="12"/>
      <c r="R6" s="12"/>
      <c r="S6" s="12"/>
      <c r="T6" s="12"/>
      <c r="U6" s="2" t="str">
        <f>IF(F6="","",_xlfn.TEXTJOIN("; ",TRUE(),IF(ISNUMBER(SEARCH(SUBSTITUTE('Référentiel films'!$A$2,"’","'"),SUBSTITUTE(F6,"’","'"))),'Référentiel films'!$B$2,""),IF(ISNUMBER(SEARCH(SUBSTITUTE('Référentiel films'!$A$3,"’","'"),SUBSTITUTE(F6,"’","'"))),'Référentiel films'!$B$3,""),IF(ISNUMBER(SEARCH(SUBSTITUTE('Référentiel films'!$A$4,"’","'"),SUBSTITUTE(F6,"’","'"))),'Référentiel films'!$B$4,""),IF(ISNUMBER(SEARCH(SUBSTITUTE('Référentiel films'!$A$5,"’","'"),SUBSTITUTE(F6,"’","'"))),'Référentiel films'!$B$5,""),IF(ISNUMBER(SEARCH(SUBSTITUTE('Référentiel films'!$A$6,"’","'"),SUBSTITUTE(F6,"’","'"))),'Référentiel films'!$B$6,""),IF(ISNUMBER(SEARCH(SUBSTITUTE('Référentiel films'!$A$7,"’","'"),SUBSTITUTE(F6,"’","'"))),'Référentiel films'!$B$7,""),IF(ISNUMBER(SEARCH(SUBSTITUTE('Référentiel films'!$A$8,"’","'"),SUBSTITUTE(F6,"’","'"))),'Référentiel films'!$B$8,""),IF(ISNUMBER(SEARCH(SUBSTITUTE('Référentiel films'!$A$9,"’","'"),SUBSTITUTE(F6,"’","'"))),'Référentiel films'!$B$9,""),IF(ISNUMBER(SEARCH(SUBSTITUTE('Référentiel films'!$A$10,"’","'"),SUBSTITUTE(F6,"’","'"))),'Référentiel films'!$B$10,""),IF(ISNUMBER(SEARCH(SUBSTITUTE('Référentiel films'!$A$11,"’","'"),SUBSTITUTE(F6,"’","'"))),'Référentiel films'!$B$11,""),IF(ISNUMBER(SEARCH(SUBSTITUTE('Référentiel films'!$A$12,"’","'"),SUBSTITUTE(F6,"’","'"))),'Référentiel films'!$B$12,""),IF(ISNUMBER(SEARCH(SUBSTITUTE('Référentiel films'!$A$13,"’","'"),SUBSTITUTE(F6,"’","'"))),'Référentiel films'!$B$13,""),IF(ISNUMBER(SEARCH(SUBSTITUTE('Référentiel films'!$A$14,"’","'"),SUBSTITUTE(F6,"’","'"))),'Référentiel films'!$B$14,""),IF(ISNUMBER(SEARCH(SUBSTITUTE('Référentiel films'!$A$15,"’","'"),SUBSTITUTE(F6,"’","'"))),'Référentiel films'!$B$15,""),IF(ISNUMBER(SEARCH(SUBSTITUTE('Référentiel films'!$A$16,"’","'"),SUBSTITUTE(F6,"’","'"))),'Référentiel films'!$B$16,""),IF(ISNUMBER(SEARCH(SUBSTITUTE('Référentiel films'!$A$17,"’","'"),SUBSTITUTE(F6,"’","'"))),'Référentiel films'!$B$17,""),IF(ISNUMBER(SEARCH(SUBSTITUTE('Référentiel films'!$A$18,"’","'"),SUBSTITUTE(F6,"’","'"))),'Référentiel films'!$B$18,""),IF(ISNUMBER(SEARCH(SUBSTITUTE('Référentiel films'!$A$19,"’","'"),SUBSTITUTE(F6,"’","'"))),'Référentiel films'!$B$19,""),IF(ISNUMBER(SEARCH(SUBSTITUTE('Référentiel films'!$A$20,"’","'"),SUBSTITUTE(F6,"’","'"))),'Référentiel films'!$B$20,""),IF(ISNUMBER(SEARCH(SUBSTITUTE('Référentiel films'!$A$21,"’","'"),SUBSTITUTE(F6,"’","'"))),'Référentiel films'!$B$21,""),IF(ISNUMBER(SEARCH(SUBSTITUTE('Référentiel films'!$A$22,"’","'"),SUBSTITUTE(F6,"’","'"))),'Référentiel films'!$B$22,""),IF(ISNUMBER(SEARCH(SUBSTITUTE('Référentiel films'!$A$23,"’","'"),SUBSTITUTE(F6,"’","'"))),'Référentiel films'!$B$23,""),IF(ISNUMBER(SEARCH(SUBSTITUTE('Référentiel films'!$A$24,"’","'"),SUBSTITUTE(F6,"’","'"))),'Référentiel films'!$B$24,""),IF(ISNUMBER(SEARCH(SUBSTITUTE('Référentiel films'!$A$25,"’","'"),SUBSTITUTE(F6,"’","'"))),'Référentiel films'!$B$25,""),IF(ISNUMBER(SEARCH(SUBSTITUTE('Référentiel films'!$A$26,"’","'"),SUBSTITUTE(F6,"’","'"))),'Référentiel films'!$B$26,""),IF(ISNUMBER(SEARCH(SUBSTITUTE('Référentiel films'!$A$27,"’","'"),SUBSTITUTE(F6,"’","'"))),'Référentiel films'!$B$27,""),IF(ISNUMBER(SEARCH(SUBSTITUTE('Référentiel films'!$A$28,"’","'"),SUBSTITUTE(F6,"’","'"))),'Référentiel films'!$B$28,""),IF(ISNUMBER(SEARCH(SUBSTITUTE('Référentiel films'!$A$29,"’","'"),SUBSTITUTE(F6,"’","'"))),'Référentiel films'!$B$29,""),IF(ISNUMBER(SEARCH(SUBSTITUTE('Référentiel films'!$A$30,"’","'"),SUBSTITUTE(F6,"’","'"))),'Référentiel films'!$B$30,""),IF(ISNUMBER(SEARCH(SUBSTITUTE('Référentiel films'!$A$31,"’","'"),SUBSTITUTE(F6,"’","'"))),'Référentiel films'!$B$31,""),IF(ISNUMBER(SEARCH(SUBSTITUTE('Référentiel films'!$A$32,"’","'"),SUBSTITUTE(F6,"’","'"))),'Référentiel films'!$B$32,""),IF(ISNUMBER(SEARCH(SUBSTITUTE('Référentiel films'!$A$33,"’","'"),SUBSTITUTE(F6,"’","'"))),'Référentiel films'!$B$33,""),IF(ISNUMBER(SEARCH(SUBSTITUTE('Référentiel films'!$A$34,"’","'"),SUBSTITUTE(F6,"’","'"))),'Référentiel films'!$B$34,""),IF(ISNUMBER(SEARCH(SUBSTITUTE('Référentiel films'!$A$35,"’","'"),SUBSTITUTE(F6,"’","'"))),'Référentiel films'!$B$35,""),IF(ISNUMBER(SEARCH(SUBSTITUTE('Référentiel films'!$A$36,"’","'"),SUBSTITUTE(F6,"’","'"))),'Référentiel films'!$B$36,""),IF(ISNUMBER(SEARCH(SUBSTITUTE('Référentiel films'!$A$37,"’","'"),SUBSTITUTE(F6,"’","'"))),'Référentiel films'!$B$37,""),IF(ISNUMBER(SEARCH(SUBSTITUTE('Référentiel films'!$A$38,"’","'"),SUBSTITUTE(F6,"’","'"))),'Référentiel films'!$B$38,""),IF(ISNUMBER(SEARCH(SUBSTITUTE('Référentiel films'!$A$39,"’","'"),SUBSTITUTE(F6,"’","'"))),'Référentiel films'!$B$39,""),IF(ISNUMBER(SEARCH(SUBSTITUTE('Référentiel films'!$A$40,"’","'"),SUBSTITUTE(F6,"’","'"))),'Référentiel films'!$B$40,""),IF(ISNUMBER(SEARCH(SUBSTITUTE('Référentiel films'!$A$41,"’","'"),SUBSTITUTE(F6,"’","'"))),'Référentiel films'!$B$41,"")))</f>
        <v/>
      </c>
    </row>
    <row r="7" spans="1:21" ht="144" customHeight="1" x14ac:dyDescent="0.2">
      <c r="A7" s="1">
        <v>1950</v>
      </c>
      <c r="B7" s="1" t="s">
        <v>259</v>
      </c>
      <c r="C7" s="1" t="s">
        <v>190</v>
      </c>
      <c r="D7" s="1" t="s">
        <v>191</v>
      </c>
      <c r="E7" s="1" t="s">
        <v>294</v>
      </c>
      <c r="F7" s="12"/>
      <c r="G7" s="1"/>
      <c r="H7" s="12"/>
      <c r="I7" s="13"/>
      <c r="J7" s="13"/>
      <c r="K7" s="13"/>
      <c r="L7" s="1"/>
      <c r="M7" s="12" t="s">
        <v>52</v>
      </c>
      <c r="N7" s="12" t="s">
        <v>251</v>
      </c>
      <c r="O7" s="12"/>
      <c r="P7" s="12"/>
      <c r="Q7" s="12"/>
      <c r="R7" s="12" t="s">
        <v>53</v>
      </c>
      <c r="S7" s="12"/>
      <c r="T7" s="12"/>
      <c r="U7" s="2" t="str">
        <f>IF(F7="","",_xlfn.TEXTJOIN("; ",TRUE(),IF(ISNUMBER(SEARCH(SUBSTITUTE('Référentiel films'!$A$2,"’","'"),SUBSTITUTE(F7,"’","'"))),'Référentiel films'!$B$2,""),IF(ISNUMBER(SEARCH(SUBSTITUTE('Référentiel films'!$A$3,"’","'"),SUBSTITUTE(F7,"’","'"))),'Référentiel films'!$B$3,""),IF(ISNUMBER(SEARCH(SUBSTITUTE('Référentiel films'!$A$4,"’","'"),SUBSTITUTE(F7,"’","'"))),'Référentiel films'!$B$4,""),IF(ISNUMBER(SEARCH(SUBSTITUTE('Référentiel films'!$A$5,"’","'"),SUBSTITUTE(F7,"’","'"))),'Référentiel films'!$B$5,""),IF(ISNUMBER(SEARCH(SUBSTITUTE('Référentiel films'!$A$6,"’","'"),SUBSTITUTE(F7,"’","'"))),'Référentiel films'!$B$6,""),IF(ISNUMBER(SEARCH(SUBSTITUTE('Référentiel films'!$A$7,"’","'"),SUBSTITUTE(F7,"’","'"))),'Référentiel films'!$B$7,""),IF(ISNUMBER(SEARCH(SUBSTITUTE('Référentiel films'!$A$8,"’","'"),SUBSTITUTE(F7,"’","'"))),'Référentiel films'!$B$8,""),IF(ISNUMBER(SEARCH(SUBSTITUTE('Référentiel films'!$A$9,"’","'"),SUBSTITUTE(F7,"’","'"))),'Référentiel films'!$B$9,""),IF(ISNUMBER(SEARCH(SUBSTITUTE('Référentiel films'!$A$10,"’","'"),SUBSTITUTE(F7,"’","'"))),'Référentiel films'!$B$10,""),IF(ISNUMBER(SEARCH(SUBSTITUTE('Référentiel films'!$A$11,"’","'"),SUBSTITUTE(F7,"’","'"))),'Référentiel films'!$B$11,""),IF(ISNUMBER(SEARCH(SUBSTITUTE('Référentiel films'!$A$12,"’","'"),SUBSTITUTE(F7,"’","'"))),'Référentiel films'!$B$12,""),IF(ISNUMBER(SEARCH(SUBSTITUTE('Référentiel films'!$A$13,"’","'"),SUBSTITUTE(F7,"’","'"))),'Référentiel films'!$B$13,""),IF(ISNUMBER(SEARCH(SUBSTITUTE('Référentiel films'!$A$14,"’","'"),SUBSTITUTE(F7,"’","'"))),'Référentiel films'!$B$14,""),IF(ISNUMBER(SEARCH(SUBSTITUTE('Référentiel films'!$A$15,"’","'"),SUBSTITUTE(F7,"’","'"))),'Référentiel films'!$B$15,""),IF(ISNUMBER(SEARCH(SUBSTITUTE('Référentiel films'!$A$16,"’","'"),SUBSTITUTE(F7,"’","'"))),'Référentiel films'!$B$16,""),IF(ISNUMBER(SEARCH(SUBSTITUTE('Référentiel films'!$A$17,"’","'"),SUBSTITUTE(F7,"’","'"))),'Référentiel films'!$B$17,""),IF(ISNUMBER(SEARCH(SUBSTITUTE('Référentiel films'!$A$18,"’","'"),SUBSTITUTE(F7,"’","'"))),'Référentiel films'!$B$18,""),IF(ISNUMBER(SEARCH(SUBSTITUTE('Référentiel films'!$A$19,"’","'"),SUBSTITUTE(F7,"’","'"))),'Référentiel films'!$B$19,""),IF(ISNUMBER(SEARCH(SUBSTITUTE('Référentiel films'!$A$20,"’","'"),SUBSTITUTE(F7,"’","'"))),'Référentiel films'!$B$20,""),IF(ISNUMBER(SEARCH(SUBSTITUTE('Référentiel films'!$A$21,"’","'"),SUBSTITUTE(F7,"’","'"))),'Référentiel films'!$B$21,""),IF(ISNUMBER(SEARCH(SUBSTITUTE('Référentiel films'!$A$22,"’","'"),SUBSTITUTE(F7,"’","'"))),'Référentiel films'!$B$22,""),IF(ISNUMBER(SEARCH(SUBSTITUTE('Référentiel films'!$A$23,"’","'"),SUBSTITUTE(F7,"’","'"))),'Référentiel films'!$B$23,""),IF(ISNUMBER(SEARCH(SUBSTITUTE('Référentiel films'!$A$24,"’","'"),SUBSTITUTE(F7,"’","'"))),'Référentiel films'!$B$24,""),IF(ISNUMBER(SEARCH(SUBSTITUTE('Référentiel films'!$A$25,"’","'"),SUBSTITUTE(F7,"’","'"))),'Référentiel films'!$B$25,""),IF(ISNUMBER(SEARCH(SUBSTITUTE('Référentiel films'!$A$26,"’","'"),SUBSTITUTE(F7,"’","'"))),'Référentiel films'!$B$26,""),IF(ISNUMBER(SEARCH(SUBSTITUTE('Référentiel films'!$A$27,"’","'"),SUBSTITUTE(F7,"’","'"))),'Référentiel films'!$B$27,""),IF(ISNUMBER(SEARCH(SUBSTITUTE('Référentiel films'!$A$28,"’","'"),SUBSTITUTE(F7,"’","'"))),'Référentiel films'!$B$28,""),IF(ISNUMBER(SEARCH(SUBSTITUTE('Référentiel films'!$A$29,"’","'"),SUBSTITUTE(F7,"’","'"))),'Référentiel films'!$B$29,""),IF(ISNUMBER(SEARCH(SUBSTITUTE('Référentiel films'!$A$30,"’","'"),SUBSTITUTE(F7,"’","'"))),'Référentiel films'!$B$30,""),IF(ISNUMBER(SEARCH(SUBSTITUTE('Référentiel films'!$A$31,"’","'"),SUBSTITUTE(F7,"’","'"))),'Référentiel films'!$B$31,""),IF(ISNUMBER(SEARCH(SUBSTITUTE('Référentiel films'!$A$32,"’","'"),SUBSTITUTE(F7,"’","'"))),'Référentiel films'!$B$32,""),IF(ISNUMBER(SEARCH(SUBSTITUTE('Référentiel films'!$A$33,"’","'"),SUBSTITUTE(F7,"’","'"))),'Référentiel films'!$B$33,""),IF(ISNUMBER(SEARCH(SUBSTITUTE('Référentiel films'!$A$34,"’","'"),SUBSTITUTE(F7,"’","'"))),'Référentiel films'!$B$34,""),IF(ISNUMBER(SEARCH(SUBSTITUTE('Référentiel films'!$A$35,"’","'"),SUBSTITUTE(F7,"’","'"))),'Référentiel films'!$B$35,""),IF(ISNUMBER(SEARCH(SUBSTITUTE('Référentiel films'!$A$36,"’","'"),SUBSTITUTE(F7,"’","'"))),'Référentiel films'!$B$36,""),IF(ISNUMBER(SEARCH(SUBSTITUTE('Référentiel films'!$A$37,"’","'"),SUBSTITUTE(F7,"’","'"))),'Référentiel films'!$B$37,""),IF(ISNUMBER(SEARCH(SUBSTITUTE('Référentiel films'!$A$38,"’","'"),SUBSTITUTE(F7,"’","'"))),'Référentiel films'!$B$38,""),IF(ISNUMBER(SEARCH(SUBSTITUTE('Référentiel films'!$A$39,"’","'"),SUBSTITUTE(F7,"’","'"))),'Référentiel films'!$B$39,""),IF(ISNUMBER(SEARCH(SUBSTITUTE('Référentiel films'!$A$40,"’","'"),SUBSTITUTE(F7,"’","'"))),'Référentiel films'!$B$40,""),IF(ISNUMBER(SEARCH(SUBSTITUTE('Référentiel films'!$A$41,"’","'"),SUBSTITUTE(F7,"’","'"))),'Référentiel films'!$B$41,"")))</f>
        <v/>
      </c>
    </row>
    <row r="8" spans="1:21" ht="208" customHeight="1" x14ac:dyDescent="0.2">
      <c r="A8" s="1">
        <v>1951</v>
      </c>
      <c r="B8" s="1" t="s">
        <v>259</v>
      </c>
      <c r="C8" s="1" t="s">
        <v>192</v>
      </c>
      <c r="D8" s="1" t="s">
        <v>208</v>
      </c>
      <c r="E8" s="1" t="s">
        <v>54</v>
      </c>
      <c r="F8" s="1"/>
      <c r="G8" s="12"/>
      <c r="H8" s="12"/>
      <c r="I8" s="12"/>
      <c r="J8" s="12"/>
      <c r="K8" s="12"/>
      <c r="L8" s="12"/>
      <c r="M8" s="12" t="s">
        <v>52</v>
      </c>
      <c r="N8" s="12" t="s">
        <v>251</v>
      </c>
      <c r="O8" s="12"/>
      <c r="P8" s="12"/>
      <c r="Q8" s="12"/>
      <c r="R8" s="12"/>
      <c r="S8" s="12"/>
      <c r="T8" s="12"/>
      <c r="U8" s="2" t="str">
        <f>IF(F8="","",_xlfn.TEXTJOIN("; ",TRUE(),IF(ISNUMBER(SEARCH(SUBSTITUTE('Référentiel films'!$A$2,"’","'"),SUBSTITUTE(F8,"’","'"))),'Référentiel films'!$B$2,""),IF(ISNUMBER(SEARCH(SUBSTITUTE('Référentiel films'!$A$3,"’","'"),SUBSTITUTE(F8,"’","'"))),'Référentiel films'!$B$3,""),IF(ISNUMBER(SEARCH(SUBSTITUTE('Référentiel films'!$A$4,"’","'"),SUBSTITUTE(F8,"’","'"))),'Référentiel films'!$B$4,""),IF(ISNUMBER(SEARCH(SUBSTITUTE('Référentiel films'!$A$5,"’","'"),SUBSTITUTE(F8,"’","'"))),'Référentiel films'!$B$5,""),IF(ISNUMBER(SEARCH(SUBSTITUTE('Référentiel films'!$A$6,"’","'"),SUBSTITUTE(F8,"’","'"))),'Référentiel films'!$B$6,""),IF(ISNUMBER(SEARCH(SUBSTITUTE('Référentiel films'!$A$7,"’","'"),SUBSTITUTE(F8,"’","'"))),'Référentiel films'!$B$7,""),IF(ISNUMBER(SEARCH(SUBSTITUTE('Référentiel films'!$A$8,"’","'"),SUBSTITUTE(F8,"’","'"))),'Référentiel films'!$B$8,""),IF(ISNUMBER(SEARCH(SUBSTITUTE('Référentiel films'!$A$9,"’","'"),SUBSTITUTE(F8,"’","'"))),'Référentiel films'!$B$9,""),IF(ISNUMBER(SEARCH(SUBSTITUTE('Référentiel films'!$A$10,"’","'"),SUBSTITUTE(F8,"’","'"))),'Référentiel films'!$B$10,""),IF(ISNUMBER(SEARCH(SUBSTITUTE('Référentiel films'!$A$11,"’","'"),SUBSTITUTE(F8,"’","'"))),'Référentiel films'!$B$11,""),IF(ISNUMBER(SEARCH(SUBSTITUTE('Référentiel films'!$A$12,"’","'"),SUBSTITUTE(F8,"’","'"))),'Référentiel films'!$B$12,""),IF(ISNUMBER(SEARCH(SUBSTITUTE('Référentiel films'!$A$13,"’","'"),SUBSTITUTE(F8,"’","'"))),'Référentiel films'!$B$13,""),IF(ISNUMBER(SEARCH(SUBSTITUTE('Référentiel films'!$A$14,"’","'"),SUBSTITUTE(F8,"’","'"))),'Référentiel films'!$B$14,""),IF(ISNUMBER(SEARCH(SUBSTITUTE('Référentiel films'!$A$15,"’","'"),SUBSTITUTE(F8,"’","'"))),'Référentiel films'!$B$15,""),IF(ISNUMBER(SEARCH(SUBSTITUTE('Référentiel films'!$A$16,"’","'"),SUBSTITUTE(F8,"’","'"))),'Référentiel films'!$B$16,""),IF(ISNUMBER(SEARCH(SUBSTITUTE('Référentiel films'!$A$17,"’","'"),SUBSTITUTE(F8,"’","'"))),'Référentiel films'!$B$17,""),IF(ISNUMBER(SEARCH(SUBSTITUTE('Référentiel films'!$A$18,"’","'"),SUBSTITUTE(F8,"’","'"))),'Référentiel films'!$B$18,""),IF(ISNUMBER(SEARCH(SUBSTITUTE('Référentiel films'!$A$19,"’","'"),SUBSTITUTE(F8,"’","'"))),'Référentiel films'!$B$19,""),IF(ISNUMBER(SEARCH(SUBSTITUTE('Référentiel films'!$A$20,"’","'"),SUBSTITUTE(F8,"’","'"))),'Référentiel films'!$B$20,""),IF(ISNUMBER(SEARCH(SUBSTITUTE('Référentiel films'!$A$21,"’","'"),SUBSTITUTE(F8,"’","'"))),'Référentiel films'!$B$21,""),IF(ISNUMBER(SEARCH(SUBSTITUTE('Référentiel films'!$A$22,"’","'"),SUBSTITUTE(F8,"’","'"))),'Référentiel films'!$B$22,""),IF(ISNUMBER(SEARCH(SUBSTITUTE('Référentiel films'!$A$23,"’","'"),SUBSTITUTE(F8,"’","'"))),'Référentiel films'!$B$23,""),IF(ISNUMBER(SEARCH(SUBSTITUTE('Référentiel films'!$A$24,"’","'"),SUBSTITUTE(F8,"’","'"))),'Référentiel films'!$B$24,""),IF(ISNUMBER(SEARCH(SUBSTITUTE('Référentiel films'!$A$25,"’","'"),SUBSTITUTE(F8,"’","'"))),'Référentiel films'!$B$25,""),IF(ISNUMBER(SEARCH(SUBSTITUTE('Référentiel films'!$A$26,"’","'"),SUBSTITUTE(F8,"’","'"))),'Référentiel films'!$B$26,""),IF(ISNUMBER(SEARCH(SUBSTITUTE('Référentiel films'!$A$27,"’","'"),SUBSTITUTE(F8,"’","'"))),'Référentiel films'!$B$27,""),IF(ISNUMBER(SEARCH(SUBSTITUTE('Référentiel films'!$A$28,"’","'"),SUBSTITUTE(F8,"’","'"))),'Référentiel films'!$B$28,""),IF(ISNUMBER(SEARCH(SUBSTITUTE('Référentiel films'!$A$29,"’","'"),SUBSTITUTE(F8,"’","'"))),'Référentiel films'!$B$29,""),IF(ISNUMBER(SEARCH(SUBSTITUTE('Référentiel films'!$A$30,"’","'"),SUBSTITUTE(F8,"’","'"))),'Référentiel films'!$B$30,""),IF(ISNUMBER(SEARCH(SUBSTITUTE('Référentiel films'!$A$31,"’","'"),SUBSTITUTE(F8,"’","'"))),'Référentiel films'!$B$31,""),IF(ISNUMBER(SEARCH(SUBSTITUTE('Référentiel films'!$A$32,"’","'"),SUBSTITUTE(F8,"’","'"))),'Référentiel films'!$B$32,""),IF(ISNUMBER(SEARCH(SUBSTITUTE('Référentiel films'!$A$33,"’","'"),SUBSTITUTE(F8,"’","'"))),'Référentiel films'!$B$33,""),IF(ISNUMBER(SEARCH(SUBSTITUTE('Référentiel films'!$A$34,"’","'"),SUBSTITUTE(F8,"’","'"))),'Référentiel films'!$B$34,""),IF(ISNUMBER(SEARCH(SUBSTITUTE('Référentiel films'!$A$35,"’","'"),SUBSTITUTE(F8,"’","'"))),'Référentiel films'!$B$35,""),IF(ISNUMBER(SEARCH(SUBSTITUTE('Référentiel films'!$A$36,"’","'"),SUBSTITUTE(F8,"’","'"))),'Référentiel films'!$B$36,""),IF(ISNUMBER(SEARCH(SUBSTITUTE('Référentiel films'!$A$37,"’","'"),SUBSTITUTE(F8,"’","'"))),'Référentiel films'!$B$37,""),IF(ISNUMBER(SEARCH(SUBSTITUTE('Référentiel films'!$A$38,"’","'"),SUBSTITUTE(F8,"’","'"))),'Référentiel films'!$B$38,""),IF(ISNUMBER(SEARCH(SUBSTITUTE('Référentiel films'!$A$39,"’","'"),SUBSTITUTE(F8,"’","'"))),'Référentiel films'!$B$39,""),IF(ISNUMBER(SEARCH(SUBSTITUTE('Référentiel films'!$A$40,"’","'"),SUBSTITUTE(F8,"’","'"))),'Référentiel films'!$B$40,""),IF(ISNUMBER(SEARCH(SUBSTITUTE('Référentiel films'!$A$41,"’","'"),SUBSTITUTE(F8,"’","'"))),'Référentiel films'!$B$41,"")))</f>
        <v/>
      </c>
    </row>
    <row r="9" spans="1:21" ht="160" customHeight="1" x14ac:dyDescent="0.2">
      <c r="A9" s="1">
        <v>1952</v>
      </c>
      <c r="B9" s="1" t="s">
        <v>259</v>
      </c>
      <c r="C9" s="1" t="s">
        <v>193</v>
      </c>
      <c r="D9" s="1" t="s">
        <v>209</v>
      </c>
      <c r="E9" s="1" t="s">
        <v>295</v>
      </c>
      <c r="F9" s="1"/>
      <c r="G9" s="12"/>
      <c r="H9" s="12"/>
      <c r="I9" s="12"/>
      <c r="J9" s="12"/>
      <c r="K9" s="12"/>
      <c r="L9" s="12"/>
      <c r="M9" s="1" t="s">
        <v>55</v>
      </c>
      <c r="N9" s="1" t="s">
        <v>56</v>
      </c>
      <c r="O9" s="12" t="s">
        <v>52</v>
      </c>
      <c r="P9" s="12" t="s">
        <v>251</v>
      </c>
      <c r="Q9" s="1"/>
      <c r="R9" s="1"/>
      <c r="S9" s="1"/>
      <c r="T9" s="12"/>
      <c r="U9" s="2" t="str">
        <f>IF(F9="","",_xlfn.TEXTJOIN("; ",TRUE(),IF(ISNUMBER(SEARCH(SUBSTITUTE('Référentiel films'!$A$2,"’","'"),SUBSTITUTE(F9,"’","'"))),'Référentiel films'!$B$2,""),IF(ISNUMBER(SEARCH(SUBSTITUTE('Référentiel films'!$A$3,"’","'"),SUBSTITUTE(F9,"’","'"))),'Référentiel films'!$B$3,""),IF(ISNUMBER(SEARCH(SUBSTITUTE('Référentiel films'!$A$4,"’","'"),SUBSTITUTE(F9,"’","'"))),'Référentiel films'!$B$4,""),IF(ISNUMBER(SEARCH(SUBSTITUTE('Référentiel films'!$A$5,"’","'"),SUBSTITUTE(F9,"’","'"))),'Référentiel films'!$B$5,""),IF(ISNUMBER(SEARCH(SUBSTITUTE('Référentiel films'!$A$6,"’","'"),SUBSTITUTE(F9,"’","'"))),'Référentiel films'!$B$6,""),IF(ISNUMBER(SEARCH(SUBSTITUTE('Référentiel films'!$A$7,"’","'"),SUBSTITUTE(F9,"’","'"))),'Référentiel films'!$B$7,""),IF(ISNUMBER(SEARCH(SUBSTITUTE('Référentiel films'!$A$8,"’","'"),SUBSTITUTE(F9,"’","'"))),'Référentiel films'!$B$8,""),IF(ISNUMBER(SEARCH(SUBSTITUTE('Référentiel films'!$A$9,"’","'"),SUBSTITUTE(F9,"’","'"))),'Référentiel films'!$B$9,""),IF(ISNUMBER(SEARCH(SUBSTITUTE('Référentiel films'!$A$10,"’","'"),SUBSTITUTE(F9,"’","'"))),'Référentiel films'!$B$10,""),IF(ISNUMBER(SEARCH(SUBSTITUTE('Référentiel films'!$A$11,"’","'"),SUBSTITUTE(F9,"’","'"))),'Référentiel films'!$B$11,""),IF(ISNUMBER(SEARCH(SUBSTITUTE('Référentiel films'!$A$12,"’","'"),SUBSTITUTE(F9,"’","'"))),'Référentiel films'!$B$12,""),IF(ISNUMBER(SEARCH(SUBSTITUTE('Référentiel films'!$A$13,"’","'"),SUBSTITUTE(F9,"’","'"))),'Référentiel films'!$B$13,""),IF(ISNUMBER(SEARCH(SUBSTITUTE('Référentiel films'!$A$14,"’","'"),SUBSTITUTE(F9,"’","'"))),'Référentiel films'!$B$14,""),IF(ISNUMBER(SEARCH(SUBSTITUTE('Référentiel films'!$A$15,"’","'"),SUBSTITUTE(F9,"’","'"))),'Référentiel films'!$B$15,""),IF(ISNUMBER(SEARCH(SUBSTITUTE('Référentiel films'!$A$16,"’","'"),SUBSTITUTE(F9,"’","'"))),'Référentiel films'!$B$16,""),IF(ISNUMBER(SEARCH(SUBSTITUTE('Référentiel films'!$A$17,"’","'"),SUBSTITUTE(F9,"’","'"))),'Référentiel films'!$B$17,""),IF(ISNUMBER(SEARCH(SUBSTITUTE('Référentiel films'!$A$18,"’","'"),SUBSTITUTE(F9,"’","'"))),'Référentiel films'!$B$18,""),IF(ISNUMBER(SEARCH(SUBSTITUTE('Référentiel films'!$A$19,"’","'"),SUBSTITUTE(F9,"’","'"))),'Référentiel films'!$B$19,""),IF(ISNUMBER(SEARCH(SUBSTITUTE('Référentiel films'!$A$20,"’","'"),SUBSTITUTE(F9,"’","'"))),'Référentiel films'!$B$20,""),IF(ISNUMBER(SEARCH(SUBSTITUTE('Référentiel films'!$A$21,"’","'"),SUBSTITUTE(F9,"’","'"))),'Référentiel films'!$B$21,""),IF(ISNUMBER(SEARCH(SUBSTITUTE('Référentiel films'!$A$22,"’","'"),SUBSTITUTE(F9,"’","'"))),'Référentiel films'!$B$22,""),IF(ISNUMBER(SEARCH(SUBSTITUTE('Référentiel films'!$A$23,"’","'"),SUBSTITUTE(F9,"’","'"))),'Référentiel films'!$B$23,""),IF(ISNUMBER(SEARCH(SUBSTITUTE('Référentiel films'!$A$24,"’","'"),SUBSTITUTE(F9,"’","'"))),'Référentiel films'!$B$24,""),IF(ISNUMBER(SEARCH(SUBSTITUTE('Référentiel films'!$A$25,"’","'"),SUBSTITUTE(F9,"’","'"))),'Référentiel films'!$B$25,""),IF(ISNUMBER(SEARCH(SUBSTITUTE('Référentiel films'!$A$26,"’","'"),SUBSTITUTE(F9,"’","'"))),'Référentiel films'!$B$26,""),IF(ISNUMBER(SEARCH(SUBSTITUTE('Référentiel films'!$A$27,"’","'"),SUBSTITUTE(F9,"’","'"))),'Référentiel films'!$B$27,""),IF(ISNUMBER(SEARCH(SUBSTITUTE('Référentiel films'!$A$28,"’","'"),SUBSTITUTE(F9,"’","'"))),'Référentiel films'!$B$28,""),IF(ISNUMBER(SEARCH(SUBSTITUTE('Référentiel films'!$A$29,"’","'"),SUBSTITUTE(F9,"’","'"))),'Référentiel films'!$B$29,""),IF(ISNUMBER(SEARCH(SUBSTITUTE('Référentiel films'!$A$30,"’","'"),SUBSTITUTE(F9,"’","'"))),'Référentiel films'!$B$30,""),IF(ISNUMBER(SEARCH(SUBSTITUTE('Référentiel films'!$A$31,"’","'"),SUBSTITUTE(F9,"’","'"))),'Référentiel films'!$B$31,""),IF(ISNUMBER(SEARCH(SUBSTITUTE('Référentiel films'!$A$32,"’","'"),SUBSTITUTE(F9,"’","'"))),'Référentiel films'!$B$32,""),IF(ISNUMBER(SEARCH(SUBSTITUTE('Référentiel films'!$A$33,"’","'"),SUBSTITUTE(F9,"’","'"))),'Référentiel films'!$B$33,""),IF(ISNUMBER(SEARCH(SUBSTITUTE('Référentiel films'!$A$34,"’","'"),SUBSTITUTE(F9,"’","'"))),'Référentiel films'!$B$34,""),IF(ISNUMBER(SEARCH(SUBSTITUTE('Référentiel films'!$A$35,"’","'"),SUBSTITUTE(F9,"’","'"))),'Référentiel films'!$B$35,""),IF(ISNUMBER(SEARCH(SUBSTITUTE('Référentiel films'!$A$36,"’","'"),SUBSTITUTE(F9,"’","'"))),'Référentiel films'!$B$36,""),IF(ISNUMBER(SEARCH(SUBSTITUTE('Référentiel films'!$A$37,"’","'"),SUBSTITUTE(F9,"’","'"))),'Référentiel films'!$B$37,""),IF(ISNUMBER(SEARCH(SUBSTITUTE('Référentiel films'!$A$38,"’","'"),SUBSTITUTE(F9,"’","'"))),'Référentiel films'!$B$38,""),IF(ISNUMBER(SEARCH(SUBSTITUTE('Référentiel films'!$A$39,"’","'"),SUBSTITUTE(F9,"’","'"))),'Référentiel films'!$B$39,""),IF(ISNUMBER(SEARCH(SUBSTITUTE('Référentiel films'!$A$40,"’","'"),SUBSTITUTE(F9,"’","'"))),'Référentiel films'!$B$40,""),IF(ISNUMBER(SEARCH(SUBSTITUTE('Référentiel films'!$A$41,"’","'"),SUBSTITUTE(F9,"’","'"))),'Référentiel films'!$B$41,"")))</f>
        <v/>
      </c>
    </row>
    <row r="10" spans="1:21" ht="272" customHeight="1" x14ac:dyDescent="0.2">
      <c r="A10" s="1">
        <v>1953</v>
      </c>
      <c r="B10" s="1" t="s">
        <v>259</v>
      </c>
      <c r="C10" s="1" t="s">
        <v>194</v>
      </c>
      <c r="D10" s="1" t="s">
        <v>195</v>
      </c>
      <c r="E10" s="1"/>
      <c r="F10" s="1"/>
      <c r="G10" s="12"/>
      <c r="H10" s="13" t="s">
        <v>57</v>
      </c>
      <c r="I10" s="12"/>
      <c r="J10" s="12"/>
      <c r="K10" s="12"/>
      <c r="L10" s="12"/>
      <c r="M10" s="12" t="s">
        <v>52</v>
      </c>
      <c r="N10" s="12" t="s">
        <v>251</v>
      </c>
      <c r="O10" s="12"/>
      <c r="P10" s="12"/>
      <c r="Q10" s="12"/>
      <c r="R10" s="12"/>
      <c r="S10" s="12"/>
      <c r="T10" s="12"/>
      <c r="U10" s="2" t="str">
        <f>IF(F10="","",_xlfn.TEXTJOIN("; ",TRUE(),IF(ISNUMBER(SEARCH(SUBSTITUTE('Référentiel films'!$A$2,"’","'"),SUBSTITUTE(F10,"’","'"))),'Référentiel films'!$B$2,""),IF(ISNUMBER(SEARCH(SUBSTITUTE('Référentiel films'!$A$3,"’","'"),SUBSTITUTE(F10,"’","'"))),'Référentiel films'!$B$3,""),IF(ISNUMBER(SEARCH(SUBSTITUTE('Référentiel films'!$A$4,"’","'"),SUBSTITUTE(F10,"’","'"))),'Référentiel films'!$B$4,""),IF(ISNUMBER(SEARCH(SUBSTITUTE('Référentiel films'!$A$5,"’","'"),SUBSTITUTE(F10,"’","'"))),'Référentiel films'!$B$5,""),IF(ISNUMBER(SEARCH(SUBSTITUTE('Référentiel films'!$A$6,"’","'"),SUBSTITUTE(F10,"’","'"))),'Référentiel films'!$B$6,""),IF(ISNUMBER(SEARCH(SUBSTITUTE('Référentiel films'!$A$7,"’","'"),SUBSTITUTE(F10,"’","'"))),'Référentiel films'!$B$7,""),IF(ISNUMBER(SEARCH(SUBSTITUTE('Référentiel films'!$A$8,"’","'"),SUBSTITUTE(F10,"’","'"))),'Référentiel films'!$B$8,""),IF(ISNUMBER(SEARCH(SUBSTITUTE('Référentiel films'!$A$9,"’","'"),SUBSTITUTE(F10,"’","'"))),'Référentiel films'!$B$9,""),IF(ISNUMBER(SEARCH(SUBSTITUTE('Référentiel films'!$A$10,"’","'"),SUBSTITUTE(F10,"’","'"))),'Référentiel films'!$B$10,""),IF(ISNUMBER(SEARCH(SUBSTITUTE('Référentiel films'!$A$11,"’","'"),SUBSTITUTE(F10,"’","'"))),'Référentiel films'!$B$11,""),IF(ISNUMBER(SEARCH(SUBSTITUTE('Référentiel films'!$A$12,"’","'"),SUBSTITUTE(F10,"’","'"))),'Référentiel films'!$B$12,""),IF(ISNUMBER(SEARCH(SUBSTITUTE('Référentiel films'!$A$13,"’","'"),SUBSTITUTE(F10,"’","'"))),'Référentiel films'!$B$13,""),IF(ISNUMBER(SEARCH(SUBSTITUTE('Référentiel films'!$A$14,"’","'"),SUBSTITUTE(F10,"’","'"))),'Référentiel films'!$B$14,""),IF(ISNUMBER(SEARCH(SUBSTITUTE('Référentiel films'!$A$15,"’","'"),SUBSTITUTE(F10,"’","'"))),'Référentiel films'!$B$15,""),IF(ISNUMBER(SEARCH(SUBSTITUTE('Référentiel films'!$A$16,"’","'"),SUBSTITUTE(F10,"’","'"))),'Référentiel films'!$B$16,""),IF(ISNUMBER(SEARCH(SUBSTITUTE('Référentiel films'!$A$17,"’","'"),SUBSTITUTE(F10,"’","'"))),'Référentiel films'!$B$17,""),IF(ISNUMBER(SEARCH(SUBSTITUTE('Référentiel films'!$A$18,"’","'"),SUBSTITUTE(F10,"’","'"))),'Référentiel films'!$B$18,""),IF(ISNUMBER(SEARCH(SUBSTITUTE('Référentiel films'!$A$19,"’","'"),SUBSTITUTE(F10,"’","'"))),'Référentiel films'!$B$19,""),IF(ISNUMBER(SEARCH(SUBSTITUTE('Référentiel films'!$A$20,"’","'"),SUBSTITUTE(F10,"’","'"))),'Référentiel films'!$B$20,""),IF(ISNUMBER(SEARCH(SUBSTITUTE('Référentiel films'!$A$21,"’","'"),SUBSTITUTE(F10,"’","'"))),'Référentiel films'!$B$21,""),IF(ISNUMBER(SEARCH(SUBSTITUTE('Référentiel films'!$A$22,"’","'"),SUBSTITUTE(F10,"’","'"))),'Référentiel films'!$B$22,""),IF(ISNUMBER(SEARCH(SUBSTITUTE('Référentiel films'!$A$23,"’","'"),SUBSTITUTE(F10,"’","'"))),'Référentiel films'!$B$23,""),IF(ISNUMBER(SEARCH(SUBSTITUTE('Référentiel films'!$A$24,"’","'"),SUBSTITUTE(F10,"’","'"))),'Référentiel films'!$B$24,""),IF(ISNUMBER(SEARCH(SUBSTITUTE('Référentiel films'!$A$25,"’","'"),SUBSTITUTE(F10,"’","'"))),'Référentiel films'!$B$25,""),IF(ISNUMBER(SEARCH(SUBSTITUTE('Référentiel films'!$A$26,"’","'"),SUBSTITUTE(F10,"’","'"))),'Référentiel films'!$B$26,""),IF(ISNUMBER(SEARCH(SUBSTITUTE('Référentiel films'!$A$27,"’","'"),SUBSTITUTE(F10,"’","'"))),'Référentiel films'!$B$27,""),IF(ISNUMBER(SEARCH(SUBSTITUTE('Référentiel films'!$A$28,"’","'"),SUBSTITUTE(F10,"’","'"))),'Référentiel films'!$B$28,""),IF(ISNUMBER(SEARCH(SUBSTITUTE('Référentiel films'!$A$29,"’","'"),SUBSTITUTE(F10,"’","'"))),'Référentiel films'!$B$29,""),IF(ISNUMBER(SEARCH(SUBSTITUTE('Référentiel films'!$A$30,"’","'"),SUBSTITUTE(F10,"’","'"))),'Référentiel films'!$B$30,""),IF(ISNUMBER(SEARCH(SUBSTITUTE('Référentiel films'!$A$31,"’","'"),SUBSTITUTE(F10,"’","'"))),'Référentiel films'!$B$31,""),IF(ISNUMBER(SEARCH(SUBSTITUTE('Référentiel films'!$A$32,"’","'"),SUBSTITUTE(F10,"’","'"))),'Référentiel films'!$B$32,""),IF(ISNUMBER(SEARCH(SUBSTITUTE('Référentiel films'!$A$33,"’","'"),SUBSTITUTE(F10,"’","'"))),'Référentiel films'!$B$33,""),IF(ISNUMBER(SEARCH(SUBSTITUTE('Référentiel films'!$A$34,"’","'"),SUBSTITUTE(F10,"’","'"))),'Référentiel films'!$B$34,""),IF(ISNUMBER(SEARCH(SUBSTITUTE('Référentiel films'!$A$35,"’","'"),SUBSTITUTE(F10,"’","'"))),'Référentiel films'!$B$35,""),IF(ISNUMBER(SEARCH(SUBSTITUTE('Référentiel films'!$A$36,"’","'"),SUBSTITUTE(F10,"’","'"))),'Référentiel films'!$B$36,""),IF(ISNUMBER(SEARCH(SUBSTITUTE('Référentiel films'!$A$37,"’","'"),SUBSTITUTE(F10,"’","'"))),'Référentiel films'!$B$37,""),IF(ISNUMBER(SEARCH(SUBSTITUTE('Référentiel films'!$A$38,"’","'"),SUBSTITUTE(F10,"’","'"))),'Référentiel films'!$B$38,""),IF(ISNUMBER(SEARCH(SUBSTITUTE('Référentiel films'!$A$39,"’","'"),SUBSTITUTE(F10,"’","'"))),'Référentiel films'!$B$39,""),IF(ISNUMBER(SEARCH(SUBSTITUTE('Référentiel films'!$A$40,"’","'"),SUBSTITUTE(F10,"’","'"))),'Référentiel films'!$B$40,""),IF(ISNUMBER(SEARCH(SUBSTITUTE('Référentiel films'!$A$41,"’","'"),SUBSTITUTE(F10,"’","'"))),'Référentiel films'!$B$41,"")))</f>
        <v/>
      </c>
    </row>
    <row r="11" spans="1:21" ht="272" customHeight="1" x14ac:dyDescent="0.2">
      <c r="A11" s="1">
        <v>1954</v>
      </c>
      <c r="B11" s="1" t="s">
        <v>259</v>
      </c>
      <c r="C11" s="1" t="s">
        <v>196</v>
      </c>
      <c r="D11" s="15" t="s">
        <v>296</v>
      </c>
      <c r="E11" s="1"/>
      <c r="F11" s="1"/>
      <c r="G11" s="12"/>
      <c r="H11" s="13" t="s">
        <v>58</v>
      </c>
      <c r="I11" s="13"/>
      <c r="J11" s="13"/>
      <c r="K11" s="13"/>
      <c r="L11" s="12"/>
      <c r="M11" s="12" t="s">
        <v>59</v>
      </c>
      <c r="N11" s="12" t="s">
        <v>60</v>
      </c>
      <c r="O11" s="12" t="s">
        <v>52</v>
      </c>
      <c r="P11" s="12" t="s">
        <v>251</v>
      </c>
      <c r="Q11" s="12"/>
      <c r="R11" s="12"/>
      <c r="S11" s="12"/>
      <c r="T11" s="12"/>
      <c r="U11" s="2" t="str">
        <f>IF(F11="","",_xlfn.TEXTJOIN("; ",TRUE(),IF(ISNUMBER(SEARCH(SUBSTITUTE('Référentiel films'!$A$2,"’","'"),SUBSTITUTE(F11,"’","'"))),'Référentiel films'!$B$2,""),IF(ISNUMBER(SEARCH(SUBSTITUTE('Référentiel films'!$A$3,"’","'"),SUBSTITUTE(F11,"’","'"))),'Référentiel films'!$B$3,""),IF(ISNUMBER(SEARCH(SUBSTITUTE('Référentiel films'!$A$4,"’","'"),SUBSTITUTE(F11,"’","'"))),'Référentiel films'!$B$4,""),IF(ISNUMBER(SEARCH(SUBSTITUTE('Référentiel films'!$A$5,"’","'"),SUBSTITUTE(F11,"’","'"))),'Référentiel films'!$B$5,""),IF(ISNUMBER(SEARCH(SUBSTITUTE('Référentiel films'!$A$6,"’","'"),SUBSTITUTE(F11,"’","'"))),'Référentiel films'!$B$6,""),IF(ISNUMBER(SEARCH(SUBSTITUTE('Référentiel films'!$A$7,"’","'"),SUBSTITUTE(F11,"’","'"))),'Référentiel films'!$B$7,""),IF(ISNUMBER(SEARCH(SUBSTITUTE('Référentiel films'!$A$8,"’","'"),SUBSTITUTE(F11,"’","'"))),'Référentiel films'!$B$8,""),IF(ISNUMBER(SEARCH(SUBSTITUTE('Référentiel films'!$A$9,"’","'"),SUBSTITUTE(F11,"’","'"))),'Référentiel films'!$B$9,""),IF(ISNUMBER(SEARCH(SUBSTITUTE('Référentiel films'!$A$10,"’","'"),SUBSTITUTE(F11,"’","'"))),'Référentiel films'!$B$10,""),IF(ISNUMBER(SEARCH(SUBSTITUTE('Référentiel films'!$A$11,"’","'"),SUBSTITUTE(F11,"’","'"))),'Référentiel films'!$B$11,""),IF(ISNUMBER(SEARCH(SUBSTITUTE('Référentiel films'!$A$12,"’","'"),SUBSTITUTE(F11,"’","'"))),'Référentiel films'!$B$12,""),IF(ISNUMBER(SEARCH(SUBSTITUTE('Référentiel films'!$A$13,"’","'"),SUBSTITUTE(F11,"’","'"))),'Référentiel films'!$B$13,""),IF(ISNUMBER(SEARCH(SUBSTITUTE('Référentiel films'!$A$14,"’","'"),SUBSTITUTE(F11,"’","'"))),'Référentiel films'!$B$14,""),IF(ISNUMBER(SEARCH(SUBSTITUTE('Référentiel films'!$A$15,"’","'"),SUBSTITUTE(F11,"’","'"))),'Référentiel films'!$B$15,""),IF(ISNUMBER(SEARCH(SUBSTITUTE('Référentiel films'!$A$16,"’","'"),SUBSTITUTE(F11,"’","'"))),'Référentiel films'!$B$16,""),IF(ISNUMBER(SEARCH(SUBSTITUTE('Référentiel films'!$A$17,"’","'"),SUBSTITUTE(F11,"’","'"))),'Référentiel films'!$B$17,""),IF(ISNUMBER(SEARCH(SUBSTITUTE('Référentiel films'!$A$18,"’","'"),SUBSTITUTE(F11,"’","'"))),'Référentiel films'!$B$18,""),IF(ISNUMBER(SEARCH(SUBSTITUTE('Référentiel films'!$A$19,"’","'"),SUBSTITUTE(F11,"’","'"))),'Référentiel films'!$B$19,""),IF(ISNUMBER(SEARCH(SUBSTITUTE('Référentiel films'!$A$20,"’","'"),SUBSTITUTE(F11,"’","'"))),'Référentiel films'!$B$20,""),IF(ISNUMBER(SEARCH(SUBSTITUTE('Référentiel films'!$A$21,"’","'"),SUBSTITUTE(F11,"’","'"))),'Référentiel films'!$B$21,""),IF(ISNUMBER(SEARCH(SUBSTITUTE('Référentiel films'!$A$22,"’","'"),SUBSTITUTE(F11,"’","'"))),'Référentiel films'!$B$22,""),IF(ISNUMBER(SEARCH(SUBSTITUTE('Référentiel films'!$A$23,"’","'"),SUBSTITUTE(F11,"’","'"))),'Référentiel films'!$B$23,""),IF(ISNUMBER(SEARCH(SUBSTITUTE('Référentiel films'!$A$24,"’","'"),SUBSTITUTE(F11,"’","'"))),'Référentiel films'!$B$24,""),IF(ISNUMBER(SEARCH(SUBSTITUTE('Référentiel films'!$A$25,"’","'"),SUBSTITUTE(F11,"’","'"))),'Référentiel films'!$B$25,""),IF(ISNUMBER(SEARCH(SUBSTITUTE('Référentiel films'!$A$26,"’","'"),SUBSTITUTE(F11,"’","'"))),'Référentiel films'!$B$26,""),IF(ISNUMBER(SEARCH(SUBSTITUTE('Référentiel films'!$A$27,"’","'"),SUBSTITUTE(F11,"’","'"))),'Référentiel films'!$B$27,""),IF(ISNUMBER(SEARCH(SUBSTITUTE('Référentiel films'!$A$28,"’","'"),SUBSTITUTE(F11,"’","'"))),'Référentiel films'!$B$28,""),IF(ISNUMBER(SEARCH(SUBSTITUTE('Référentiel films'!$A$29,"’","'"),SUBSTITUTE(F11,"’","'"))),'Référentiel films'!$B$29,""),IF(ISNUMBER(SEARCH(SUBSTITUTE('Référentiel films'!$A$30,"’","'"),SUBSTITUTE(F11,"’","'"))),'Référentiel films'!$B$30,""),IF(ISNUMBER(SEARCH(SUBSTITUTE('Référentiel films'!$A$31,"’","'"),SUBSTITUTE(F11,"’","'"))),'Référentiel films'!$B$31,""),IF(ISNUMBER(SEARCH(SUBSTITUTE('Référentiel films'!$A$32,"’","'"),SUBSTITUTE(F11,"’","'"))),'Référentiel films'!$B$32,""),IF(ISNUMBER(SEARCH(SUBSTITUTE('Référentiel films'!$A$33,"’","'"),SUBSTITUTE(F11,"’","'"))),'Référentiel films'!$B$33,""),IF(ISNUMBER(SEARCH(SUBSTITUTE('Référentiel films'!$A$34,"’","'"),SUBSTITUTE(F11,"’","'"))),'Référentiel films'!$B$34,""),IF(ISNUMBER(SEARCH(SUBSTITUTE('Référentiel films'!$A$35,"’","'"),SUBSTITUTE(F11,"’","'"))),'Référentiel films'!$B$35,""),IF(ISNUMBER(SEARCH(SUBSTITUTE('Référentiel films'!$A$36,"’","'"),SUBSTITUTE(F11,"’","'"))),'Référentiel films'!$B$36,""),IF(ISNUMBER(SEARCH(SUBSTITUTE('Référentiel films'!$A$37,"’","'"),SUBSTITUTE(F11,"’","'"))),'Référentiel films'!$B$37,""),IF(ISNUMBER(SEARCH(SUBSTITUTE('Référentiel films'!$A$38,"’","'"),SUBSTITUTE(F11,"’","'"))),'Référentiel films'!$B$38,""),IF(ISNUMBER(SEARCH(SUBSTITUTE('Référentiel films'!$A$39,"’","'"),SUBSTITUTE(F11,"’","'"))),'Référentiel films'!$B$39,""),IF(ISNUMBER(SEARCH(SUBSTITUTE('Référentiel films'!$A$40,"’","'"),SUBSTITUTE(F11,"’","'"))),'Référentiel films'!$B$40,""),IF(ISNUMBER(SEARCH(SUBSTITUTE('Référentiel films'!$A$41,"’","'"),SUBSTITUTE(F11,"’","'"))),'Référentiel films'!$B$41,"")))</f>
        <v/>
      </c>
    </row>
    <row r="12" spans="1:21" ht="80" customHeight="1" x14ac:dyDescent="0.2">
      <c r="A12" s="1">
        <v>1955</v>
      </c>
      <c r="B12" s="1" t="s">
        <v>259</v>
      </c>
      <c r="C12" s="1" t="s">
        <v>197</v>
      </c>
      <c r="D12" s="1" t="s">
        <v>215</v>
      </c>
      <c r="E12" s="1" t="s">
        <v>61</v>
      </c>
      <c r="F12" s="1"/>
      <c r="G12" s="12"/>
      <c r="H12" s="12"/>
      <c r="I12" s="12"/>
      <c r="J12" s="12"/>
      <c r="K12" s="12"/>
      <c r="L12" s="12"/>
      <c r="M12" s="12"/>
      <c r="N12" s="12"/>
      <c r="O12" s="12"/>
      <c r="P12" s="12"/>
      <c r="Q12" s="12"/>
      <c r="R12" s="12"/>
      <c r="S12" s="12"/>
      <c r="T12" s="12"/>
      <c r="U12" s="2" t="str">
        <f>IF(F12="","",_xlfn.TEXTJOIN("; ",TRUE(),IF(ISNUMBER(SEARCH(SUBSTITUTE('Référentiel films'!$A$2,"’","'"),SUBSTITUTE(F12,"’","'"))),'Référentiel films'!$B$2,""),IF(ISNUMBER(SEARCH(SUBSTITUTE('Référentiel films'!$A$3,"’","'"),SUBSTITUTE(F12,"’","'"))),'Référentiel films'!$B$3,""),IF(ISNUMBER(SEARCH(SUBSTITUTE('Référentiel films'!$A$4,"’","'"),SUBSTITUTE(F12,"’","'"))),'Référentiel films'!$B$4,""),IF(ISNUMBER(SEARCH(SUBSTITUTE('Référentiel films'!$A$5,"’","'"),SUBSTITUTE(F12,"’","'"))),'Référentiel films'!$B$5,""),IF(ISNUMBER(SEARCH(SUBSTITUTE('Référentiel films'!$A$6,"’","'"),SUBSTITUTE(F12,"’","'"))),'Référentiel films'!$B$6,""),IF(ISNUMBER(SEARCH(SUBSTITUTE('Référentiel films'!$A$7,"’","'"),SUBSTITUTE(F12,"’","'"))),'Référentiel films'!$B$7,""),IF(ISNUMBER(SEARCH(SUBSTITUTE('Référentiel films'!$A$8,"’","'"),SUBSTITUTE(F12,"’","'"))),'Référentiel films'!$B$8,""),IF(ISNUMBER(SEARCH(SUBSTITUTE('Référentiel films'!$A$9,"’","'"),SUBSTITUTE(F12,"’","'"))),'Référentiel films'!$B$9,""),IF(ISNUMBER(SEARCH(SUBSTITUTE('Référentiel films'!$A$10,"’","'"),SUBSTITUTE(F12,"’","'"))),'Référentiel films'!$B$10,""),IF(ISNUMBER(SEARCH(SUBSTITUTE('Référentiel films'!$A$11,"’","'"),SUBSTITUTE(F12,"’","'"))),'Référentiel films'!$B$11,""),IF(ISNUMBER(SEARCH(SUBSTITUTE('Référentiel films'!$A$12,"’","'"),SUBSTITUTE(F12,"’","'"))),'Référentiel films'!$B$12,""),IF(ISNUMBER(SEARCH(SUBSTITUTE('Référentiel films'!$A$13,"’","'"),SUBSTITUTE(F12,"’","'"))),'Référentiel films'!$B$13,""),IF(ISNUMBER(SEARCH(SUBSTITUTE('Référentiel films'!$A$14,"’","'"),SUBSTITUTE(F12,"’","'"))),'Référentiel films'!$B$14,""),IF(ISNUMBER(SEARCH(SUBSTITUTE('Référentiel films'!$A$15,"’","'"),SUBSTITUTE(F12,"’","'"))),'Référentiel films'!$B$15,""),IF(ISNUMBER(SEARCH(SUBSTITUTE('Référentiel films'!$A$16,"’","'"),SUBSTITUTE(F12,"’","'"))),'Référentiel films'!$B$16,""),IF(ISNUMBER(SEARCH(SUBSTITUTE('Référentiel films'!$A$17,"’","'"),SUBSTITUTE(F12,"’","'"))),'Référentiel films'!$B$17,""),IF(ISNUMBER(SEARCH(SUBSTITUTE('Référentiel films'!$A$18,"’","'"),SUBSTITUTE(F12,"’","'"))),'Référentiel films'!$B$18,""),IF(ISNUMBER(SEARCH(SUBSTITUTE('Référentiel films'!$A$19,"’","'"),SUBSTITUTE(F12,"’","'"))),'Référentiel films'!$B$19,""),IF(ISNUMBER(SEARCH(SUBSTITUTE('Référentiel films'!$A$20,"’","'"),SUBSTITUTE(F12,"’","'"))),'Référentiel films'!$B$20,""),IF(ISNUMBER(SEARCH(SUBSTITUTE('Référentiel films'!$A$21,"’","'"),SUBSTITUTE(F12,"’","'"))),'Référentiel films'!$B$21,""),IF(ISNUMBER(SEARCH(SUBSTITUTE('Référentiel films'!$A$22,"’","'"),SUBSTITUTE(F12,"’","'"))),'Référentiel films'!$B$22,""),IF(ISNUMBER(SEARCH(SUBSTITUTE('Référentiel films'!$A$23,"’","'"),SUBSTITUTE(F12,"’","'"))),'Référentiel films'!$B$23,""),IF(ISNUMBER(SEARCH(SUBSTITUTE('Référentiel films'!$A$24,"’","'"),SUBSTITUTE(F12,"’","'"))),'Référentiel films'!$B$24,""),IF(ISNUMBER(SEARCH(SUBSTITUTE('Référentiel films'!$A$25,"’","'"),SUBSTITUTE(F12,"’","'"))),'Référentiel films'!$B$25,""),IF(ISNUMBER(SEARCH(SUBSTITUTE('Référentiel films'!$A$26,"’","'"),SUBSTITUTE(F12,"’","'"))),'Référentiel films'!$B$26,""),IF(ISNUMBER(SEARCH(SUBSTITUTE('Référentiel films'!$A$27,"’","'"),SUBSTITUTE(F12,"’","'"))),'Référentiel films'!$B$27,""),IF(ISNUMBER(SEARCH(SUBSTITUTE('Référentiel films'!$A$28,"’","'"),SUBSTITUTE(F12,"’","'"))),'Référentiel films'!$B$28,""),IF(ISNUMBER(SEARCH(SUBSTITUTE('Référentiel films'!$A$29,"’","'"),SUBSTITUTE(F12,"’","'"))),'Référentiel films'!$B$29,""),IF(ISNUMBER(SEARCH(SUBSTITUTE('Référentiel films'!$A$30,"’","'"),SUBSTITUTE(F12,"’","'"))),'Référentiel films'!$B$30,""),IF(ISNUMBER(SEARCH(SUBSTITUTE('Référentiel films'!$A$31,"’","'"),SUBSTITUTE(F12,"’","'"))),'Référentiel films'!$B$31,""),IF(ISNUMBER(SEARCH(SUBSTITUTE('Référentiel films'!$A$32,"’","'"),SUBSTITUTE(F12,"’","'"))),'Référentiel films'!$B$32,""),IF(ISNUMBER(SEARCH(SUBSTITUTE('Référentiel films'!$A$33,"’","'"),SUBSTITUTE(F12,"’","'"))),'Référentiel films'!$B$33,""),IF(ISNUMBER(SEARCH(SUBSTITUTE('Référentiel films'!$A$34,"’","'"),SUBSTITUTE(F12,"’","'"))),'Référentiel films'!$B$34,""),IF(ISNUMBER(SEARCH(SUBSTITUTE('Référentiel films'!$A$35,"’","'"),SUBSTITUTE(F12,"’","'"))),'Référentiel films'!$B$35,""),IF(ISNUMBER(SEARCH(SUBSTITUTE('Référentiel films'!$A$36,"’","'"),SUBSTITUTE(F12,"’","'"))),'Référentiel films'!$B$36,""),IF(ISNUMBER(SEARCH(SUBSTITUTE('Référentiel films'!$A$37,"’","'"),SUBSTITUTE(F12,"’","'"))),'Référentiel films'!$B$37,""),IF(ISNUMBER(SEARCH(SUBSTITUTE('Référentiel films'!$A$38,"’","'"),SUBSTITUTE(F12,"’","'"))),'Référentiel films'!$B$38,""),IF(ISNUMBER(SEARCH(SUBSTITUTE('Référentiel films'!$A$39,"’","'"),SUBSTITUTE(F12,"’","'"))),'Référentiel films'!$B$39,""),IF(ISNUMBER(SEARCH(SUBSTITUTE('Référentiel films'!$A$40,"’","'"),SUBSTITUTE(F12,"’","'"))),'Référentiel films'!$B$40,""),IF(ISNUMBER(SEARCH(SUBSTITUTE('Référentiel films'!$A$41,"’","'"),SUBSTITUTE(F12,"’","'"))),'Référentiel films'!$B$41,"")))</f>
        <v/>
      </c>
    </row>
    <row r="13" spans="1:21" ht="224" customHeight="1" x14ac:dyDescent="0.2">
      <c r="A13" s="1">
        <v>1956</v>
      </c>
      <c r="B13" s="1" t="s">
        <v>259</v>
      </c>
      <c r="C13" s="1" t="s">
        <v>297</v>
      </c>
      <c r="D13" s="14" t="s">
        <v>298</v>
      </c>
      <c r="E13" s="1" t="s">
        <v>299</v>
      </c>
      <c r="F13" s="1"/>
      <c r="G13" s="12"/>
      <c r="H13" s="13" t="s">
        <v>62</v>
      </c>
      <c r="I13" s="12"/>
      <c r="J13" s="12"/>
      <c r="K13" s="12"/>
      <c r="L13" s="12"/>
      <c r="M13" s="12" t="s">
        <v>52</v>
      </c>
      <c r="N13" s="12" t="s">
        <v>251</v>
      </c>
      <c r="O13" s="12"/>
      <c r="P13" s="12"/>
      <c r="Q13" s="12"/>
      <c r="R13" s="12"/>
      <c r="S13" s="12"/>
      <c r="T13" s="12"/>
      <c r="U13" s="2" t="str">
        <f>IF(F13="","",_xlfn.TEXTJOIN("; ",TRUE(),IF(ISNUMBER(SEARCH(SUBSTITUTE('Référentiel films'!$A$2,"’","'"),SUBSTITUTE(F13,"’","'"))),'Référentiel films'!$B$2,""),IF(ISNUMBER(SEARCH(SUBSTITUTE('Référentiel films'!$A$3,"’","'"),SUBSTITUTE(F13,"’","'"))),'Référentiel films'!$B$3,""),IF(ISNUMBER(SEARCH(SUBSTITUTE('Référentiel films'!$A$4,"’","'"),SUBSTITUTE(F13,"’","'"))),'Référentiel films'!$B$4,""),IF(ISNUMBER(SEARCH(SUBSTITUTE('Référentiel films'!$A$5,"’","'"),SUBSTITUTE(F13,"’","'"))),'Référentiel films'!$B$5,""),IF(ISNUMBER(SEARCH(SUBSTITUTE('Référentiel films'!$A$6,"’","'"),SUBSTITUTE(F13,"’","'"))),'Référentiel films'!$B$6,""),IF(ISNUMBER(SEARCH(SUBSTITUTE('Référentiel films'!$A$7,"’","'"),SUBSTITUTE(F13,"’","'"))),'Référentiel films'!$B$7,""),IF(ISNUMBER(SEARCH(SUBSTITUTE('Référentiel films'!$A$8,"’","'"),SUBSTITUTE(F13,"’","'"))),'Référentiel films'!$B$8,""),IF(ISNUMBER(SEARCH(SUBSTITUTE('Référentiel films'!$A$9,"’","'"),SUBSTITUTE(F13,"’","'"))),'Référentiel films'!$B$9,""),IF(ISNUMBER(SEARCH(SUBSTITUTE('Référentiel films'!$A$10,"’","'"),SUBSTITUTE(F13,"’","'"))),'Référentiel films'!$B$10,""),IF(ISNUMBER(SEARCH(SUBSTITUTE('Référentiel films'!$A$11,"’","'"),SUBSTITUTE(F13,"’","'"))),'Référentiel films'!$B$11,""),IF(ISNUMBER(SEARCH(SUBSTITUTE('Référentiel films'!$A$12,"’","'"),SUBSTITUTE(F13,"’","'"))),'Référentiel films'!$B$12,""),IF(ISNUMBER(SEARCH(SUBSTITUTE('Référentiel films'!$A$13,"’","'"),SUBSTITUTE(F13,"’","'"))),'Référentiel films'!$B$13,""),IF(ISNUMBER(SEARCH(SUBSTITUTE('Référentiel films'!$A$14,"’","'"),SUBSTITUTE(F13,"’","'"))),'Référentiel films'!$B$14,""),IF(ISNUMBER(SEARCH(SUBSTITUTE('Référentiel films'!$A$15,"’","'"),SUBSTITUTE(F13,"’","'"))),'Référentiel films'!$B$15,""),IF(ISNUMBER(SEARCH(SUBSTITUTE('Référentiel films'!$A$16,"’","'"),SUBSTITUTE(F13,"’","'"))),'Référentiel films'!$B$16,""),IF(ISNUMBER(SEARCH(SUBSTITUTE('Référentiel films'!$A$17,"’","'"),SUBSTITUTE(F13,"’","'"))),'Référentiel films'!$B$17,""),IF(ISNUMBER(SEARCH(SUBSTITUTE('Référentiel films'!$A$18,"’","'"),SUBSTITUTE(F13,"’","'"))),'Référentiel films'!$B$18,""),IF(ISNUMBER(SEARCH(SUBSTITUTE('Référentiel films'!$A$19,"’","'"),SUBSTITUTE(F13,"’","'"))),'Référentiel films'!$B$19,""),IF(ISNUMBER(SEARCH(SUBSTITUTE('Référentiel films'!$A$20,"’","'"),SUBSTITUTE(F13,"’","'"))),'Référentiel films'!$B$20,""),IF(ISNUMBER(SEARCH(SUBSTITUTE('Référentiel films'!$A$21,"’","'"),SUBSTITUTE(F13,"’","'"))),'Référentiel films'!$B$21,""),IF(ISNUMBER(SEARCH(SUBSTITUTE('Référentiel films'!$A$22,"’","'"),SUBSTITUTE(F13,"’","'"))),'Référentiel films'!$B$22,""),IF(ISNUMBER(SEARCH(SUBSTITUTE('Référentiel films'!$A$23,"’","'"),SUBSTITUTE(F13,"’","'"))),'Référentiel films'!$B$23,""),IF(ISNUMBER(SEARCH(SUBSTITUTE('Référentiel films'!$A$24,"’","'"),SUBSTITUTE(F13,"’","'"))),'Référentiel films'!$B$24,""),IF(ISNUMBER(SEARCH(SUBSTITUTE('Référentiel films'!$A$25,"’","'"),SUBSTITUTE(F13,"’","'"))),'Référentiel films'!$B$25,""),IF(ISNUMBER(SEARCH(SUBSTITUTE('Référentiel films'!$A$26,"’","'"),SUBSTITUTE(F13,"’","'"))),'Référentiel films'!$B$26,""),IF(ISNUMBER(SEARCH(SUBSTITUTE('Référentiel films'!$A$27,"’","'"),SUBSTITUTE(F13,"’","'"))),'Référentiel films'!$B$27,""),IF(ISNUMBER(SEARCH(SUBSTITUTE('Référentiel films'!$A$28,"’","'"),SUBSTITUTE(F13,"’","'"))),'Référentiel films'!$B$28,""),IF(ISNUMBER(SEARCH(SUBSTITUTE('Référentiel films'!$A$29,"’","'"),SUBSTITUTE(F13,"’","'"))),'Référentiel films'!$B$29,""),IF(ISNUMBER(SEARCH(SUBSTITUTE('Référentiel films'!$A$30,"’","'"),SUBSTITUTE(F13,"’","'"))),'Référentiel films'!$B$30,""),IF(ISNUMBER(SEARCH(SUBSTITUTE('Référentiel films'!$A$31,"’","'"),SUBSTITUTE(F13,"’","'"))),'Référentiel films'!$B$31,""),IF(ISNUMBER(SEARCH(SUBSTITUTE('Référentiel films'!$A$32,"’","'"),SUBSTITUTE(F13,"’","'"))),'Référentiel films'!$B$32,""),IF(ISNUMBER(SEARCH(SUBSTITUTE('Référentiel films'!$A$33,"’","'"),SUBSTITUTE(F13,"’","'"))),'Référentiel films'!$B$33,""),IF(ISNUMBER(SEARCH(SUBSTITUTE('Référentiel films'!$A$34,"’","'"),SUBSTITUTE(F13,"’","'"))),'Référentiel films'!$B$34,""),IF(ISNUMBER(SEARCH(SUBSTITUTE('Référentiel films'!$A$35,"’","'"),SUBSTITUTE(F13,"’","'"))),'Référentiel films'!$B$35,""),IF(ISNUMBER(SEARCH(SUBSTITUTE('Référentiel films'!$A$36,"’","'"),SUBSTITUTE(F13,"’","'"))),'Référentiel films'!$B$36,""),IF(ISNUMBER(SEARCH(SUBSTITUTE('Référentiel films'!$A$37,"’","'"),SUBSTITUTE(F13,"’","'"))),'Référentiel films'!$B$37,""),IF(ISNUMBER(SEARCH(SUBSTITUTE('Référentiel films'!$A$38,"’","'"),SUBSTITUTE(F13,"’","'"))),'Référentiel films'!$B$38,""),IF(ISNUMBER(SEARCH(SUBSTITUTE('Référentiel films'!$A$39,"’","'"),SUBSTITUTE(F13,"’","'"))),'Référentiel films'!$B$39,""),IF(ISNUMBER(SEARCH(SUBSTITUTE('Référentiel films'!$A$40,"’","'"),SUBSTITUTE(F13,"’","'"))),'Référentiel films'!$B$40,""),IF(ISNUMBER(SEARCH(SUBSTITUTE('Référentiel films'!$A$41,"’","'"),SUBSTITUTE(F13,"’","'"))),'Référentiel films'!$B$41,"")))</f>
        <v/>
      </c>
    </row>
    <row r="14" spans="1:21" ht="336" customHeight="1" x14ac:dyDescent="0.2">
      <c r="A14" s="1">
        <v>1957</v>
      </c>
      <c r="B14" s="1" t="s">
        <v>259</v>
      </c>
      <c r="C14" s="1" t="s">
        <v>216</v>
      </c>
      <c r="D14" s="14" t="s">
        <v>300</v>
      </c>
      <c r="E14" s="1"/>
      <c r="F14" s="1"/>
      <c r="G14" s="12"/>
      <c r="H14" s="13"/>
      <c r="I14" s="12"/>
      <c r="J14" s="12"/>
      <c r="K14" s="12"/>
      <c r="L14" s="12"/>
      <c r="M14" s="12" t="s">
        <v>52</v>
      </c>
      <c r="N14" s="12" t="s">
        <v>251</v>
      </c>
      <c r="O14" s="12"/>
      <c r="P14" s="12"/>
      <c r="Q14" s="12"/>
      <c r="R14" s="12"/>
      <c r="S14" s="12"/>
      <c r="T14" s="12"/>
      <c r="U14" s="2" t="str">
        <f>IF(F14="","",_xlfn.TEXTJOIN("; ",TRUE(),IF(ISNUMBER(SEARCH(SUBSTITUTE('Référentiel films'!$A$2,"’","'"),SUBSTITUTE(F14,"’","'"))),'Référentiel films'!$B$2,""),IF(ISNUMBER(SEARCH(SUBSTITUTE('Référentiel films'!$A$3,"’","'"),SUBSTITUTE(F14,"’","'"))),'Référentiel films'!$B$3,""),IF(ISNUMBER(SEARCH(SUBSTITUTE('Référentiel films'!$A$4,"’","'"),SUBSTITUTE(F14,"’","'"))),'Référentiel films'!$B$4,""),IF(ISNUMBER(SEARCH(SUBSTITUTE('Référentiel films'!$A$5,"’","'"),SUBSTITUTE(F14,"’","'"))),'Référentiel films'!$B$5,""),IF(ISNUMBER(SEARCH(SUBSTITUTE('Référentiel films'!$A$6,"’","'"),SUBSTITUTE(F14,"’","'"))),'Référentiel films'!$B$6,""),IF(ISNUMBER(SEARCH(SUBSTITUTE('Référentiel films'!$A$7,"’","'"),SUBSTITUTE(F14,"’","'"))),'Référentiel films'!$B$7,""),IF(ISNUMBER(SEARCH(SUBSTITUTE('Référentiel films'!$A$8,"’","'"),SUBSTITUTE(F14,"’","'"))),'Référentiel films'!$B$8,""),IF(ISNUMBER(SEARCH(SUBSTITUTE('Référentiel films'!$A$9,"’","'"),SUBSTITUTE(F14,"’","'"))),'Référentiel films'!$B$9,""),IF(ISNUMBER(SEARCH(SUBSTITUTE('Référentiel films'!$A$10,"’","'"),SUBSTITUTE(F14,"’","'"))),'Référentiel films'!$B$10,""),IF(ISNUMBER(SEARCH(SUBSTITUTE('Référentiel films'!$A$11,"’","'"),SUBSTITUTE(F14,"’","'"))),'Référentiel films'!$B$11,""),IF(ISNUMBER(SEARCH(SUBSTITUTE('Référentiel films'!$A$12,"’","'"),SUBSTITUTE(F14,"’","'"))),'Référentiel films'!$B$12,""),IF(ISNUMBER(SEARCH(SUBSTITUTE('Référentiel films'!$A$13,"’","'"),SUBSTITUTE(F14,"’","'"))),'Référentiel films'!$B$13,""),IF(ISNUMBER(SEARCH(SUBSTITUTE('Référentiel films'!$A$14,"’","'"),SUBSTITUTE(F14,"’","'"))),'Référentiel films'!$B$14,""),IF(ISNUMBER(SEARCH(SUBSTITUTE('Référentiel films'!$A$15,"’","'"),SUBSTITUTE(F14,"’","'"))),'Référentiel films'!$B$15,""),IF(ISNUMBER(SEARCH(SUBSTITUTE('Référentiel films'!$A$16,"’","'"),SUBSTITUTE(F14,"’","'"))),'Référentiel films'!$B$16,""),IF(ISNUMBER(SEARCH(SUBSTITUTE('Référentiel films'!$A$17,"’","'"),SUBSTITUTE(F14,"’","'"))),'Référentiel films'!$B$17,""),IF(ISNUMBER(SEARCH(SUBSTITUTE('Référentiel films'!$A$18,"’","'"),SUBSTITUTE(F14,"’","'"))),'Référentiel films'!$B$18,""),IF(ISNUMBER(SEARCH(SUBSTITUTE('Référentiel films'!$A$19,"’","'"),SUBSTITUTE(F14,"’","'"))),'Référentiel films'!$B$19,""),IF(ISNUMBER(SEARCH(SUBSTITUTE('Référentiel films'!$A$20,"’","'"),SUBSTITUTE(F14,"’","'"))),'Référentiel films'!$B$20,""),IF(ISNUMBER(SEARCH(SUBSTITUTE('Référentiel films'!$A$21,"’","'"),SUBSTITUTE(F14,"’","'"))),'Référentiel films'!$B$21,""),IF(ISNUMBER(SEARCH(SUBSTITUTE('Référentiel films'!$A$22,"’","'"),SUBSTITUTE(F14,"’","'"))),'Référentiel films'!$B$22,""),IF(ISNUMBER(SEARCH(SUBSTITUTE('Référentiel films'!$A$23,"’","'"),SUBSTITUTE(F14,"’","'"))),'Référentiel films'!$B$23,""),IF(ISNUMBER(SEARCH(SUBSTITUTE('Référentiel films'!$A$24,"’","'"),SUBSTITUTE(F14,"’","'"))),'Référentiel films'!$B$24,""),IF(ISNUMBER(SEARCH(SUBSTITUTE('Référentiel films'!$A$25,"’","'"),SUBSTITUTE(F14,"’","'"))),'Référentiel films'!$B$25,""),IF(ISNUMBER(SEARCH(SUBSTITUTE('Référentiel films'!$A$26,"’","'"),SUBSTITUTE(F14,"’","'"))),'Référentiel films'!$B$26,""),IF(ISNUMBER(SEARCH(SUBSTITUTE('Référentiel films'!$A$27,"’","'"),SUBSTITUTE(F14,"’","'"))),'Référentiel films'!$B$27,""),IF(ISNUMBER(SEARCH(SUBSTITUTE('Référentiel films'!$A$28,"’","'"),SUBSTITUTE(F14,"’","'"))),'Référentiel films'!$B$28,""),IF(ISNUMBER(SEARCH(SUBSTITUTE('Référentiel films'!$A$29,"’","'"),SUBSTITUTE(F14,"’","'"))),'Référentiel films'!$B$29,""),IF(ISNUMBER(SEARCH(SUBSTITUTE('Référentiel films'!$A$30,"’","'"),SUBSTITUTE(F14,"’","'"))),'Référentiel films'!$B$30,""),IF(ISNUMBER(SEARCH(SUBSTITUTE('Référentiel films'!$A$31,"’","'"),SUBSTITUTE(F14,"’","'"))),'Référentiel films'!$B$31,""),IF(ISNUMBER(SEARCH(SUBSTITUTE('Référentiel films'!$A$32,"’","'"),SUBSTITUTE(F14,"’","'"))),'Référentiel films'!$B$32,""),IF(ISNUMBER(SEARCH(SUBSTITUTE('Référentiel films'!$A$33,"’","'"),SUBSTITUTE(F14,"’","'"))),'Référentiel films'!$B$33,""),IF(ISNUMBER(SEARCH(SUBSTITUTE('Référentiel films'!$A$34,"’","'"),SUBSTITUTE(F14,"’","'"))),'Référentiel films'!$B$34,""),IF(ISNUMBER(SEARCH(SUBSTITUTE('Référentiel films'!$A$35,"’","'"),SUBSTITUTE(F14,"’","'"))),'Référentiel films'!$B$35,""),IF(ISNUMBER(SEARCH(SUBSTITUTE('Référentiel films'!$A$36,"’","'"),SUBSTITUTE(F14,"’","'"))),'Référentiel films'!$B$36,""),IF(ISNUMBER(SEARCH(SUBSTITUTE('Référentiel films'!$A$37,"’","'"),SUBSTITUTE(F14,"’","'"))),'Référentiel films'!$B$37,""),IF(ISNUMBER(SEARCH(SUBSTITUTE('Référentiel films'!$A$38,"’","'"),SUBSTITUTE(F14,"’","'"))),'Référentiel films'!$B$38,""),IF(ISNUMBER(SEARCH(SUBSTITUTE('Référentiel films'!$A$39,"’","'"),SUBSTITUTE(F14,"’","'"))),'Référentiel films'!$B$39,""),IF(ISNUMBER(SEARCH(SUBSTITUTE('Référentiel films'!$A$40,"’","'"),SUBSTITUTE(F14,"’","'"))),'Référentiel films'!$B$40,""),IF(ISNUMBER(SEARCH(SUBSTITUTE('Référentiel films'!$A$41,"’","'"),SUBSTITUTE(F14,"’","'"))),'Référentiel films'!$B$41,"")))</f>
        <v/>
      </c>
    </row>
    <row r="15" spans="1:21" ht="272" customHeight="1" x14ac:dyDescent="0.2">
      <c r="A15" s="1">
        <v>1959</v>
      </c>
      <c r="B15" s="1" t="s">
        <v>259</v>
      </c>
      <c r="C15" s="1" t="s">
        <v>198</v>
      </c>
      <c r="D15" s="1" t="s">
        <v>210</v>
      </c>
      <c r="E15" s="14" t="s">
        <v>63</v>
      </c>
      <c r="F15" s="1"/>
      <c r="G15" s="12" t="s">
        <v>301</v>
      </c>
      <c r="H15" s="12"/>
      <c r="I15" s="12"/>
      <c r="J15" s="12"/>
      <c r="K15" s="12"/>
      <c r="L15" s="12"/>
      <c r="M15" s="12" t="s">
        <v>52</v>
      </c>
      <c r="N15" s="12" t="s">
        <v>251</v>
      </c>
      <c r="O15" s="12"/>
      <c r="P15" s="12"/>
      <c r="Q15" s="12"/>
      <c r="R15" s="12"/>
      <c r="S15" s="12"/>
      <c r="T15" s="12"/>
      <c r="U15" s="2" t="str">
        <f>IF(F15="","",_xlfn.TEXTJOIN("; ",TRUE(),IF(ISNUMBER(SEARCH(SUBSTITUTE('Référentiel films'!$A$2,"’","'"),SUBSTITUTE(F15,"’","'"))),'Référentiel films'!$B$2,""),IF(ISNUMBER(SEARCH(SUBSTITUTE('Référentiel films'!$A$3,"’","'"),SUBSTITUTE(F15,"’","'"))),'Référentiel films'!$B$3,""),IF(ISNUMBER(SEARCH(SUBSTITUTE('Référentiel films'!$A$4,"’","'"),SUBSTITUTE(F15,"’","'"))),'Référentiel films'!$B$4,""),IF(ISNUMBER(SEARCH(SUBSTITUTE('Référentiel films'!$A$5,"’","'"),SUBSTITUTE(F15,"’","'"))),'Référentiel films'!$B$5,""),IF(ISNUMBER(SEARCH(SUBSTITUTE('Référentiel films'!$A$6,"’","'"),SUBSTITUTE(F15,"’","'"))),'Référentiel films'!$B$6,""),IF(ISNUMBER(SEARCH(SUBSTITUTE('Référentiel films'!$A$7,"’","'"),SUBSTITUTE(F15,"’","'"))),'Référentiel films'!$B$7,""),IF(ISNUMBER(SEARCH(SUBSTITUTE('Référentiel films'!$A$8,"’","'"),SUBSTITUTE(F15,"’","'"))),'Référentiel films'!$B$8,""),IF(ISNUMBER(SEARCH(SUBSTITUTE('Référentiel films'!$A$9,"’","'"),SUBSTITUTE(F15,"’","'"))),'Référentiel films'!$B$9,""),IF(ISNUMBER(SEARCH(SUBSTITUTE('Référentiel films'!$A$10,"’","'"),SUBSTITUTE(F15,"’","'"))),'Référentiel films'!$B$10,""),IF(ISNUMBER(SEARCH(SUBSTITUTE('Référentiel films'!$A$11,"’","'"),SUBSTITUTE(F15,"’","'"))),'Référentiel films'!$B$11,""),IF(ISNUMBER(SEARCH(SUBSTITUTE('Référentiel films'!$A$12,"’","'"),SUBSTITUTE(F15,"’","'"))),'Référentiel films'!$B$12,""),IF(ISNUMBER(SEARCH(SUBSTITUTE('Référentiel films'!$A$13,"’","'"),SUBSTITUTE(F15,"’","'"))),'Référentiel films'!$B$13,""),IF(ISNUMBER(SEARCH(SUBSTITUTE('Référentiel films'!$A$14,"’","'"),SUBSTITUTE(F15,"’","'"))),'Référentiel films'!$B$14,""),IF(ISNUMBER(SEARCH(SUBSTITUTE('Référentiel films'!$A$15,"’","'"),SUBSTITUTE(F15,"’","'"))),'Référentiel films'!$B$15,""),IF(ISNUMBER(SEARCH(SUBSTITUTE('Référentiel films'!$A$16,"’","'"),SUBSTITUTE(F15,"’","'"))),'Référentiel films'!$B$16,""),IF(ISNUMBER(SEARCH(SUBSTITUTE('Référentiel films'!$A$17,"’","'"),SUBSTITUTE(F15,"’","'"))),'Référentiel films'!$B$17,""),IF(ISNUMBER(SEARCH(SUBSTITUTE('Référentiel films'!$A$18,"’","'"),SUBSTITUTE(F15,"’","'"))),'Référentiel films'!$B$18,""),IF(ISNUMBER(SEARCH(SUBSTITUTE('Référentiel films'!$A$19,"’","'"),SUBSTITUTE(F15,"’","'"))),'Référentiel films'!$B$19,""),IF(ISNUMBER(SEARCH(SUBSTITUTE('Référentiel films'!$A$20,"’","'"),SUBSTITUTE(F15,"’","'"))),'Référentiel films'!$B$20,""),IF(ISNUMBER(SEARCH(SUBSTITUTE('Référentiel films'!$A$21,"’","'"),SUBSTITUTE(F15,"’","'"))),'Référentiel films'!$B$21,""),IF(ISNUMBER(SEARCH(SUBSTITUTE('Référentiel films'!$A$22,"’","'"),SUBSTITUTE(F15,"’","'"))),'Référentiel films'!$B$22,""),IF(ISNUMBER(SEARCH(SUBSTITUTE('Référentiel films'!$A$23,"’","'"),SUBSTITUTE(F15,"’","'"))),'Référentiel films'!$B$23,""),IF(ISNUMBER(SEARCH(SUBSTITUTE('Référentiel films'!$A$24,"’","'"),SUBSTITUTE(F15,"’","'"))),'Référentiel films'!$B$24,""),IF(ISNUMBER(SEARCH(SUBSTITUTE('Référentiel films'!$A$25,"’","'"),SUBSTITUTE(F15,"’","'"))),'Référentiel films'!$B$25,""),IF(ISNUMBER(SEARCH(SUBSTITUTE('Référentiel films'!$A$26,"’","'"),SUBSTITUTE(F15,"’","'"))),'Référentiel films'!$B$26,""),IF(ISNUMBER(SEARCH(SUBSTITUTE('Référentiel films'!$A$27,"’","'"),SUBSTITUTE(F15,"’","'"))),'Référentiel films'!$B$27,""),IF(ISNUMBER(SEARCH(SUBSTITUTE('Référentiel films'!$A$28,"’","'"),SUBSTITUTE(F15,"’","'"))),'Référentiel films'!$B$28,""),IF(ISNUMBER(SEARCH(SUBSTITUTE('Référentiel films'!$A$29,"’","'"),SUBSTITUTE(F15,"’","'"))),'Référentiel films'!$B$29,""),IF(ISNUMBER(SEARCH(SUBSTITUTE('Référentiel films'!$A$30,"’","'"),SUBSTITUTE(F15,"’","'"))),'Référentiel films'!$B$30,""),IF(ISNUMBER(SEARCH(SUBSTITUTE('Référentiel films'!$A$31,"’","'"),SUBSTITUTE(F15,"’","'"))),'Référentiel films'!$B$31,""),IF(ISNUMBER(SEARCH(SUBSTITUTE('Référentiel films'!$A$32,"’","'"),SUBSTITUTE(F15,"’","'"))),'Référentiel films'!$B$32,""),IF(ISNUMBER(SEARCH(SUBSTITUTE('Référentiel films'!$A$33,"’","'"),SUBSTITUTE(F15,"’","'"))),'Référentiel films'!$B$33,""),IF(ISNUMBER(SEARCH(SUBSTITUTE('Référentiel films'!$A$34,"’","'"),SUBSTITUTE(F15,"’","'"))),'Référentiel films'!$B$34,""),IF(ISNUMBER(SEARCH(SUBSTITUTE('Référentiel films'!$A$35,"’","'"),SUBSTITUTE(F15,"’","'"))),'Référentiel films'!$B$35,""),IF(ISNUMBER(SEARCH(SUBSTITUTE('Référentiel films'!$A$36,"’","'"),SUBSTITUTE(F15,"’","'"))),'Référentiel films'!$B$36,""),IF(ISNUMBER(SEARCH(SUBSTITUTE('Référentiel films'!$A$37,"’","'"),SUBSTITUTE(F15,"’","'"))),'Référentiel films'!$B$37,""),IF(ISNUMBER(SEARCH(SUBSTITUTE('Référentiel films'!$A$38,"’","'"),SUBSTITUTE(F15,"’","'"))),'Référentiel films'!$B$38,""),IF(ISNUMBER(SEARCH(SUBSTITUTE('Référentiel films'!$A$39,"’","'"),SUBSTITUTE(F15,"’","'"))),'Référentiel films'!$B$39,""),IF(ISNUMBER(SEARCH(SUBSTITUTE('Référentiel films'!$A$40,"’","'"),SUBSTITUTE(F15,"’","'"))),'Référentiel films'!$B$40,""),IF(ISNUMBER(SEARCH(SUBSTITUTE('Référentiel films'!$A$41,"’","'"),SUBSTITUTE(F15,"’","'"))),'Référentiel films'!$B$41,"")))</f>
        <v/>
      </c>
    </row>
    <row r="16" spans="1:21" ht="256" customHeight="1" x14ac:dyDescent="0.2">
      <c r="A16" s="1">
        <v>1960</v>
      </c>
      <c r="B16" s="1" t="s">
        <v>259</v>
      </c>
      <c r="C16" s="1" t="s">
        <v>302</v>
      </c>
      <c r="D16" s="1" t="s">
        <v>211</v>
      </c>
      <c r="E16" s="1" t="s">
        <v>64</v>
      </c>
      <c r="F16" s="1"/>
      <c r="G16" s="12"/>
      <c r="H16" s="12"/>
      <c r="I16" s="12"/>
      <c r="J16" s="12"/>
      <c r="K16" s="12"/>
      <c r="L16" s="12"/>
      <c r="M16" s="12" t="s">
        <v>52</v>
      </c>
      <c r="N16" s="12" t="s">
        <v>251</v>
      </c>
      <c r="O16" s="12"/>
      <c r="P16" s="12"/>
      <c r="Q16" s="12"/>
      <c r="R16" s="12"/>
      <c r="S16" s="12"/>
      <c r="T16" s="12"/>
      <c r="U16" s="2" t="str">
        <f>IF(F16="","",_xlfn.TEXTJOIN("; ",TRUE(),IF(ISNUMBER(SEARCH(SUBSTITUTE('Référentiel films'!$A$2,"’","'"),SUBSTITUTE(F16,"’","'"))),'Référentiel films'!$B$2,""),IF(ISNUMBER(SEARCH(SUBSTITUTE('Référentiel films'!$A$3,"’","'"),SUBSTITUTE(F16,"’","'"))),'Référentiel films'!$B$3,""),IF(ISNUMBER(SEARCH(SUBSTITUTE('Référentiel films'!$A$4,"’","'"),SUBSTITUTE(F16,"’","'"))),'Référentiel films'!$B$4,""),IF(ISNUMBER(SEARCH(SUBSTITUTE('Référentiel films'!$A$5,"’","'"),SUBSTITUTE(F16,"’","'"))),'Référentiel films'!$B$5,""),IF(ISNUMBER(SEARCH(SUBSTITUTE('Référentiel films'!$A$6,"’","'"),SUBSTITUTE(F16,"’","'"))),'Référentiel films'!$B$6,""),IF(ISNUMBER(SEARCH(SUBSTITUTE('Référentiel films'!$A$7,"’","'"),SUBSTITUTE(F16,"’","'"))),'Référentiel films'!$B$7,""),IF(ISNUMBER(SEARCH(SUBSTITUTE('Référentiel films'!$A$8,"’","'"),SUBSTITUTE(F16,"’","'"))),'Référentiel films'!$B$8,""),IF(ISNUMBER(SEARCH(SUBSTITUTE('Référentiel films'!$A$9,"’","'"),SUBSTITUTE(F16,"’","'"))),'Référentiel films'!$B$9,""),IF(ISNUMBER(SEARCH(SUBSTITUTE('Référentiel films'!$A$10,"’","'"),SUBSTITUTE(F16,"’","'"))),'Référentiel films'!$B$10,""),IF(ISNUMBER(SEARCH(SUBSTITUTE('Référentiel films'!$A$11,"’","'"),SUBSTITUTE(F16,"’","'"))),'Référentiel films'!$B$11,""),IF(ISNUMBER(SEARCH(SUBSTITUTE('Référentiel films'!$A$12,"’","'"),SUBSTITUTE(F16,"’","'"))),'Référentiel films'!$B$12,""),IF(ISNUMBER(SEARCH(SUBSTITUTE('Référentiel films'!$A$13,"’","'"),SUBSTITUTE(F16,"’","'"))),'Référentiel films'!$B$13,""),IF(ISNUMBER(SEARCH(SUBSTITUTE('Référentiel films'!$A$14,"’","'"),SUBSTITUTE(F16,"’","'"))),'Référentiel films'!$B$14,""),IF(ISNUMBER(SEARCH(SUBSTITUTE('Référentiel films'!$A$15,"’","'"),SUBSTITUTE(F16,"’","'"))),'Référentiel films'!$B$15,""),IF(ISNUMBER(SEARCH(SUBSTITUTE('Référentiel films'!$A$16,"’","'"),SUBSTITUTE(F16,"’","'"))),'Référentiel films'!$B$16,""),IF(ISNUMBER(SEARCH(SUBSTITUTE('Référentiel films'!$A$17,"’","'"),SUBSTITUTE(F16,"’","'"))),'Référentiel films'!$B$17,""),IF(ISNUMBER(SEARCH(SUBSTITUTE('Référentiel films'!$A$18,"’","'"),SUBSTITUTE(F16,"’","'"))),'Référentiel films'!$B$18,""),IF(ISNUMBER(SEARCH(SUBSTITUTE('Référentiel films'!$A$19,"’","'"),SUBSTITUTE(F16,"’","'"))),'Référentiel films'!$B$19,""),IF(ISNUMBER(SEARCH(SUBSTITUTE('Référentiel films'!$A$20,"’","'"),SUBSTITUTE(F16,"’","'"))),'Référentiel films'!$B$20,""),IF(ISNUMBER(SEARCH(SUBSTITUTE('Référentiel films'!$A$21,"’","'"),SUBSTITUTE(F16,"’","'"))),'Référentiel films'!$B$21,""),IF(ISNUMBER(SEARCH(SUBSTITUTE('Référentiel films'!$A$22,"’","'"),SUBSTITUTE(F16,"’","'"))),'Référentiel films'!$B$22,""),IF(ISNUMBER(SEARCH(SUBSTITUTE('Référentiel films'!$A$23,"’","'"),SUBSTITUTE(F16,"’","'"))),'Référentiel films'!$B$23,""),IF(ISNUMBER(SEARCH(SUBSTITUTE('Référentiel films'!$A$24,"’","'"),SUBSTITUTE(F16,"’","'"))),'Référentiel films'!$B$24,""),IF(ISNUMBER(SEARCH(SUBSTITUTE('Référentiel films'!$A$25,"’","'"),SUBSTITUTE(F16,"’","'"))),'Référentiel films'!$B$25,""),IF(ISNUMBER(SEARCH(SUBSTITUTE('Référentiel films'!$A$26,"’","'"),SUBSTITUTE(F16,"’","'"))),'Référentiel films'!$B$26,""),IF(ISNUMBER(SEARCH(SUBSTITUTE('Référentiel films'!$A$27,"’","'"),SUBSTITUTE(F16,"’","'"))),'Référentiel films'!$B$27,""),IF(ISNUMBER(SEARCH(SUBSTITUTE('Référentiel films'!$A$28,"’","'"),SUBSTITUTE(F16,"’","'"))),'Référentiel films'!$B$28,""),IF(ISNUMBER(SEARCH(SUBSTITUTE('Référentiel films'!$A$29,"’","'"),SUBSTITUTE(F16,"’","'"))),'Référentiel films'!$B$29,""),IF(ISNUMBER(SEARCH(SUBSTITUTE('Référentiel films'!$A$30,"’","'"),SUBSTITUTE(F16,"’","'"))),'Référentiel films'!$B$30,""),IF(ISNUMBER(SEARCH(SUBSTITUTE('Référentiel films'!$A$31,"’","'"),SUBSTITUTE(F16,"’","'"))),'Référentiel films'!$B$31,""),IF(ISNUMBER(SEARCH(SUBSTITUTE('Référentiel films'!$A$32,"’","'"),SUBSTITUTE(F16,"’","'"))),'Référentiel films'!$B$32,""),IF(ISNUMBER(SEARCH(SUBSTITUTE('Référentiel films'!$A$33,"’","'"),SUBSTITUTE(F16,"’","'"))),'Référentiel films'!$B$33,""),IF(ISNUMBER(SEARCH(SUBSTITUTE('Référentiel films'!$A$34,"’","'"),SUBSTITUTE(F16,"’","'"))),'Référentiel films'!$B$34,""),IF(ISNUMBER(SEARCH(SUBSTITUTE('Référentiel films'!$A$35,"’","'"),SUBSTITUTE(F16,"’","'"))),'Référentiel films'!$B$35,""),IF(ISNUMBER(SEARCH(SUBSTITUTE('Référentiel films'!$A$36,"’","'"),SUBSTITUTE(F16,"’","'"))),'Référentiel films'!$B$36,""),IF(ISNUMBER(SEARCH(SUBSTITUTE('Référentiel films'!$A$37,"’","'"),SUBSTITUTE(F16,"’","'"))),'Référentiel films'!$B$37,""),IF(ISNUMBER(SEARCH(SUBSTITUTE('Référentiel films'!$A$38,"’","'"),SUBSTITUTE(F16,"’","'"))),'Référentiel films'!$B$38,""),IF(ISNUMBER(SEARCH(SUBSTITUTE('Référentiel films'!$A$39,"’","'"),SUBSTITUTE(F16,"’","'"))),'Référentiel films'!$B$39,""),IF(ISNUMBER(SEARCH(SUBSTITUTE('Référentiel films'!$A$40,"’","'"),SUBSTITUTE(F16,"’","'"))),'Référentiel films'!$B$40,""),IF(ISNUMBER(SEARCH(SUBSTITUTE('Référentiel films'!$A$41,"’","'"),SUBSTITUTE(F16,"’","'"))),'Référentiel films'!$B$41,"")))</f>
        <v/>
      </c>
    </row>
    <row r="17" spans="1:21" ht="240" customHeight="1" x14ac:dyDescent="0.2">
      <c r="A17" s="1">
        <v>1961</v>
      </c>
      <c r="B17" s="1" t="s">
        <v>260</v>
      </c>
      <c r="C17" s="1" t="s">
        <v>303</v>
      </c>
      <c r="D17" s="12"/>
      <c r="E17" s="1" t="s">
        <v>304</v>
      </c>
      <c r="F17" s="12"/>
      <c r="G17" s="12"/>
      <c r="H17" s="12"/>
      <c r="I17" s="12"/>
      <c r="J17" s="12"/>
      <c r="K17" s="12"/>
      <c r="L17" s="12"/>
      <c r="M17" s="12" t="s">
        <v>52</v>
      </c>
      <c r="N17" s="12" t="s">
        <v>251</v>
      </c>
      <c r="O17" s="12"/>
      <c r="P17" s="12"/>
      <c r="Q17" s="12"/>
      <c r="R17" s="12"/>
      <c r="S17" s="12"/>
      <c r="T17" s="12"/>
      <c r="U17" s="2" t="str">
        <f>IF(F17="","",_xlfn.TEXTJOIN("; ",TRUE(),IF(ISNUMBER(SEARCH(SUBSTITUTE('Référentiel films'!$A$2,"’","'"),SUBSTITUTE(F17,"’","'"))),'Référentiel films'!$B$2,""),IF(ISNUMBER(SEARCH(SUBSTITUTE('Référentiel films'!$A$3,"’","'"),SUBSTITUTE(F17,"’","'"))),'Référentiel films'!$B$3,""),IF(ISNUMBER(SEARCH(SUBSTITUTE('Référentiel films'!$A$4,"’","'"),SUBSTITUTE(F17,"’","'"))),'Référentiel films'!$B$4,""),IF(ISNUMBER(SEARCH(SUBSTITUTE('Référentiel films'!$A$5,"’","'"),SUBSTITUTE(F17,"’","'"))),'Référentiel films'!$B$5,""),IF(ISNUMBER(SEARCH(SUBSTITUTE('Référentiel films'!$A$6,"’","'"),SUBSTITUTE(F17,"’","'"))),'Référentiel films'!$B$6,""),IF(ISNUMBER(SEARCH(SUBSTITUTE('Référentiel films'!$A$7,"’","'"),SUBSTITUTE(F17,"’","'"))),'Référentiel films'!$B$7,""),IF(ISNUMBER(SEARCH(SUBSTITUTE('Référentiel films'!$A$8,"’","'"),SUBSTITUTE(F17,"’","'"))),'Référentiel films'!$B$8,""),IF(ISNUMBER(SEARCH(SUBSTITUTE('Référentiel films'!$A$9,"’","'"),SUBSTITUTE(F17,"’","'"))),'Référentiel films'!$B$9,""),IF(ISNUMBER(SEARCH(SUBSTITUTE('Référentiel films'!$A$10,"’","'"),SUBSTITUTE(F17,"’","'"))),'Référentiel films'!$B$10,""),IF(ISNUMBER(SEARCH(SUBSTITUTE('Référentiel films'!$A$11,"’","'"),SUBSTITUTE(F17,"’","'"))),'Référentiel films'!$B$11,""),IF(ISNUMBER(SEARCH(SUBSTITUTE('Référentiel films'!$A$12,"’","'"),SUBSTITUTE(F17,"’","'"))),'Référentiel films'!$B$12,""),IF(ISNUMBER(SEARCH(SUBSTITUTE('Référentiel films'!$A$13,"’","'"),SUBSTITUTE(F17,"’","'"))),'Référentiel films'!$B$13,""),IF(ISNUMBER(SEARCH(SUBSTITUTE('Référentiel films'!$A$14,"’","'"),SUBSTITUTE(F17,"’","'"))),'Référentiel films'!$B$14,""),IF(ISNUMBER(SEARCH(SUBSTITUTE('Référentiel films'!$A$15,"’","'"),SUBSTITUTE(F17,"’","'"))),'Référentiel films'!$B$15,""),IF(ISNUMBER(SEARCH(SUBSTITUTE('Référentiel films'!$A$16,"’","'"),SUBSTITUTE(F17,"’","'"))),'Référentiel films'!$B$16,""),IF(ISNUMBER(SEARCH(SUBSTITUTE('Référentiel films'!$A$17,"’","'"),SUBSTITUTE(F17,"’","'"))),'Référentiel films'!$B$17,""),IF(ISNUMBER(SEARCH(SUBSTITUTE('Référentiel films'!$A$18,"’","'"),SUBSTITUTE(F17,"’","'"))),'Référentiel films'!$B$18,""),IF(ISNUMBER(SEARCH(SUBSTITUTE('Référentiel films'!$A$19,"’","'"),SUBSTITUTE(F17,"’","'"))),'Référentiel films'!$B$19,""),IF(ISNUMBER(SEARCH(SUBSTITUTE('Référentiel films'!$A$20,"’","'"),SUBSTITUTE(F17,"’","'"))),'Référentiel films'!$B$20,""),IF(ISNUMBER(SEARCH(SUBSTITUTE('Référentiel films'!$A$21,"’","'"),SUBSTITUTE(F17,"’","'"))),'Référentiel films'!$B$21,""),IF(ISNUMBER(SEARCH(SUBSTITUTE('Référentiel films'!$A$22,"’","'"),SUBSTITUTE(F17,"’","'"))),'Référentiel films'!$B$22,""),IF(ISNUMBER(SEARCH(SUBSTITUTE('Référentiel films'!$A$23,"’","'"),SUBSTITUTE(F17,"’","'"))),'Référentiel films'!$B$23,""),IF(ISNUMBER(SEARCH(SUBSTITUTE('Référentiel films'!$A$24,"’","'"),SUBSTITUTE(F17,"’","'"))),'Référentiel films'!$B$24,""),IF(ISNUMBER(SEARCH(SUBSTITUTE('Référentiel films'!$A$25,"’","'"),SUBSTITUTE(F17,"’","'"))),'Référentiel films'!$B$25,""),IF(ISNUMBER(SEARCH(SUBSTITUTE('Référentiel films'!$A$26,"’","'"),SUBSTITUTE(F17,"’","'"))),'Référentiel films'!$B$26,""),IF(ISNUMBER(SEARCH(SUBSTITUTE('Référentiel films'!$A$27,"’","'"),SUBSTITUTE(F17,"’","'"))),'Référentiel films'!$B$27,""),IF(ISNUMBER(SEARCH(SUBSTITUTE('Référentiel films'!$A$28,"’","'"),SUBSTITUTE(F17,"’","'"))),'Référentiel films'!$B$28,""),IF(ISNUMBER(SEARCH(SUBSTITUTE('Référentiel films'!$A$29,"’","'"),SUBSTITUTE(F17,"’","'"))),'Référentiel films'!$B$29,""),IF(ISNUMBER(SEARCH(SUBSTITUTE('Référentiel films'!$A$30,"’","'"),SUBSTITUTE(F17,"’","'"))),'Référentiel films'!$B$30,""),IF(ISNUMBER(SEARCH(SUBSTITUTE('Référentiel films'!$A$31,"’","'"),SUBSTITUTE(F17,"’","'"))),'Référentiel films'!$B$31,""),IF(ISNUMBER(SEARCH(SUBSTITUTE('Référentiel films'!$A$32,"’","'"),SUBSTITUTE(F17,"’","'"))),'Référentiel films'!$B$32,""),IF(ISNUMBER(SEARCH(SUBSTITUTE('Référentiel films'!$A$33,"’","'"),SUBSTITUTE(F17,"’","'"))),'Référentiel films'!$B$33,""),IF(ISNUMBER(SEARCH(SUBSTITUTE('Référentiel films'!$A$34,"’","'"),SUBSTITUTE(F17,"’","'"))),'Référentiel films'!$B$34,""),IF(ISNUMBER(SEARCH(SUBSTITUTE('Référentiel films'!$A$35,"’","'"),SUBSTITUTE(F17,"’","'"))),'Référentiel films'!$B$35,""),IF(ISNUMBER(SEARCH(SUBSTITUTE('Référentiel films'!$A$36,"’","'"),SUBSTITUTE(F17,"’","'"))),'Référentiel films'!$B$36,""),IF(ISNUMBER(SEARCH(SUBSTITUTE('Référentiel films'!$A$37,"’","'"),SUBSTITUTE(F17,"’","'"))),'Référentiel films'!$B$37,""),IF(ISNUMBER(SEARCH(SUBSTITUTE('Référentiel films'!$A$38,"’","'"),SUBSTITUTE(F17,"’","'"))),'Référentiel films'!$B$38,""),IF(ISNUMBER(SEARCH(SUBSTITUTE('Référentiel films'!$A$39,"’","'"),SUBSTITUTE(F17,"’","'"))),'Référentiel films'!$B$39,""),IF(ISNUMBER(SEARCH(SUBSTITUTE('Référentiel films'!$A$40,"’","'"),SUBSTITUTE(F17,"’","'"))),'Référentiel films'!$B$40,""),IF(ISNUMBER(SEARCH(SUBSTITUTE('Référentiel films'!$A$41,"’","'"),SUBSTITUTE(F17,"’","'"))),'Référentiel films'!$B$41,"")))</f>
        <v/>
      </c>
    </row>
    <row r="18" spans="1:21" ht="112" customHeight="1" x14ac:dyDescent="0.2">
      <c r="A18" s="1">
        <v>1962</v>
      </c>
      <c r="B18" s="1" t="s">
        <v>260</v>
      </c>
      <c r="C18" s="1"/>
      <c r="D18" s="1" t="s">
        <v>305</v>
      </c>
      <c r="E18" s="1"/>
      <c r="F18" s="1"/>
      <c r="G18" s="12"/>
      <c r="H18" s="12"/>
      <c r="I18" s="12"/>
      <c r="J18" s="12"/>
      <c r="K18" s="12"/>
      <c r="L18" s="12" t="s">
        <v>231</v>
      </c>
      <c r="M18" s="28"/>
      <c r="N18" s="28"/>
      <c r="O18" s="12"/>
      <c r="P18" s="12"/>
      <c r="Q18" s="12"/>
      <c r="R18" s="12"/>
      <c r="S18" s="12"/>
      <c r="T18" s="12"/>
      <c r="U18" s="2" t="str">
        <f>IF(F18="","",_xlfn.TEXTJOIN("; ",TRUE(),IF(ISNUMBER(SEARCH(SUBSTITUTE('Référentiel films'!$A$2,"’","'"),SUBSTITUTE(F18,"’","'"))),'Référentiel films'!$B$2,""),IF(ISNUMBER(SEARCH(SUBSTITUTE('Référentiel films'!$A$3,"’","'"),SUBSTITUTE(F18,"’","'"))),'Référentiel films'!$B$3,""),IF(ISNUMBER(SEARCH(SUBSTITUTE('Référentiel films'!$A$4,"’","'"),SUBSTITUTE(F18,"’","'"))),'Référentiel films'!$B$4,""),IF(ISNUMBER(SEARCH(SUBSTITUTE('Référentiel films'!$A$5,"’","'"),SUBSTITUTE(F18,"’","'"))),'Référentiel films'!$B$5,""),IF(ISNUMBER(SEARCH(SUBSTITUTE('Référentiel films'!$A$6,"’","'"),SUBSTITUTE(F18,"’","'"))),'Référentiel films'!$B$6,""),IF(ISNUMBER(SEARCH(SUBSTITUTE('Référentiel films'!$A$7,"’","'"),SUBSTITUTE(F18,"’","'"))),'Référentiel films'!$B$7,""),IF(ISNUMBER(SEARCH(SUBSTITUTE('Référentiel films'!$A$8,"’","'"),SUBSTITUTE(F18,"’","'"))),'Référentiel films'!$B$8,""),IF(ISNUMBER(SEARCH(SUBSTITUTE('Référentiel films'!$A$9,"’","'"),SUBSTITUTE(F18,"’","'"))),'Référentiel films'!$B$9,""),IF(ISNUMBER(SEARCH(SUBSTITUTE('Référentiel films'!$A$10,"’","'"),SUBSTITUTE(F18,"’","'"))),'Référentiel films'!$B$10,""),IF(ISNUMBER(SEARCH(SUBSTITUTE('Référentiel films'!$A$11,"’","'"),SUBSTITUTE(F18,"’","'"))),'Référentiel films'!$B$11,""),IF(ISNUMBER(SEARCH(SUBSTITUTE('Référentiel films'!$A$12,"’","'"),SUBSTITUTE(F18,"’","'"))),'Référentiel films'!$B$12,""),IF(ISNUMBER(SEARCH(SUBSTITUTE('Référentiel films'!$A$13,"’","'"),SUBSTITUTE(F18,"’","'"))),'Référentiel films'!$B$13,""),IF(ISNUMBER(SEARCH(SUBSTITUTE('Référentiel films'!$A$14,"’","'"),SUBSTITUTE(F18,"’","'"))),'Référentiel films'!$B$14,""),IF(ISNUMBER(SEARCH(SUBSTITUTE('Référentiel films'!$A$15,"’","'"),SUBSTITUTE(F18,"’","'"))),'Référentiel films'!$B$15,""),IF(ISNUMBER(SEARCH(SUBSTITUTE('Référentiel films'!$A$16,"’","'"),SUBSTITUTE(F18,"’","'"))),'Référentiel films'!$B$16,""),IF(ISNUMBER(SEARCH(SUBSTITUTE('Référentiel films'!$A$17,"’","'"),SUBSTITUTE(F18,"’","'"))),'Référentiel films'!$B$17,""),IF(ISNUMBER(SEARCH(SUBSTITUTE('Référentiel films'!$A$18,"’","'"),SUBSTITUTE(F18,"’","'"))),'Référentiel films'!$B$18,""),IF(ISNUMBER(SEARCH(SUBSTITUTE('Référentiel films'!$A$19,"’","'"),SUBSTITUTE(F18,"’","'"))),'Référentiel films'!$B$19,""),IF(ISNUMBER(SEARCH(SUBSTITUTE('Référentiel films'!$A$20,"’","'"),SUBSTITUTE(F18,"’","'"))),'Référentiel films'!$B$20,""),IF(ISNUMBER(SEARCH(SUBSTITUTE('Référentiel films'!$A$21,"’","'"),SUBSTITUTE(F18,"’","'"))),'Référentiel films'!$B$21,""),IF(ISNUMBER(SEARCH(SUBSTITUTE('Référentiel films'!$A$22,"’","'"),SUBSTITUTE(F18,"’","'"))),'Référentiel films'!$B$22,""),IF(ISNUMBER(SEARCH(SUBSTITUTE('Référentiel films'!$A$23,"’","'"),SUBSTITUTE(F18,"’","'"))),'Référentiel films'!$B$23,""),IF(ISNUMBER(SEARCH(SUBSTITUTE('Référentiel films'!$A$24,"’","'"),SUBSTITUTE(F18,"’","'"))),'Référentiel films'!$B$24,""),IF(ISNUMBER(SEARCH(SUBSTITUTE('Référentiel films'!$A$25,"’","'"),SUBSTITUTE(F18,"’","'"))),'Référentiel films'!$B$25,""),IF(ISNUMBER(SEARCH(SUBSTITUTE('Référentiel films'!$A$26,"’","'"),SUBSTITUTE(F18,"’","'"))),'Référentiel films'!$B$26,""),IF(ISNUMBER(SEARCH(SUBSTITUTE('Référentiel films'!$A$27,"’","'"),SUBSTITUTE(F18,"’","'"))),'Référentiel films'!$B$27,""),IF(ISNUMBER(SEARCH(SUBSTITUTE('Référentiel films'!$A$28,"’","'"),SUBSTITUTE(F18,"’","'"))),'Référentiel films'!$B$28,""),IF(ISNUMBER(SEARCH(SUBSTITUTE('Référentiel films'!$A$29,"’","'"),SUBSTITUTE(F18,"’","'"))),'Référentiel films'!$B$29,""),IF(ISNUMBER(SEARCH(SUBSTITUTE('Référentiel films'!$A$30,"’","'"),SUBSTITUTE(F18,"’","'"))),'Référentiel films'!$B$30,""),IF(ISNUMBER(SEARCH(SUBSTITUTE('Référentiel films'!$A$31,"’","'"),SUBSTITUTE(F18,"’","'"))),'Référentiel films'!$B$31,""),IF(ISNUMBER(SEARCH(SUBSTITUTE('Référentiel films'!$A$32,"’","'"),SUBSTITUTE(F18,"’","'"))),'Référentiel films'!$B$32,""),IF(ISNUMBER(SEARCH(SUBSTITUTE('Référentiel films'!$A$33,"’","'"),SUBSTITUTE(F18,"’","'"))),'Référentiel films'!$B$33,""),IF(ISNUMBER(SEARCH(SUBSTITUTE('Référentiel films'!$A$34,"’","'"),SUBSTITUTE(F18,"’","'"))),'Référentiel films'!$B$34,""),IF(ISNUMBER(SEARCH(SUBSTITUTE('Référentiel films'!$A$35,"’","'"),SUBSTITUTE(F18,"’","'"))),'Référentiel films'!$B$35,""),IF(ISNUMBER(SEARCH(SUBSTITUTE('Référentiel films'!$A$36,"’","'"),SUBSTITUTE(F18,"’","'"))),'Référentiel films'!$B$36,""),IF(ISNUMBER(SEARCH(SUBSTITUTE('Référentiel films'!$A$37,"’","'"),SUBSTITUTE(F18,"’","'"))),'Référentiel films'!$B$37,""),IF(ISNUMBER(SEARCH(SUBSTITUTE('Référentiel films'!$A$38,"’","'"),SUBSTITUTE(F18,"’","'"))),'Référentiel films'!$B$38,""),IF(ISNUMBER(SEARCH(SUBSTITUTE('Référentiel films'!$A$39,"’","'"),SUBSTITUTE(F18,"’","'"))),'Référentiel films'!$B$39,""),IF(ISNUMBER(SEARCH(SUBSTITUTE('Référentiel films'!$A$40,"’","'"),SUBSTITUTE(F18,"’","'"))),'Référentiel films'!$B$40,""),IF(ISNUMBER(SEARCH(SUBSTITUTE('Référentiel films'!$A$41,"’","'"),SUBSTITUTE(F18,"’","'"))),'Référentiel films'!$B$41,"")))</f>
        <v/>
      </c>
    </row>
    <row r="19" spans="1:21" ht="400" customHeight="1" x14ac:dyDescent="0.2">
      <c r="A19" s="1">
        <v>1963</v>
      </c>
      <c r="B19" s="1" t="s">
        <v>260</v>
      </c>
      <c r="C19" s="1" t="s">
        <v>306</v>
      </c>
      <c r="D19" s="14" t="s">
        <v>307</v>
      </c>
      <c r="E19" s="1" t="s">
        <v>308</v>
      </c>
      <c r="F19" s="1"/>
      <c r="G19" s="12"/>
      <c r="H19" s="13" t="s">
        <v>65</v>
      </c>
      <c r="I19" s="13" t="s">
        <v>66</v>
      </c>
      <c r="J19" s="12" t="s">
        <v>67</v>
      </c>
      <c r="K19" s="12"/>
      <c r="L19" s="12"/>
      <c r="M19" s="12" t="s">
        <v>68</v>
      </c>
      <c r="N19" s="12" t="s">
        <v>69</v>
      </c>
      <c r="O19" s="12" t="s">
        <v>52</v>
      </c>
      <c r="P19" s="12" t="s">
        <v>251</v>
      </c>
      <c r="Q19" s="12" t="s">
        <v>235</v>
      </c>
      <c r="R19" s="12" t="s">
        <v>236</v>
      </c>
      <c r="S19" s="12"/>
      <c r="T19" s="12"/>
      <c r="U19" s="2" t="str">
        <f>IF(F19="","",_xlfn.TEXTJOIN("; ",TRUE(),IF(ISNUMBER(SEARCH(SUBSTITUTE('Référentiel films'!$A$2,"’","'"),SUBSTITUTE(F19,"’","'"))),'Référentiel films'!$B$2,""),IF(ISNUMBER(SEARCH(SUBSTITUTE('Référentiel films'!$A$3,"’","'"),SUBSTITUTE(F19,"’","'"))),'Référentiel films'!$B$3,""),IF(ISNUMBER(SEARCH(SUBSTITUTE('Référentiel films'!$A$4,"’","'"),SUBSTITUTE(F19,"’","'"))),'Référentiel films'!$B$4,""),IF(ISNUMBER(SEARCH(SUBSTITUTE('Référentiel films'!$A$5,"’","'"),SUBSTITUTE(F19,"’","'"))),'Référentiel films'!$B$5,""),IF(ISNUMBER(SEARCH(SUBSTITUTE('Référentiel films'!$A$6,"’","'"),SUBSTITUTE(F19,"’","'"))),'Référentiel films'!$B$6,""),IF(ISNUMBER(SEARCH(SUBSTITUTE('Référentiel films'!$A$7,"’","'"),SUBSTITUTE(F19,"’","'"))),'Référentiel films'!$B$7,""),IF(ISNUMBER(SEARCH(SUBSTITUTE('Référentiel films'!$A$8,"’","'"),SUBSTITUTE(F19,"’","'"))),'Référentiel films'!$B$8,""),IF(ISNUMBER(SEARCH(SUBSTITUTE('Référentiel films'!$A$9,"’","'"),SUBSTITUTE(F19,"’","'"))),'Référentiel films'!$B$9,""),IF(ISNUMBER(SEARCH(SUBSTITUTE('Référentiel films'!$A$10,"’","'"),SUBSTITUTE(F19,"’","'"))),'Référentiel films'!$B$10,""),IF(ISNUMBER(SEARCH(SUBSTITUTE('Référentiel films'!$A$11,"’","'"),SUBSTITUTE(F19,"’","'"))),'Référentiel films'!$B$11,""),IF(ISNUMBER(SEARCH(SUBSTITUTE('Référentiel films'!$A$12,"’","'"),SUBSTITUTE(F19,"’","'"))),'Référentiel films'!$B$12,""),IF(ISNUMBER(SEARCH(SUBSTITUTE('Référentiel films'!$A$13,"’","'"),SUBSTITUTE(F19,"’","'"))),'Référentiel films'!$B$13,""),IF(ISNUMBER(SEARCH(SUBSTITUTE('Référentiel films'!$A$14,"’","'"),SUBSTITUTE(F19,"’","'"))),'Référentiel films'!$B$14,""),IF(ISNUMBER(SEARCH(SUBSTITUTE('Référentiel films'!$A$15,"’","'"),SUBSTITUTE(F19,"’","'"))),'Référentiel films'!$B$15,""),IF(ISNUMBER(SEARCH(SUBSTITUTE('Référentiel films'!$A$16,"’","'"),SUBSTITUTE(F19,"’","'"))),'Référentiel films'!$B$16,""),IF(ISNUMBER(SEARCH(SUBSTITUTE('Référentiel films'!$A$17,"’","'"),SUBSTITUTE(F19,"’","'"))),'Référentiel films'!$B$17,""),IF(ISNUMBER(SEARCH(SUBSTITUTE('Référentiel films'!$A$18,"’","'"),SUBSTITUTE(F19,"’","'"))),'Référentiel films'!$B$18,""),IF(ISNUMBER(SEARCH(SUBSTITUTE('Référentiel films'!$A$19,"’","'"),SUBSTITUTE(F19,"’","'"))),'Référentiel films'!$B$19,""),IF(ISNUMBER(SEARCH(SUBSTITUTE('Référentiel films'!$A$20,"’","'"),SUBSTITUTE(F19,"’","'"))),'Référentiel films'!$B$20,""),IF(ISNUMBER(SEARCH(SUBSTITUTE('Référentiel films'!$A$21,"’","'"),SUBSTITUTE(F19,"’","'"))),'Référentiel films'!$B$21,""),IF(ISNUMBER(SEARCH(SUBSTITUTE('Référentiel films'!$A$22,"’","'"),SUBSTITUTE(F19,"’","'"))),'Référentiel films'!$B$22,""),IF(ISNUMBER(SEARCH(SUBSTITUTE('Référentiel films'!$A$23,"’","'"),SUBSTITUTE(F19,"’","'"))),'Référentiel films'!$B$23,""),IF(ISNUMBER(SEARCH(SUBSTITUTE('Référentiel films'!$A$24,"’","'"),SUBSTITUTE(F19,"’","'"))),'Référentiel films'!$B$24,""),IF(ISNUMBER(SEARCH(SUBSTITUTE('Référentiel films'!$A$25,"’","'"),SUBSTITUTE(F19,"’","'"))),'Référentiel films'!$B$25,""),IF(ISNUMBER(SEARCH(SUBSTITUTE('Référentiel films'!$A$26,"’","'"),SUBSTITUTE(F19,"’","'"))),'Référentiel films'!$B$26,""),IF(ISNUMBER(SEARCH(SUBSTITUTE('Référentiel films'!$A$27,"’","'"),SUBSTITUTE(F19,"’","'"))),'Référentiel films'!$B$27,""),IF(ISNUMBER(SEARCH(SUBSTITUTE('Référentiel films'!$A$28,"’","'"),SUBSTITUTE(F19,"’","'"))),'Référentiel films'!$B$28,""),IF(ISNUMBER(SEARCH(SUBSTITUTE('Référentiel films'!$A$29,"’","'"),SUBSTITUTE(F19,"’","'"))),'Référentiel films'!$B$29,""),IF(ISNUMBER(SEARCH(SUBSTITUTE('Référentiel films'!$A$30,"’","'"),SUBSTITUTE(F19,"’","'"))),'Référentiel films'!$B$30,""),IF(ISNUMBER(SEARCH(SUBSTITUTE('Référentiel films'!$A$31,"’","'"),SUBSTITUTE(F19,"’","'"))),'Référentiel films'!$B$31,""),IF(ISNUMBER(SEARCH(SUBSTITUTE('Référentiel films'!$A$32,"’","'"),SUBSTITUTE(F19,"’","'"))),'Référentiel films'!$B$32,""),IF(ISNUMBER(SEARCH(SUBSTITUTE('Référentiel films'!$A$33,"’","'"),SUBSTITUTE(F19,"’","'"))),'Référentiel films'!$B$33,""),IF(ISNUMBER(SEARCH(SUBSTITUTE('Référentiel films'!$A$34,"’","'"),SUBSTITUTE(F19,"’","'"))),'Référentiel films'!$B$34,""),IF(ISNUMBER(SEARCH(SUBSTITUTE('Référentiel films'!$A$35,"’","'"),SUBSTITUTE(F19,"’","'"))),'Référentiel films'!$B$35,""),IF(ISNUMBER(SEARCH(SUBSTITUTE('Référentiel films'!$A$36,"’","'"),SUBSTITUTE(F19,"’","'"))),'Référentiel films'!$B$36,""),IF(ISNUMBER(SEARCH(SUBSTITUTE('Référentiel films'!$A$37,"’","'"),SUBSTITUTE(F19,"’","'"))),'Référentiel films'!$B$37,""),IF(ISNUMBER(SEARCH(SUBSTITUTE('Référentiel films'!$A$38,"’","'"),SUBSTITUTE(F19,"’","'"))),'Référentiel films'!$B$38,""),IF(ISNUMBER(SEARCH(SUBSTITUTE('Référentiel films'!$A$39,"’","'"),SUBSTITUTE(F19,"’","'"))),'Référentiel films'!$B$39,""),IF(ISNUMBER(SEARCH(SUBSTITUTE('Référentiel films'!$A$40,"’","'"),SUBSTITUTE(F19,"’","'"))),'Référentiel films'!$B$40,""),IF(ISNUMBER(SEARCH(SUBSTITUTE('Référentiel films'!$A$41,"’","'"),SUBSTITUTE(F19,"’","'"))),'Référentiel films'!$B$41,"")))</f>
        <v/>
      </c>
    </row>
    <row r="20" spans="1:21" ht="144" customHeight="1" x14ac:dyDescent="0.2">
      <c r="A20" s="1">
        <v>1964</v>
      </c>
      <c r="B20" s="1" t="s">
        <v>260</v>
      </c>
      <c r="C20" s="1" t="s">
        <v>199</v>
      </c>
      <c r="D20" s="1"/>
      <c r="E20" s="1" t="s">
        <v>309</v>
      </c>
      <c r="F20" s="1"/>
      <c r="G20" s="12"/>
      <c r="H20" s="13"/>
      <c r="I20" s="12"/>
      <c r="J20" s="12"/>
      <c r="K20" s="12"/>
      <c r="L20" s="12"/>
      <c r="M20" s="12" t="s">
        <v>249</v>
      </c>
      <c r="N20" s="12" t="s">
        <v>250</v>
      </c>
      <c r="O20" s="12" t="s">
        <v>235</v>
      </c>
      <c r="P20" s="12" t="s">
        <v>236</v>
      </c>
      <c r="Q20" s="12"/>
      <c r="R20" s="12"/>
      <c r="S20" s="12"/>
      <c r="T20" s="12"/>
      <c r="U20" s="2" t="str">
        <f>IF(F20="","",_xlfn.TEXTJOIN("; ",TRUE(),IF(ISNUMBER(SEARCH(SUBSTITUTE('Référentiel films'!$A$2,"’","'"),SUBSTITUTE(F20,"’","'"))),'Référentiel films'!$B$2,""),IF(ISNUMBER(SEARCH(SUBSTITUTE('Référentiel films'!$A$3,"’","'"),SUBSTITUTE(F20,"’","'"))),'Référentiel films'!$B$3,""),IF(ISNUMBER(SEARCH(SUBSTITUTE('Référentiel films'!$A$4,"’","'"),SUBSTITUTE(F20,"’","'"))),'Référentiel films'!$B$4,""),IF(ISNUMBER(SEARCH(SUBSTITUTE('Référentiel films'!$A$5,"’","'"),SUBSTITUTE(F20,"’","'"))),'Référentiel films'!$B$5,""),IF(ISNUMBER(SEARCH(SUBSTITUTE('Référentiel films'!$A$6,"’","'"),SUBSTITUTE(F20,"’","'"))),'Référentiel films'!$B$6,""),IF(ISNUMBER(SEARCH(SUBSTITUTE('Référentiel films'!$A$7,"’","'"),SUBSTITUTE(F20,"’","'"))),'Référentiel films'!$B$7,""),IF(ISNUMBER(SEARCH(SUBSTITUTE('Référentiel films'!$A$8,"’","'"),SUBSTITUTE(F20,"’","'"))),'Référentiel films'!$B$8,""),IF(ISNUMBER(SEARCH(SUBSTITUTE('Référentiel films'!$A$9,"’","'"),SUBSTITUTE(F20,"’","'"))),'Référentiel films'!$B$9,""),IF(ISNUMBER(SEARCH(SUBSTITUTE('Référentiel films'!$A$10,"’","'"),SUBSTITUTE(F20,"’","'"))),'Référentiel films'!$B$10,""),IF(ISNUMBER(SEARCH(SUBSTITUTE('Référentiel films'!$A$11,"’","'"),SUBSTITUTE(F20,"’","'"))),'Référentiel films'!$B$11,""),IF(ISNUMBER(SEARCH(SUBSTITUTE('Référentiel films'!$A$12,"’","'"),SUBSTITUTE(F20,"’","'"))),'Référentiel films'!$B$12,""),IF(ISNUMBER(SEARCH(SUBSTITUTE('Référentiel films'!$A$13,"’","'"),SUBSTITUTE(F20,"’","'"))),'Référentiel films'!$B$13,""),IF(ISNUMBER(SEARCH(SUBSTITUTE('Référentiel films'!$A$14,"’","'"),SUBSTITUTE(F20,"’","'"))),'Référentiel films'!$B$14,""),IF(ISNUMBER(SEARCH(SUBSTITUTE('Référentiel films'!$A$15,"’","'"),SUBSTITUTE(F20,"’","'"))),'Référentiel films'!$B$15,""),IF(ISNUMBER(SEARCH(SUBSTITUTE('Référentiel films'!$A$16,"’","'"),SUBSTITUTE(F20,"’","'"))),'Référentiel films'!$B$16,""),IF(ISNUMBER(SEARCH(SUBSTITUTE('Référentiel films'!$A$17,"’","'"),SUBSTITUTE(F20,"’","'"))),'Référentiel films'!$B$17,""),IF(ISNUMBER(SEARCH(SUBSTITUTE('Référentiel films'!$A$18,"’","'"),SUBSTITUTE(F20,"’","'"))),'Référentiel films'!$B$18,""),IF(ISNUMBER(SEARCH(SUBSTITUTE('Référentiel films'!$A$19,"’","'"),SUBSTITUTE(F20,"’","'"))),'Référentiel films'!$B$19,""),IF(ISNUMBER(SEARCH(SUBSTITUTE('Référentiel films'!$A$20,"’","'"),SUBSTITUTE(F20,"’","'"))),'Référentiel films'!$B$20,""),IF(ISNUMBER(SEARCH(SUBSTITUTE('Référentiel films'!$A$21,"’","'"),SUBSTITUTE(F20,"’","'"))),'Référentiel films'!$B$21,""),IF(ISNUMBER(SEARCH(SUBSTITUTE('Référentiel films'!$A$22,"’","'"),SUBSTITUTE(F20,"’","'"))),'Référentiel films'!$B$22,""),IF(ISNUMBER(SEARCH(SUBSTITUTE('Référentiel films'!$A$23,"’","'"),SUBSTITUTE(F20,"’","'"))),'Référentiel films'!$B$23,""),IF(ISNUMBER(SEARCH(SUBSTITUTE('Référentiel films'!$A$24,"’","'"),SUBSTITUTE(F20,"’","'"))),'Référentiel films'!$B$24,""),IF(ISNUMBER(SEARCH(SUBSTITUTE('Référentiel films'!$A$25,"’","'"),SUBSTITUTE(F20,"’","'"))),'Référentiel films'!$B$25,""),IF(ISNUMBER(SEARCH(SUBSTITUTE('Référentiel films'!$A$26,"’","'"),SUBSTITUTE(F20,"’","'"))),'Référentiel films'!$B$26,""),IF(ISNUMBER(SEARCH(SUBSTITUTE('Référentiel films'!$A$27,"’","'"),SUBSTITUTE(F20,"’","'"))),'Référentiel films'!$B$27,""),IF(ISNUMBER(SEARCH(SUBSTITUTE('Référentiel films'!$A$28,"’","'"),SUBSTITUTE(F20,"’","'"))),'Référentiel films'!$B$28,""),IF(ISNUMBER(SEARCH(SUBSTITUTE('Référentiel films'!$A$29,"’","'"),SUBSTITUTE(F20,"’","'"))),'Référentiel films'!$B$29,""),IF(ISNUMBER(SEARCH(SUBSTITUTE('Référentiel films'!$A$30,"’","'"),SUBSTITUTE(F20,"’","'"))),'Référentiel films'!$B$30,""),IF(ISNUMBER(SEARCH(SUBSTITUTE('Référentiel films'!$A$31,"’","'"),SUBSTITUTE(F20,"’","'"))),'Référentiel films'!$B$31,""),IF(ISNUMBER(SEARCH(SUBSTITUTE('Référentiel films'!$A$32,"’","'"),SUBSTITUTE(F20,"’","'"))),'Référentiel films'!$B$32,""),IF(ISNUMBER(SEARCH(SUBSTITUTE('Référentiel films'!$A$33,"’","'"),SUBSTITUTE(F20,"’","'"))),'Référentiel films'!$B$33,""),IF(ISNUMBER(SEARCH(SUBSTITUTE('Référentiel films'!$A$34,"’","'"),SUBSTITUTE(F20,"’","'"))),'Référentiel films'!$B$34,""),IF(ISNUMBER(SEARCH(SUBSTITUTE('Référentiel films'!$A$35,"’","'"),SUBSTITUTE(F20,"’","'"))),'Référentiel films'!$B$35,""),IF(ISNUMBER(SEARCH(SUBSTITUTE('Référentiel films'!$A$36,"’","'"),SUBSTITUTE(F20,"’","'"))),'Référentiel films'!$B$36,""),IF(ISNUMBER(SEARCH(SUBSTITUTE('Référentiel films'!$A$37,"’","'"),SUBSTITUTE(F20,"’","'"))),'Référentiel films'!$B$37,""),IF(ISNUMBER(SEARCH(SUBSTITUTE('Référentiel films'!$A$38,"’","'"),SUBSTITUTE(F20,"’","'"))),'Référentiel films'!$B$38,""),IF(ISNUMBER(SEARCH(SUBSTITUTE('Référentiel films'!$A$39,"’","'"),SUBSTITUTE(F20,"’","'"))),'Référentiel films'!$B$39,""),IF(ISNUMBER(SEARCH(SUBSTITUTE('Référentiel films'!$A$40,"’","'"),SUBSTITUTE(F20,"’","'"))),'Référentiel films'!$B$40,""),IF(ISNUMBER(SEARCH(SUBSTITUTE('Référentiel films'!$A$41,"’","'"),SUBSTITUTE(F20,"’","'"))),'Référentiel films'!$B$41,"")))</f>
        <v/>
      </c>
    </row>
    <row r="21" spans="1:21" ht="208" customHeight="1" x14ac:dyDescent="0.2">
      <c r="A21" s="1">
        <v>1966</v>
      </c>
      <c r="B21" s="1" t="s">
        <v>261</v>
      </c>
      <c r="C21" s="1" t="s">
        <v>237</v>
      </c>
      <c r="D21" s="1" t="s">
        <v>310</v>
      </c>
      <c r="E21" s="1"/>
      <c r="F21" s="1" t="s">
        <v>212</v>
      </c>
      <c r="G21" s="12"/>
      <c r="H21" s="12"/>
      <c r="I21" s="12"/>
      <c r="J21" s="12"/>
      <c r="K21" s="12"/>
      <c r="L21" s="12"/>
      <c r="M21" s="12" t="s">
        <v>235</v>
      </c>
      <c r="N21" s="12" t="s">
        <v>236</v>
      </c>
      <c r="O21" s="12" t="s">
        <v>243</v>
      </c>
      <c r="P21" s="12" t="s">
        <v>244</v>
      </c>
      <c r="Q21" s="28"/>
      <c r="R21" s="28"/>
      <c r="S21" s="12"/>
      <c r="T21" s="12"/>
      <c r="U21" s="34" t="str">
        <f>IF(F21="","",_xlfn.TEXTJOIN("; ",TRUE(),IF(ISNUMBER(SEARCH(SUBSTITUTE('Référentiel films'!$A$2,"’","'"),SUBSTITUTE(F21,"’","'"))),'Référentiel films'!$B$2,""),IF(ISNUMBER(SEARCH(SUBSTITUTE('Référentiel films'!$A$3,"’","'"),SUBSTITUTE(F21,"’","'"))),'Référentiel films'!$B$3,""),IF(ISNUMBER(SEARCH(SUBSTITUTE('Référentiel films'!$A$4,"’","'"),SUBSTITUTE(F21,"’","'"))),'Référentiel films'!$B$4,""),IF(ISNUMBER(SEARCH(SUBSTITUTE('Référentiel films'!$A$5,"’","'"),SUBSTITUTE(F21,"’","'"))),'Référentiel films'!$B$5,""),IF(ISNUMBER(SEARCH(SUBSTITUTE('Référentiel films'!$A$6,"’","'"),SUBSTITUTE(F21,"’","'"))),'Référentiel films'!$B$6,""),IF(ISNUMBER(SEARCH(SUBSTITUTE('Référentiel films'!$A$7,"’","'"),SUBSTITUTE(F21,"’","'"))),'Référentiel films'!$B$7,""),IF(ISNUMBER(SEARCH(SUBSTITUTE('Référentiel films'!$A$8,"’","'"),SUBSTITUTE(F21,"’","'"))),'Référentiel films'!$B$8,""),IF(ISNUMBER(SEARCH(SUBSTITUTE('Référentiel films'!$A$9,"’","'"),SUBSTITUTE(F21,"’","'"))),'Référentiel films'!$B$9,""),IF(ISNUMBER(SEARCH(SUBSTITUTE('Référentiel films'!$A$10,"’","'"),SUBSTITUTE(F21,"’","'"))),'Référentiel films'!$B$10,""),IF(ISNUMBER(SEARCH(SUBSTITUTE('Référentiel films'!$A$11,"’","'"),SUBSTITUTE(F21,"’","'"))),'Référentiel films'!$B$11,""),IF(ISNUMBER(SEARCH(SUBSTITUTE('Référentiel films'!$A$12,"’","'"),SUBSTITUTE(F21,"’","'"))),'Référentiel films'!$B$12,""),IF(ISNUMBER(SEARCH(SUBSTITUTE('Référentiel films'!$A$13,"’","'"),SUBSTITUTE(F21,"’","'"))),'Référentiel films'!$B$13,""),IF(ISNUMBER(SEARCH(SUBSTITUTE('Référentiel films'!$A$14,"’","'"),SUBSTITUTE(F21,"’","'"))),'Référentiel films'!$B$14,""),IF(ISNUMBER(SEARCH(SUBSTITUTE('Référentiel films'!$A$15,"’","'"),SUBSTITUTE(F21,"’","'"))),'Référentiel films'!$B$15,""),IF(ISNUMBER(SEARCH(SUBSTITUTE('Référentiel films'!$A$16,"’","'"),SUBSTITUTE(F21,"’","'"))),'Référentiel films'!$B$16,""),IF(ISNUMBER(SEARCH(SUBSTITUTE('Référentiel films'!$A$17,"’","'"),SUBSTITUTE(F21,"’","'"))),'Référentiel films'!$B$17,""),IF(ISNUMBER(SEARCH(SUBSTITUTE('Référentiel films'!$A$18,"’","'"),SUBSTITUTE(F21,"’","'"))),'Référentiel films'!$B$18,""),IF(ISNUMBER(SEARCH(SUBSTITUTE('Référentiel films'!$A$19,"’","'"),SUBSTITUTE(F21,"’","'"))),'Référentiel films'!$B$19,""),IF(ISNUMBER(SEARCH(SUBSTITUTE('Référentiel films'!$A$20,"’","'"),SUBSTITUTE(F21,"’","'"))),'Référentiel films'!$B$20,""),IF(ISNUMBER(SEARCH(SUBSTITUTE('Référentiel films'!$A$21,"’","'"),SUBSTITUTE(F21,"’","'"))),'Référentiel films'!$B$21,""),IF(ISNUMBER(SEARCH(SUBSTITUTE('Référentiel films'!$A$22,"’","'"),SUBSTITUTE(F21,"’","'"))),'Référentiel films'!$B$22,""),IF(ISNUMBER(SEARCH(SUBSTITUTE('Référentiel films'!$A$23,"’","'"),SUBSTITUTE(F21,"’","'"))),'Référentiel films'!$B$23,""),IF(ISNUMBER(SEARCH(SUBSTITUTE('Référentiel films'!$A$24,"’","'"),SUBSTITUTE(F21,"’","'"))),'Référentiel films'!$B$24,""),IF(ISNUMBER(SEARCH(SUBSTITUTE('Référentiel films'!$A$25,"’","'"),SUBSTITUTE(F21,"’","'"))),'Référentiel films'!$B$25,""),IF(ISNUMBER(SEARCH(SUBSTITUTE('Référentiel films'!$A$26,"’","'"),SUBSTITUTE(F21,"’","'"))),'Référentiel films'!$B$26,""),IF(ISNUMBER(SEARCH(SUBSTITUTE('Référentiel films'!$A$27,"’","'"),SUBSTITUTE(F21,"’","'"))),'Référentiel films'!$B$27,""),IF(ISNUMBER(SEARCH(SUBSTITUTE('Référentiel films'!$A$28,"’","'"),SUBSTITUTE(F21,"’","'"))),'Référentiel films'!$B$28,""),IF(ISNUMBER(SEARCH(SUBSTITUTE('Référentiel films'!$A$29,"’","'"),SUBSTITUTE(F21,"’","'"))),'Référentiel films'!$B$29,""),IF(ISNUMBER(SEARCH(SUBSTITUTE('Référentiel films'!$A$30,"’","'"),SUBSTITUTE(F21,"’","'"))),'Référentiel films'!$B$30,""),IF(ISNUMBER(SEARCH(SUBSTITUTE('Référentiel films'!$A$31,"’","'"),SUBSTITUTE(F21,"’","'"))),'Référentiel films'!$B$31,""),IF(ISNUMBER(SEARCH(SUBSTITUTE('Référentiel films'!$A$32,"’","'"),SUBSTITUTE(F21,"’","'"))),'Référentiel films'!$B$32,""),IF(ISNUMBER(SEARCH(SUBSTITUTE('Référentiel films'!$A$33,"’","'"),SUBSTITUTE(F21,"’","'"))),'Référentiel films'!$B$33,""),IF(ISNUMBER(SEARCH(SUBSTITUTE('Référentiel films'!$A$34,"’","'"),SUBSTITUTE(F21,"’","'"))),'Référentiel films'!$B$34,""),IF(ISNUMBER(SEARCH(SUBSTITUTE('Référentiel films'!$A$35,"’","'"),SUBSTITUTE(F21,"’","'"))),'Référentiel films'!$B$35,""),IF(ISNUMBER(SEARCH(SUBSTITUTE('Référentiel films'!$A$36,"’","'"),SUBSTITUTE(F21,"’","'"))),'Référentiel films'!$B$36,""),IF(ISNUMBER(SEARCH(SUBSTITUTE('Référentiel films'!$A$37,"’","'"),SUBSTITUTE(F21,"’","'"))),'Référentiel films'!$B$37,""),IF(ISNUMBER(SEARCH(SUBSTITUTE('Référentiel films'!$A$38,"’","'"),SUBSTITUTE(F21,"’","'"))),'Référentiel films'!$B$38,""),IF(ISNUMBER(SEARCH(SUBSTITUTE('Référentiel films'!$A$39,"’","'"),SUBSTITUTE(F21,"’","'"))),'Référentiel films'!$B$39,""),IF(ISNUMBER(SEARCH(SUBSTITUTE('Référentiel films'!$A$40,"’","'"),SUBSTITUTE(F21,"’","'"))),'Référentiel films'!$B$40,""),IF(ISNUMBER(SEARCH(SUBSTITUTE('Référentiel films'!$A$41,"’","'"),SUBSTITUTE(F21,"’","'"))),'Référentiel films'!$B$41,"")))</f>
        <v/>
      </c>
    </row>
    <row r="22" spans="1:21" ht="256" customHeight="1" x14ac:dyDescent="0.2">
      <c r="A22" s="1">
        <v>1967</v>
      </c>
      <c r="B22" s="1" t="s">
        <v>261</v>
      </c>
      <c r="C22" s="1" t="s">
        <v>311</v>
      </c>
      <c r="D22" s="14" t="s">
        <v>312</v>
      </c>
      <c r="E22" s="1" t="s">
        <v>70</v>
      </c>
      <c r="F22" s="17" t="s">
        <v>71</v>
      </c>
      <c r="G22" s="12"/>
      <c r="H22" s="12"/>
      <c r="I22" s="12"/>
      <c r="J22" s="12"/>
      <c r="K22" s="12"/>
      <c r="L22" s="12"/>
      <c r="M22" s="12" t="s">
        <v>243</v>
      </c>
      <c r="N22" s="12" t="s">
        <v>244</v>
      </c>
      <c r="O22" s="28"/>
      <c r="P22" s="12"/>
      <c r="Q22" s="12"/>
      <c r="R22" s="12"/>
      <c r="S22" s="12"/>
      <c r="T22" s="12"/>
      <c r="U22" s="34" t="str">
        <f>IF(F22="","",_xlfn.TEXTJOIN("; ",TRUE(),IF(ISNUMBER(SEARCH(SUBSTITUTE('Référentiel films'!$A$2,"’","'"),SUBSTITUTE(F22,"’","'"))),'Référentiel films'!$B$2,""),IF(ISNUMBER(SEARCH(SUBSTITUTE('Référentiel films'!$A$3,"’","'"),SUBSTITUTE(F22,"’","'"))),'Référentiel films'!$B$3,""),IF(ISNUMBER(SEARCH(SUBSTITUTE('Référentiel films'!$A$4,"’","'"),SUBSTITUTE(F22,"’","'"))),'Référentiel films'!$B$4,""),IF(ISNUMBER(SEARCH(SUBSTITUTE('Référentiel films'!$A$5,"’","'"),SUBSTITUTE(F22,"’","'"))),'Référentiel films'!$B$5,""),IF(ISNUMBER(SEARCH(SUBSTITUTE('Référentiel films'!$A$6,"’","'"),SUBSTITUTE(F22,"’","'"))),'Référentiel films'!$B$6,""),IF(ISNUMBER(SEARCH(SUBSTITUTE('Référentiel films'!$A$7,"’","'"),SUBSTITUTE(F22,"’","'"))),'Référentiel films'!$B$7,""),IF(ISNUMBER(SEARCH(SUBSTITUTE('Référentiel films'!$A$8,"’","'"),SUBSTITUTE(F22,"’","'"))),'Référentiel films'!$B$8,""),IF(ISNUMBER(SEARCH(SUBSTITUTE('Référentiel films'!$A$9,"’","'"),SUBSTITUTE(F22,"’","'"))),'Référentiel films'!$B$9,""),IF(ISNUMBER(SEARCH(SUBSTITUTE('Référentiel films'!$A$10,"’","'"),SUBSTITUTE(F22,"’","'"))),'Référentiel films'!$B$10,""),IF(ISNUMBER(SEARCH(SUBSTITUTE('Référentiel films'!$A$11,"’","'"),SUBSTITUTE(F22,"’","'"))),'Référentiel films'!$B$11,""),IF(ISNUMBER(SEARCH(SUBSTITUTE('Référentiel films'!$A$12,"’","'"),SUBSTITUTE(F22,"’","'"))),'Référentiel films'!$B$12,""),IF(ISNUMBER(SEARCH(SUBSTITUTE('Référentiel films'!$A$13,"’","'"),SUBSTITUTE(F22,"’","'"))),'Référentiel films'!$B$13,""),IF(ISNUMBER(SEARCH(SUBSTITUTE('Référentiel films'!$A$14,"’","'"),SUBSTITUTE(F22,"’","'"))),'Référentiel films'!$B$14,""),IF(ISNUMBER(SEARCH(SUBSTITUTE('Référentiel films'!$A$15,"’","'"),SUBSTITUTE(F22,"’","'"))),'Référentiel films'!$B$15,""),IF(ISNUMBER(SEARCH(SUBSTITUTE('Référentiel films'!$A$16,"’","'"),SUBSTITUTE(F22,"’","'"))),'Référentiel films'!$B$16,""),IF(ISNUMBER(SEARCH(SUBSTITUTE('Référentiel films'!$A$17,"’","'"),SUBSTITUTE(F22,"’","'"))),'Référentiel films'!$B$17,""),IF(ISNUMBER(SEARCH(SUBSTITUTE('Référentiel films'!$A$18,"’","'"),SUBSTITUTE(F22,"’","'"))),'Référentiel films'!$B$18,""),IF(ISNUMBER(SEARCH(SUBSTITUTE('Référentiel films'!$A$19,"’","'"),SUBSTITUTE(F22,"’","'"))),'Référentiel films'!$B$19,""),IF(ISNUMBER(SEARCH(SUBSTITUTE('Référentiel films'!$A$20,"’","'"),SUBSTITUTE(F22,"’","'"))),'Référentiel films'!$B$20,""),IF(ISNUMBER(SEARCH(SUBSTITUTE('Référentiel films'!$A$21,"’","'"),SUBSTITUTE(F22,"’","'"))),'Référentiel films'!$B$21,""),IF(ISNUMBER(SEARCH(SUBSTITUTE('Référentiel films'!$A$22,"’","'"),SUBSTITUTE(F22,"’","'"))),'Référentiel films'!$B$22,""),IF(ISNUMBER(SEARCH(SUBSTITUTE('Référentiel films'!$A$23,"’","'"),SUBSTITUTE(F22,"’","'"))),'Référentiel films'!$B$23,""),IF(ISNUMBER(SEARCH(SUBSTITUTE('Référentiel films'!$A$24,"’","'"),SUBSTITUTE(F22,"’","'"))),'Référentiel films'!$B$24,""),IF(ISNUMBER(SEARCH(SUBSTITUTE('Référentiel films'!$A$25,"’","'"),SUBSTITUTE(F22,"’","'"))),'Référentiel films'!$B$25,""),IF(ISNUMBER(SEARCH(SUBSTITUTE('Référentiel films'!$A$26,"’","'"),SUBSTITUTE(F22,"’","'"))),'Référentiel films'!$B$26,""),IF(ISNUMBER(SEARCH(SUBSTITUTE('Référentiel films'!$A$27,"’","'"),SUBSTITUTE(F22,"’","'"))),'Référentiel films'!$B$27,""),IF(ISNUMBER(SEARCH(SUBSTITUTE('Référentiel films'!$A$28,"’","'"),SUBSTITUTE(F22,"’","'"))),'Référentiel films'!$B$28,""),IF(ISNUMBER(SEARCH(SUBSTITUTE('Référentiel films'!$A$29,"’","'"),SUBSTITUTE(F22,"’","'"))),'Référentiel films'!$B$29,""),IF(ISNUMBER(SEARCH(SUBSTITUTE('Référentiel films'!$A$30,"’","'"),SUBSTITUTE(F22,"’","'"))),'Référentiel films'!$B$30,""),IF(ISNUMBER(SEARCH(SUBSTITUTE('Référentiel films'!$A$31,"’","'"),SUBSTITUTE(F22,"’","'"))),'Référentiel films'!$B$31,""),IF(ISNUMBER(SEARCH(SUBSTITUTE('Référentiel films'!$A$32,"’","'"),SUBSTITUTE(F22,"’","'"))),'Référentiel films'!$B$32,""),IF(ISNUMBER(SEARCH(SUBSTITUTE('Référentiel films'!$A$33,"’","'"),SUBSTITUTE(F22,"’","'"))),'Référentiel films'!$B$33,""),IF(ISNUMBER(SEARCH(SUBSTITUTE('Référentiel films'!$A$34,"’","'"),SUBSTITUTE(F22,"’","'"))),'Référentiel films'!$B$34,""),IF(ISNUMBER(SEARCH(SUBSTITUTE('Référentiel films'!$A$35,"’","'"),SUBSTITUTE(F22,"’","'"))),'Référentiel films'!$B$35,""),IF(ISNUMBER(SEARCH(SUBSTITUTE('Référentiel films'!$A$36,"’","'"),SUBSTITUTE(F22,"’","'"))),'Référentiel films'!$B$36,""),IF(ISNUMBER(SEARCH(SUBSTITUTE('Référentiel films'!$A$37,"’","'"),SUBSTITUTE(F22,"’","'"))),'Référentiel films'!$B$37,""),IF(ISNUMBER(SEARCH(SUBSTITUTE('Référentiel films'!$A$38,"’","'"),SUBSTITUTE(F22,"’","'"))),'Référentiel films'!$B$38,""),IF(ISNUMBER(SEARCH(SUBSTITUTE('Référentiel films'!$A$39,"’","'"),SUBSTITUTE(F22,"’","'"))),'Référentiel films'!$B$39,""),IF(ISNUMBER(SEARCH(SUBSTITUTE('Référentiel films'!$A$40,"’","'"),SUBSTITUTE(F22,"’","'"))),'Référentiel films'!$B$40,""),IF(ISNUMBER(SEARCH(SUBSTITUTE('Référentiel films'!$A$41,"’","'"),SUBSTITUTE(F22,"’","'"))),'Référentiel films'!$B$41,"")))</f>
        <v/>
      </c>
    </row>
    <row r="23" spans="1:21" ht="304" customHeight="1" x14ac:dyDescent="0.2">
      <c r="A23" s="1">
        <v>1968</v>
      </c>
      <c r="B23" s="1" t="s">
        <v>261</v>
      </c>
      <c r="C23" s="1" t="s">
        <v>240</v>
      </c>
      <c r="D23" s="1" t="s">
        <v>200</v>
      </c>
      <c r="E23" s="1" t="s">
        <v>25</v>
      </c>
      <c r="F23" s="12"/>
      <c r="G23" s="16" t="s">
        <v>313</v>
      </c>
      <c r="H23" s="12" t="s">
        <v>238</v>
      </c>
      <c r="I23" s="12"/>
      <c r="J23" s="12"/>
      <c r="K23" s="12"/>
      <c r="L23" s="12"/>
      <c r="M23" s="29" t="s">
        <v>243</v>
      </c>
      <c r="N23" s="29" t="s">
        <v>244</v>
      </c>
      <c r="O23" s="12"/>
      <c r="P23" s="12"/>
      <c r="Q23" s="12"/>
      <c r="R23" s="12"/>
      <c r="S23" s="12"/>
      <c r="T23" s="12"/>
      <c r="U23" s="34" t="str">
        <f>IF(F23="","",_xlfn.TEXTJOIN("; ",TRUE(),IF(ISNUMBER(SEARCH(SUBSTITUTE('Référentiel films'!$A$2,"’","'"),SUBSTITUTE(F23,"’","'"))),'Référentiel films'!$B$2,""),IF(ISNUMBER(SEARCH(SUBSTITUTE('Référentiel films'!$A$3,"’","'"),SUBSTITUTE(F23,"’","'"))),'Référentiel films'!$B$3,""),IF(ISNUMBER(SEARCH(SUBSTITUTE('Référentiel films'!$A$4,"’","'"),SUBSTITUTE(F23,"’","'"))),'Référentiel films'!$B$4,""),IF(ISNUMBER(SEARCH(SUBSTITUTE('Référentiel films'!$A$5,"’","'"),SUBSTITUTE(F23,"’","'"))),'Référentiel films'!$B$5,""),IF(ISNUMBER(SEARCH(SUBSTITUTE('Référentiel films'!$A$6,"’","'"),SUBSTITUTE(F23,"’","'"))),'Référentiel films'!$B$6,""),IF(ISNUMBER(SEARCH(SUBSTITUTE('Référentiel films'!$A$7,"’","'"),SUBSTITUTE(F23,"’","'"))),'Référentiel films'!$B$7,""),IF(ISNUMBER(SEARCH(SUBSTITUTE('Référentiel films'!$A$8,"’","'"),SUBSTITUTE(F23,"’","'"))),'Référentiel films'!$B$8,""),IF(ISNUMBER(SEARCH(SUBSTITUTE('Référentiel films'!$A$9,"’","'"),SUBSTITUTE(F23,"’","'"))),'Référentiel films'!$B$9,""),IF(ISNUMBER(SEARCH(SUBSTITUTE('Référentiel films'!$A$10,"’","'"),SUBSTITUTE(F23,"’","'"))),'Référentiel films'!$B$10,""),IF(ISNUMBER(SEARCH(SUBSTITUTE('Référentiel films'!$A$11,"’","'"),SUBSTITUTE(F23,"’","'"))),'Référentiel films'!$B$11,""),IF(ISNUMBER(SEARCH(SUBSTITUTE('Référentiel films'!$A$12,"’","'"),SUBSTITUTE(F23,"’","'"))),'Référentiel films'!$B$12,""),IF(ISNUMBER(SEARCH(SUBSTITUTE('Référentiel films'!$A$13,"’","'"),SUBSTITUTE(F23,"’","'"))),'Référentiel films'!$B$13,""),IF(ISNUMBER(SEARCH(SUBSTITUTE('Référentiel films'!$A$14,"’","'"),SUBSTITUTE(F23,"’","'"))),'Référentiel films'!$B$14,""),IF(ISNUMBER(SEARCH(SUBSTITUTE('Référentiel films'!$A$15,"’","'"),SUBSTITUTE(F23,"’","'"))),'Référentiel films'!$B$15,""),IF(ISNUMBER(SEARCH(SUBSTITUTE('Référentiel films'!$A$16,"’","'"),SUBSTITUTE(F23,"’","'"))),'Référentiel films'!$B$16,""),IF(ISNUMBER(SEARCH(SUBSTITUTE('Référentiel films'!$A$17,"’","'"),SUBSTITUTE(F23,"’","'"))),'Référentiel films'!$B$17,""),IF(ISNUMBER(SEARCH(SUBSTITUTE('Référentiel films'!$A$18,"’","'"),SUBSTITUTE(F23,"’","'"))),'Référentiel films'!$B$18,""),IF(ISNUMBER(SEARCH(SUBSTITUTE('Référentiel films'!$A$19,"’","'"),SUBSTITUTE(F23,"’","'"))),'Référentiel films'!$B$19,""),IF(ISNUMBER(SEARCH(SUBSTITUTE('Référentiel films'!$A$20,"’","'"),SUBSTITUTE(F23,"’","'"))),'Référentiel films'!$B$20,""),IF(ISNUMBER(SEARCH(SUBSTITUTE('Référentiel films'!$A$21,"’","'"),SUBSTITUTE(F23,"’","'"))),'Référentiel films'!$B$21,""),IF(ISNUMBER(SEARCH(SUBSTITUTE('Référentiel films'!$A$22,"’","'"),SUBSTITUTE(F23,"’","'"))),'Référentiel films'!$B$22,""),IF(ISNUMBER(SEARCH(SUBSTITUTE('Référentiel films'!$A$23,"’","'"),SUBSTITUTE(F23,"’","'"))),'Référentiel films'!$B$23,""),IF(ISNUMBER(SEARCH(SUBSTITUTE('Référentiel films'!$A$24,"’","'"),SUBSTITUTE(F23,"’","'"))),'Référentiel films'!$B$24,""),IF(ISNUMBER(SEARCH(SUBSTITUTE('Référentiel films'!$A$25,"’","'"),SUBSTITUTE(F23,"’","'"))),'Référentiel films'!$B$25,""),IF(ISNUMBER(SEARCH(SUBSTITUTE('Référentiel films'!$A$26,"’","'"),SUBSTITUTE(F23,"’","'"))),'Référentiel films'!$B$26,""),IF(ISNUMBER(SEARCH(SUBSTITUTE('Référentiel films'!$A$27,"’","'"),SUBSTITUTE(F23,"’","'"))),'Référentiel films'!$B$27,""),IF(ISNUMBER(SEARCH(SUBSTITUTE('Référentiel films'!$A$28,"’","'"),SUBSTITUTE(F23,"’","'"))),'Référentiel films'!$B$28,""),IF(ISNUMBER(SEARCH(SUBSTITUTE('Référentiel films'!$A$29,"’","'"),SUBSTITUTE(F23,"’","'"))),'Référentiel films'!$B$29,""),IF(ISNUMBER(SEARCH(SUBSTITUTE('Référentiel films'!$A$30,"’","'"),SUBSTITUTE(F23,"’","'"))),'Référentiel films'!$B$30,""),IF(ISNUMBER(SEARCH(SUBSTITUTE('Référentiel films'!$A$31,"’","'"),SUBSTITUTE(F23,"’","'"))),'Référentiel films'!$B$31,""),IF(ISNUMBER(SEARCH(SUBSTITUTE('Référentiel films'!$A$32,"’","'"),SUBSTITUTE(F23,"’","'"))),'Référentiel films'!$B$32,""),IF(ISNUMBER(SEARCH(SUBSTITUTE('Référentiel films'!$A$33,"’","'"),SUBSTITUTE(F23,"’","'"))),'Référentiel films'!$B$33,""),IF(ISNUMBER(SEARCH(SUBSTITUTE('Référentiel films'!$A$34,"’","'"),SUBSTITUTE(F23,"’","'"))),'Référentiel films'!$B$34,""),IF(ISNUMBER(SEARCH(SUBSTITUTE('Référentiel films'!$A$35,"’","'"),SUBSTITUTE(F23,"’","'"))),'Référentiel films'!$B$35,""),IF(ISNUMBER(SEARCH(SUBSTITUTE('Référentiel films'!$A$36,"’","'"),SUBSTITUTE(F23,"’","'"))),'Référentiel films'!$B$36,""),IF(ISNUMBER(SEARCH(SUBSTITUTE('Référentiel films'!$A$37,"’","'"),SUBSTITUTE(F23,"’","'"))),'Référentiel films'!$B$37,""),IF(ISNUMBER(SEARCH(SUBSTITUTE('Référentiel films'!$A$38,"’","'"),SUBSTITUTE(F23,"’","'"))),'Référentiel films'!$B$38,""),IF(ISNUMBER(SEARCH(SUBSTITUTE('Référentiel films'!$A$39,"’","'"),SUBSTITUTE(F23,"’","'"))),'Référentiel films'!$B$39,""),IF(ISNUMBER(SEARCH(SUBSTITUTE('Référentiel films'!$A$40,"’","'"),SUBSTITUTE(F23,"’","'"))),'Référentiel films'!$B$40,""),IF(ISNUMBER(SEARCH(SUBSTITUTE('Référentiel films'!$A$41,"’","'"),SUBSTITUTE(F23,"’","'"))),'Référentiel films'!$B$41,"")))</f>
        <v/>
      </c>
    </row>
    <row r="24" spans="1:21" ht="272" customHeight="1" x14ac:dyDescent="0.2">
      <c r="A24" s="1">
        <v>1969</v>
      </c>
      <c r="B24" s="1" t="s">
        <v>261</v>
      </c>
      <c r="C24" s="1" t="s">
        <v>239</v>
      </c>
      <c r="D24" s="14" t="s">
        <v>314</v>
      </c>
      <c r="E24" s="1"/>
      <c r="F24" s="1" t="s">
        <v>213</v>
      </c>
      <c r="G24" s="16"/>
      <c r="H24" s="12"/>
      <c r="I24" s="12"/>
      <c r="J24" s="12"/>
      <c r="K24" s="12"/>
      <c r="L24" s="12"/>
      <c r="M24" s="12" t="s">
        <v>241</v>
      </c>
      <c r="N24" s="12" t="s">
        <v>242</v>
      </c>
      <c r="O24" s="12"/>
      <c r="P24" s="12"/>
      <c r="Q24" s="12"/>
      <c r="R24" s="12"/>
      <c r="S24" s="12"/>
      <c r="T24" s="12"/>
      <c r="U24" s="34" t="str">
        <f>IF(F24="","",_xlfn.TEXTJOIN("; ",TRUE(),IF(ISNUMBER(SEARCH(SUBSTITUTE('Référentiel films'!$A$2,"’","'"),SUBSTITUTE(F24,"’","'"))),'Référentiel films'!$B$2,""),IF(ISNUMBER(SEARCH(SUBSTITUTE('Référentiel films'!$A$3,"’","'"),SUBSTITUTE(F24,"’","'"))),'Référentiel films'!$B$3,""),IF(ISNUMBER(SEARCH(SUBSTITUTE('Référentiel films'!$A$4,"’","'"),SUBSTITUTE(F24,"’","'"))),'Référentiel films'!$B$4,""),IF(ISNUMBER(SEARCH(SUBSTITUTE('Référentiel films'!$A$5,"’","'"),SUBSTITUTE(F24,"’","'"))),'Référentiel films'!$B$5,""),IF(ISNUMBER(SEARCH(SUBSTITUTE('Référentiel films'!$A$6,"’","'"),SUBSTITUTE(F24,"’","'"))),'Référentiel films'!$B$6,""),IF(ISNUMBER(SEARCH(SUBSTITUTE('Référentiel films'!$A$7,"’","'"),SUBSTITUTE(F24,"’","'"))),'Référentiel films'!$B$7,""),IF(ISNUMBER(SEARCH(SUBSTITUTE('Référentiel films'!$A$8,"’","'"),SUBSTITUTE(F24,"’","'"))),'Référentiel films'!$B$8,""),IF(ISNUMBER(SEARCH(SUBSTITUTE('Référentiel films'!$A$9,"’","'"),SUBSTITUTE(F24,"’","'"))),'Référentiel films'!$B$9,""),IF(ISNUMBER(SEARCH(SUBSTITUTE('Référentiel films'!$A$10,"’","'"),SUBSTITUTE(F24,"’","'"))),'Référentiel films'!$B$10,""),IF(ISNUMBER(SEARCH(SUBSTITUTE('Référentiel films'!$A$11,"’","'"),SUBSTITUTE(F24,"’","'"))),'Référentiel films'!$B$11,""),IF(ISNUMBER(SEARCH(SUBSTITUTE('Référentiel films'!$A$12,"’","'"),SUBSTITUTE(F24,"’","'"))),'Référentiel films'!$B$12,""),IF(ISNUMBER(SEARCH(SUBSTITUTE('Référentiel films'!$A$13,"’","'"),SUBSTITUTE(F24,"’","'"))),'Référentiel films'!$B$13,""),IF(ISNUMBER(SEARCH(SUBSTITUTE('Référentiel films'!$A$14,"’","'"),SUBSTITUTE(F24,"’","'"))),'Référentiel films'!$B$14,""),IF(ISNUMBER(SEARCH(SUBSTITUTE('Référentiel films'!$A$15,"’","'"),SUBSTITUTE(F24,"’","'"))),'Référentiel films'!$B$15,""),IF(ISNUMBER(SEARCH(SUBSTITUTE('Référentiel films'!$A$16,"’","'"),SUBSTITUTE(F24,"’","'"))),'Référentiel films'!$B$16,""),IF(ISNUMBER(SEARCH(SUBSTITUTE('Référentiel films'!$A$17,"’","'"),SUBSTITUTE(F24,"’","'"))),'Référentiel films'!$B$17,""),IF(ISNUMBER(SEARCH(SUBSTITUTE('Référentiel films'!$A$18,"’","'"),SUBSTITUTE(F24,"’","'"))),'Référentiel films'!$B$18,""),IF(ISNUMBER(SEARCH(SUBSTITUTE('Référentiel films'!$A$19,"’","'"),SUBSTITUTE(F24,"’","'"))),'Référentiel films'!$B$19,""),IF(ISNUMBER(SEARCH(SUBSTITUTE('Référentiel films'!$A$20,"’","'"),SUBSTITUTE(F24,"’","'"))),'Référentiel films'!$B$20,""),IF(ISNUMBER(SEARCH(SUBSTITUTE('Référentiel films'!$A$21,"’","'"),SUBSTITUTE(F24,"’","'"))),'Référentiel films'!$B$21,""),IF(ISNUMBER(SEARCH(SUBSTITUTE('Référentiel films'!$A$22,"’","'"),SUBSTITUTE(F24,"’","'"))),'Référentiel films'!$B$22,""),IF(ISNUMBER(SEARCH(SUBSTITUTE('Référentiel films'!$A$23,"’","'"),SUBSTITUTE(F24,"’","'"))),'Référentiel films'!$B$23,""),IF(ISNUMBER(SEARCH(SUBSTITUTE('Référentiel films'!$A$24,"’","'"),SUBSTITUTE(F24,"’","'"))),'Référentiel films'!$B$24,""),IF(ISNUMBER(SEARCH(SUBSTITUTE('Référentiel films'!$A$25,"’","'"),SUBSTITUTE(F24,"’","'"))),'Référentiel films'!$B$25,""),IF(ISNUMBER(SEARCH(SUBSTITUTE('Référentiel films'!$A$26,"’","'"),SUBSTITUTE(F24,"’","'"))),'Référentiel films'!$B$26,""),IF(ISNUMBER(SEARCH(SUBSTITUTE('Référentiel films'!$A$27,"’","'"),SUBSTITUTE(F24,"’","'"))),'Référentiel films'!$B$27,""),IF(ISNUMBER(SEARCH(SUBSTITUTE('Référentiel films'!$A$28,"’","'"),SUBSTITUTE(F24,"’","'"))),'Référentiel films'!$B$28,""),IF(ISNUMBER(SEARCH(SUBSTITUTE('Référentiel films'!$A$29,"’","'"),SUBSTITUTE(F24,"’","'"))),'Référentiel films'!$B$29,""),IF(ISNUMBER(SEARCH(SUBSTITUTE('Référentiel films'!$A$30,"’","'"),SUBSTITUTE(F24,"’","'"))),'Référentiel films'!$B$30,""),IF(ISNUMBER(SEARCH(SUBSTITUTE('Référentiel films'!$A$31,"’","'"),SUBSTITUTE(F24,"’","'"))),'Référentiel films'!$B$31,""),IF(ISNUMBER(SEARCH(SUBSTITUTE('Référentiel films'!$A$32,"’","'"),SUBSTITUTE(F24,"’","'"))),'Référentiel films'!$B$32,""),IF(ISNUMBER(SEARCH(SUBSTITUTE('Référentiel films'!$A$33,"’","'"),SUBSTITUTE(F24,"’","'"))),'Référentiel films'!$B$33,""),IF(ISNUMBER(SEARCH(SUBSTITUTE('Référentiel films'!$A$34,"’","'"),SUBSTITUTE(F24,"’","'"))),'Référentiel films'!$B$34,""),IF(ISNUMBER(SEARCH(SUBSTITUTE('Référentiel films'!$A$35,"’","'"),SUBSTITUTE(F24,"’","'"))),'Référentiel films'!$B$35,""),IF(ISNUMBER(SEARCH(SUBSTITUTE('Référentiel films'!$A$36,"’","'"),SUBSTITUTE(F24,"’","'"))),'Référentiel films'!$B$36,""),IF(ISNUMBER(SEARCH(SUBSTITUTE('Référentiel films'!$A$37,"’","'"),SUBSTITUTE(F24,"’","'"))),'Référentiel films'!$B$37,""),IF(ISNUMBER(SEARCH(SUBSTITUTE('Référentiel films'!$A$38,"’","'"),SUBSTITUTE(F24,"’","'"))),'Référentiel films'!$B$38,""),IF(ISNUMBER(SEARCH(SUBSTITUTE('Référentiel films'!$A$39,"’","'"),SUBSTITUTE(F24,"’","'"))),'Référentiel films'!$B$39,""),IF(ISNUMBER(SEARCH(SUBSTITUTE('Référentiel films'!$A$40,"’","'"),SUBSTITUTE(F24,"’","'"))),'Référentiel films'!$B$40,""),IF(ISNUMBER(SEARCH(SUBSTITUTE('Référentiel films'!$A$41,"’","'"),SUBSTITUTE(F24,"’","'"))),'Référentiel films'!$B$41,"")))</f>
        <v>film-1969-l-amour-est-plus-froid-que-la-mort; film-1969-le-bouc</v>
      </c>
    </row>
    <row r="25" spans="1:21" ht="384" customHeight="1" x14ac:dyDescent="0.2">
      <c r="A25" s="1">
        <v>1970</v>
      </c>
      <c r="B25" s="1" t="s">
        <v>261</v>
      </c>
      <c r="C25" s="1" t="s">
        <v>315</v>
      </c>
      <c r="D25" s="26"/>
      <c r="E25" s="1"/>
      <c r="F25" s="1" t="s">
        <v>214</v>
      </c>
      <c r="G25" s="16"/>
      <c r="H25" s="12"/>
      <c r="I25" s="12"/>
      <c r="J25" s="12"/>
      <c r="K25" s="12"/>
      <c r="L25" s="12"/>
      <c r="M25" s="12" t="s">
        <v>241</v>
      </c>
      <c r="N25" s="12" t="s">
        <v>242</v>
      </c>
      <c r="O25" s="12"/>
      <c r="P25" s="12"/>
      <c r="Q25" s="12"/>
      <c r="R25" s="12"/>
      <c r="S25" s="12"/>
      <c r="T25" s="12"/>
      <c r="U25" s="2" t="str">
        <f>IF(F25="","",_xlfn.TEXTJOIN("; ",TRUE(),IF(ISNUMBER(SEARCH(SUBSTITUTE('Référentiel films'!$A$2,"’","'"),SUBSTITUTE(F25,"’","'"))),'Référentiel films'!$B$2,""),IF(ISNUMBER(SEARCH(SUBSTITUTE('Référentiel films'!$A$3,"’","'"),SUBSTITUTE(F25,"’","'"))),'Référentiel films'!$B$3,""),IF(ISNUMBER(SEARCH(SUBSTITUTE('Référentiel films'!$A$4,"’","'"),SUBSTITUTE(F25,"’","'"))),'Référentiel films'!$B$4,""),IF(ISNUMBER(SEARCH(SUBSTITUTE('Référentiel films'!$A$5,"’","'"),SUBSTITUTE(F25,"’","'"))),'Référentiel films'!$B$5,""),IF(ISNUMBER(SEARCH(SUBSTITUTE('Référentiel films'!$A$6,"’","'"),SUBSTITUTE(F25,"’","'"))),'Référentiel films'!$B$6,""),IF(ISNUMBER(SEARCH(SUBSTITUTE('Référentiel films'!$A$7,"’","'"),SUBSTITUTE(F25,"’","'"))),'Référentiel films'!$B$7,""),IF(ISNUMBER(SEARCH(SUBSTITUTE('Référentiel films'!$A$8,"’","'"),SUBSTITUTE(F25,"’","'"))),'Référentiel films'!$B$8,""),IF(ISNUMBER(SEARCH(SUBSTITUTE('Référentiel films'!$A$9,"’","'"),SUBSTITUTE(F25,"’","'"))),'Référentiel films'!$B$9,""),IF(ISNUMBER(SEARCH(SUBSTITUTE('Référentiel films'!$A$10,"’","'"),SUBSTITUTE(F25,"’","'"))),'Référentiel films'!$B$10,""),IF(ISNUMBER(SEARCH(SUBSTITUTE('Référentiel films'!$A$11,"’","'"),SUBSTITUTE(F25,"’","'"))),'Référentiel films'!$B$11,""),IF(ISNUMBER(SEARCH(SUBSTITUTE('Référentiel films'!$A$12,"’","'"),SUBSTITUTE(F25,"’","'"))),'Référentiel films'!$B$12,""),IF(ISNUMBER(SEARCH(SUBSTITUTE('Référentiel films'!$A$13,"’","'"),SUBSTITUTE(F25,"’","'"))),'Référentiel films'!$B$13,""),IF(ISNUMBER(SEARCH(SUBSTITUTE('Référentiel films'!$A$14,"’","'"),SUBSTITUTE(F25,"’","'"))),'Référentiel films'!$B$14,""),IF(ISNUMBER(SEARCH(SUBSTITUTE('Référentiel films'!$A$15,"’","'"),SUBSTITUTE(F25,"’","'"))),'Référentiel films'!$B$15,""),IF(ISNUMBER(SEARCH(SUBSTITUTE('Référentiel films'!$A$16,"’","'"),SUBSTITUTE(F25,"’","'"))),'Référentiel films'!$B$16,""),IF(ISNUMBER(SEARCH(SUBSTITUTE('Référentiel films'!$A$17,"’","'"),SUBSTITUTE(F25,"’","'"))),'Référentiel films'!$B$17,""),IF(ISNUMBER(SEARCH(SUBSTITUTE('Référentiel films'!$A$18,"’","'"),SUBSTITUTE(F25,"’","'"))),'Référentiel films'!$B$18,""),IF(ISNUMBER(SEARCH(SUBSTITUTE('Référentiel films'!$A$19,"’","'"),SUBSTITUTE(F25,"’","'"))),'Référentiel films'!$B$19,""),IF(ISNUMBER(SEARCH(SUBSTITUTE('Référentiel films'!$A$20,"’","'"),SUBSTITUTE(F25,"’","'"))),'Référentiel films'!$B$20,""),IF(ISNUMBER(SEARCH(SUBSTITUTE('Référentiel films'!$A$21,"’","'"),SUBSTITUTE(F25,"’","'"))),'Référentiel films'!$B$21,""),IF(ISNUMBER(SEARCH(SUBSTITUTE('Référentiel films'!$A$22,"’","'"),SUBSTITUTE(F25,"’","'"))),'Référentiel films'!$B$22,""),IF(ISNUMBER(SEARCH(SUBSTITUTE('Référentiel films'!$A$23,"’","'"),SUBSTITUTE(F25,"’","'"))),'Référentiel films'!$B$23,""),IF(ISNUMBER(SEARCH(SUBSTITUTE('Référentiel films'!$A$24,"’","'"),SUBSTITUTE(F25,"’","'"))),'Référentiel films'!$B$24,""),IF(ISNUMBER(SEARCH(SUBSTITUTE('Référentiel films'!$A$25,"’","'"),SUBSTITUTE(F25,"’","'"))),'Référentiel films'!$B$25,""),IF(ISNUMBER(SEARCH(SUBSTITUTE('Référentiel films'!$A$26,"’","'"),SUBSTITUTE(F25,"’","'"))),'Référentiel films'!$B$26,""),IF(ISNUMBER(SEARCH(SUBSTITUTE('Référentiel films'!$A$27,"’","'"),SUBSTITUTE(F25,"’","'"))),'Référentiel films'!$B$27,""),IF(ISNUMBER(SEARCH(SUBSTITUTE('Référentiel films'!$A$28,"’","'"),SUBSTITUTE(F25,"’","'"))),'Référentiel films'!$B$28,""),IF(ISNUMBER(SEARCH(SUBSTITUTE('Référentiel films'!$A$29,"’","'"),SUBSTITUTE(F25,"’","'"))),'Référentiel films'!$B$29,""),IF(ISNUMBER(SEARCH(SUBSTITUTE('Référentiel films'!$A$30,"’","'"),SUBSTITUTE(F25,"’","'"))),'Référentiel films'!$B$30,""),IF(ISNUMBER(SEARCH(SUBSTITUTE('Référentiel films'!$A$31,"’","'"),SUBSTITUTE(F25,"’","'"))),'Référentiel films'!$B$31,""),IF(ISNUMBER(SEARCH(SUBSTITUTE('Référentiel films'!$A$32,"’","'"),SUBSTITUTE(F25,"’","'"))),'Référentiel films'!$B$32,""),IF(ISNUMBER(SEARCH(SUBSTITUTE('Référentiel films'!$A$33,"’","'"),SUBSTITUTE(F25,"’","'"))),'Référentiel films'!$B$33,""),IF(ISNUMBER(SEARCH(SUBSTITUTE('Référentiel films'!$A$34,"’","'"),SUBSTITUTE(F25,"’","'"))),'Référentiel films'!$B$34,""),IF(ISNUMBER(SEARCH(SUBSTITUTE('Référentiel films'!$A$35,"’","'"),SUBSTITUTE(F25,"’","'"))),'Référentiel films'!$B$35,""),IF(ISNUMBER(SEARCH(SUBSTITUTE('Référentiel films'!$A$36,"’","'"),SUBSTITUTE(F25,"’","'"))),'Référentiel films'!$B$36,""),IF(ISNUMBER(SEARCH(SUBSTITUTE('Référentiel films'!$A$37,"’","'"),SUBSTITUTE(F25,"’","'"))),'Référentiel films'!$B$37,""),IF(ISNUMBER(SEARCH(SUBSTITUTE('Référentiel films'!$A$38,"’","'"),SUBSTITUTE(F25,"’","'"))),'Référentiel films'!$B$38,""),IF(ISNUMBER(SEARCH(SUBSTITUTE('Référentiel films'!$A$39,"’","'"),SUBSTITUTE(F25,"’","'"))),'Référentiel films'!$B$39,""),IF(ISNUMBER(SEARCH(SUBSTITUTE('Référentiel films'!$A$40,"’","'"),SUBSTITUTE(F25,"’","'"))),'Référentiel films'!$B$40,""),IF(ISNUMBER(SEARCH(SUBSTITUTE('Référentiel films'!$A$41,"’","'"),SUBSTITUTE(F25,"’","'"))),'Référentiel films'!$B$41,"")))</f>
        <v>film-1970-les-dieux-de-la-peste; film-1970-pourquoi-m-r-est-il-atteint-de-folie-meurtriere; film-1970-le-soldat-americain; film-1970-le-voyage-a-niklashausen</v>
      </c>
    </row>
    <row r="26" spans="1:21" ht="240" customHeight="1" x14ac:dyDescent="0.2">
      <c r="A26" s="1">
        <v>1971</v>
      </c>
      <c r="B26" s="1" t="s">
        <v>261</v>
      </c>
      <c r="C26" s="1" t="s">
        <v>217</v>
      </c>
      <c r="D26" s="1" t="s">
        <v>72</v>
      </c>
      <c r="E26" s="1" t="s">
        <v>73</v>
      </c>
      <c r="F26" s="17" t="s">
        <v>74</v>
      </c>
      <c r="G26" s="12" t="s">
        <v>316</v>
      </c>
      <c r="H26" s="12"/>
      <c r="I26" s="12"/>
      <c r="J26" s="12"/>
      <c r="K26" s="12"/>
      <c r="L26" s="12" t="s">
        <v>317</v>
      </c>
      <c r="M26" s="1" t="s">
        <v>75</v>
      </c>
      <c r="N26" s="14" t="s">
        <v>230</v>
      </c>
      <c r="O26" s="12" t="s">
        <v>241</v>
      </c>
      <c r="P26" s="12" t="s">
        <v>242</v>
      </c>
      <c r="Q26" s="1"/>
      <c r="R26" s="1"/>
      <c r="S26" s="1" t="s">
        <v>28</v>
      </c>
      <c r="T26" s="12"/>
      <c r="U26" s="2" t="str">
        <f>IF(F26="","",_xlfn.TEXTJOIN("; ",TRUE(),IF(ISNUMBER(SEARCH(SUBSTITUTE('Référentiel films'!$A$2,"’","'"),SUBSTITUTE(F26,"’","'"))),'Référentiel films'!$B$2,""),IF(ISNUMBER(SEARCH(SUBSTITUTE('Référentiel films'!$A$3,"’","'"),SUBSTITUTE(F26,"’","'"))),'Référentiel films'!$B$3,""),IF(ISNUMBER(SEARCH(SUBSTITUTE('Référentiel films'!$A$4,"’","'"),SUBSTITUTE(F26,"’","'"))),'Référentiel films'!$B$4,""),IF(ISNUMBER(SEARCH(SUBSTITUTE('Référentiel films'!$A$5,"’","'"),SUBSTITUTE(F26,"’","'"))),'Référentiel films'!$B$5,""),IF(ISNUMBER(SEARCH(SUBSTITUTE('Référentiel films'!$A$6,"’","'"),SUBSTITUTE(F26,"’","'"))),'Référentiel films'!$B$6,""),IF(ISNUMBER(SEARCH(SUBSTITUTE('Référentiel films'!$A$7,"’","'"),SUBSTITUTE(F26,"’","'"))),'Référentiel films'!$B$7,""),IF(ISNUMBER(SEARCH(SUBSTITUTE('Référentiel films'!$A$8,"’","'"),SUBSTITUTE(F26,"’","'"))),'Référentiel films'!$B$8,""),IF(ISNUMBER(SEARCH(SUBSTITUTE('Référentiel films'!$A$9,"’","'"),SUBSTITUTE(F26,"’","'"))),'Référentiel films'!$B$9,""),IF(ISNUMBER(SEARCH(SUBSTITUTE('Référentiel films'!$A$10,"’","'"),SUBSTITUTE(F26,"’","'"))),'Référentiel films'!$B$10,""),IF(ISNUMBER(SEARCH(SUBSTITUTE('Référentiel films'!$A$11,"’","'"),SUBSTITUTE(F26,"’","'"))),'Référentiel films'!$B$11,""),IF(ISNUMBER(SEARCH(SUBSTITUTE('Référentiel films'!$A$12,"’","'"),SUBSTITUTE(F26,"’","'"))),'Référentiel films'!$B$12,""),IF(ISNUMBER(SEARCH(SUBSTITUTE('Référentiel films'!$A$13,"’","'"),SUBSTITUTE(F26,"’","'"))),'Référentiel films'!$B$13,""),IF(ISNUMBER(SEARCH(SUBSTITUTE('Référentiel films'!$A$14,"’","'"),SUBSTITUTE(F26,"’","'"))),'Référentiel films'!$B$14,""),IF(ISNUMBER(SEARCH(SUBSTITUTE('Référentiel films'!$A$15,"’","'"),SUBSTITUTE(F26,"’","'"))),'Référentiel films'!$B$15,""),IF(ISNUMBER(SEARCH(SUBSTITUTE('Référentiel films'!$A$16,"’","'"),SUBSTITUTE(F26,"’","'"))),'Référentiel films'!$B$16,""),IF(ISNUMBER(SEARCH(SUBSTITUTE('Référentiel films'!$A$17,"’","'"),SUBSTITUTE(F26,"’","'"))),'Référentiel films'!$B$17,""),IF(ISNUMBER(SEARCH(SUBSTITUTE('Référentiel films'!$A$18,"’","'"),SUBSTITUTE(F26,"’","'"))),'Référentiel films'!$B$18,""),IF(ISNUMBER(SEARCH(SUBSTITUTE('Référentiel films'!$A$19,"’","'"),SUBSTITUTE(F26,"’","'"))),'Référentiel films'!$B$19,""),IF(ISNUMBER(SEARCH(SUBSTITUTE('Référentiel films'!$A$20,"’","'"),SUBSTITUTE(F26,"’","'"))),'Référentiel films'!$B$20,""),IF(ISNUMBER(SEARCH(SUBSTITUTE('Référentiel films'!$A$21,"’","'"),SUBSTITUTE(F26,"’","'"))),'Référentiel films'!$B$21,""),IF(ISNUMBER(SEARCH(SUBSTITUTE('Référentiel films'!$A$22,"’","'"),SUBSTITUTE(F26,"’","'"))),'Référentiel films'!$B$22,""),IF(ISNUMBER(SEARCH(SUBSTITUTE('Référentiel films'!$A$23,"’","'"),SUBSTITUTE(F26,"’","'"))),'Référentiel films'!$B$23,""),IF(ISNUMBER(SEARCH(SUBSTITUTE('Référentiel films'!$A$24,"’","'"),SUBSTITUTE(F26,"’","'"))),'Référentiel films'!$B$24,""),IF(ISNUMBER(SEARCH(SUBSTITUTE('Référentiel films'!$A$25,"’","'"),SUBSTITUTE(F26,"’","'"))),'Référentiel films'!$B$25,""),IF(ISNUMBER(SEARCH(SUBSTITUTE('Référentiel films'!$A$26,"’","'"),SUBSTITUTE(F26,"’","'"))),'Référentiel films'!$B$26,""),IF(ISNUMBER(SEARCH(SUBSTITUTE('Référentiel films'!$A$27,"’","'"),SUBSTITUTE(F26,"’","'"))),'Référentiel films'!$B$27,""),IF(ISNUMBER(SEARCH(SUBSTITUTE('Référentiel films'!$A$28,"’","'"),SUBSTITUTE(F26,"’","'"))),'Référentiel films'!$B$28,""),IF(ISNUMBER(SEARCH(SUBSTITUTE('Référentiel films'!$A$29,"’","'"),SUBSTITUTE(F26,"’","'"))),'Référentiel films'!$B$29,""),IF(ISNUMBER(SEARCH(SUBSTITUTE('Référentiel films'!$A$30,"’","'"),SUBSTITUTE(F26,"’","'"))),'Référentiel films'!$B$30,""),IF(ISNUMBER(SEARCH(SUBSTITUTE('Référentiel films'!$A$31,"’","'"),SUBSTITUTE(F26,"’","'"))),'Référentiel films'!$B$31,""),IF(ISNUMBER(SEARCH(SUBSTITUTE('Référentiel films'!$A$32,"’","'"),SUBSTITUTE(F26,"’","'"))),'Référentiel films'!$B$32,""),IF(ISNUMBER(SEARCH(SUBSTITUTE('Référentiel films'!$A$33,"’","'"),SUBSTITUTE(F26,"’","'"))),'Référentiel films'!$B$33,""),IF(ISNUMBER(SEARCH(SUBSTITUTE('Référentiel films'!$A$34,"’","'"),SUBSTITUTE(F26,"’","'"))),'Référentiel films'!$B$34,""),IF(ISNUMBER(SEARCH(SUBSTITUTE('Référentiel films'!$A$35,"’","'"),SUBSTITUTE(F26,"’","'"))),'Référentiel films'!$B$35,""),IF(ISNUMBER(SEARCH(SUBSTITUTE('Référentiel films'!$A$36,"’","'"),SUBSTITUTE(F26,"’","'"))),'Référentiel films'!$B$36,""),IF(ISNUMBER(SEARCH(SUBSTITUTE('Référentiel films'!$A$37,"’","'"),SUBSTITUTE(F26,"’","'"))),'Référentiel films'!$B$37,""),IF(ISNUMBER(SEARCH(SUBSTITUTE('Référentiel films'!$A$38,"’","'"),SUBSTITUTE(F26,"’","'"))),'Référentiel films'!$B$38,""),IF(ISNUMBER(SEARCH(SUBSTITUTE('Référentiel films'!$A$39,"’","'"),SUBSTITUTE(F26,"’","'"))),'Référentiel films'!$B$39,""),IF(ISNUMBER(SEARCH(SUBSTITUTE('Référentiel films'!$A$40,"’","'"),SUBSTITUTE(F26,"’","'"))),'Référentiel films'!$B$40,""),IF(ISNUMBER(SEARCH(SUBSTITUTE('Référentiel films'!$A$41,"’","'"),SUBSTITUTE(F26,"’","'"))),'Référentiel films'!$B$41,"")))</f>
        <v>film-1971-whity; film-1971-prenez-garde-a-la-sainte-putain; film-1971-pionniers-a-ingolstadt</v>
      </c>
    </row>
    <row r="27" spans="1:21" ht="304" customHeight="1" x14ac:dyDescent="0.2">
      <c r="A27" s="1">
        <v>1972</v>
      </c>
      <c r="B27" s="1" t="s">
        <v>261</v>
      </c>
      <c r="C27" s="1" t="s">
        <v>218</v>
      </c>
      <c r="D27" s="14" t="s">
        <v>318</v>
      </c>
      <c r="E27" s="1"/>
      <c r="F27" s="17" t="s">
        <v>219</v>
      </c>
      <c r="G27" s="12"/>
      <c r="H27" s="27" t="s">
        <v>232</v>
      </c>
      <c r="I27" s="12"/>
      <c r="J27" s="12"/>
      <c r="K27" s="12"/>
      <c r="L27" s="12"/>
      <c r="M27" s="12" t="s">
        <v>241</v>
      </c>
      <c r="N27" s="12" t="s">
        <v>242</v>
      </c>
      <c r="O27" s="1"/>
      <c r="P27" s="1"/>
      <c r="Q27" s="1"/>
      <c r="R27" s="1"/>
      <c r="S27" s="1"/>
      <c r="T27" s="12"/>
      <c r="U27" s="2" t="str">
        <f>IF(F27="","",_xlfn.TEXTJOIN("; ",TRUE(),IF(ISNUMBER(SEARCH(SUBSTITUTE('Référentiel films'!$A$2,"’","'"),SUBSTITUTE(F27,"’","'"))),'Référentiel films'!$B$2,""),IF(ISNUMBER(SEARCH(SUBSTITUTE('Référentiel films'!$A$3,"’","'"),SUBSTITUTE(F27,"’","'"))),'Référentiel films'!$B$3,""),IF(ISNUMBER(SEARCH(SUBSTITUTE('Référentiel films'!$A$4,"’","'"),SUBSTITUTE(F27,"’","'"))),'Référentiel films'!$B$4,""),IF(ISNUMBER(SEARCH(SUBSTITUTE('Référentiel films'!$A$5,"’","'"),SUBSTITUTE(F27,"’","'"))),'Référentiel films'!$B$5,""),IF(ISNUMBER(SEARCH(SUBSTITUTE('Référentiel films'!$A$6,"’","'"),SUBSTITUTE(F27,"’","'"))),'Référentiel films'!$B$6,""),IF(ISNUMBER(SEARCH(SUBSTITUTE('Référentiel films'!$A$7,"’","'"),SUBSTITUTE(F27,"’","'"))),'Référentiel films'!$B$7,""),IF(ISNUMBER(SEARCH(SUBSTITUTE('Référentiel films'!$A$8,"’","'"),SUBSTITUTE(F27,"’","'"))),'Référentiel films'!$B$8,""),IF(ISNUMBER(SEARCH(SUBSTITUTE('Référentiel films'!$A$9,"’","'"),SUBSTITUTE(F27,"’","'"))),'Référentiel films'!$B$9,""),IF(ISNUMBER(SEARCH(SUBSTITUTE('Référentiel films'!$A$10,"’","'"),SUBSTITUTE(F27,"’","'"))),'Référentiel films'!$B$10,""),IF(ISNUMBER(SEARCH(SUBSTITUTE('Référentiel films'!$A$11,"’","'"),SUBSTITUTE(F27,"’","'"))),'Référentiel films'!$B$11,""),IF(ISNUMBER(SEARCH(SUBSTITUTE('Référentiel films'!$A$12,"’","'"),SUBSTITUTE(F27,"’","'"))),'Référentiel films'!$B$12,""),IF(ISNUMBER(SEARCH(SUBSTITUTE('Référentiel films'!$A$13,"’","'"),SUBSTITUTE(F27,"’","'"))),'Référentiel films'!$B$13,""),IF(ISNUMBER(SEARCH(SUBSTITUTE('Référentiel films'!$A$14,"’","'"),SUBSTITUTE(F27,"’","'"))),'Référentiel films'!$B$14,""),IF(ISNUMBER(SEARCH(SUBSTITUTE('Référentiel films'!$A$15,"’","'"),SUBSTITUTE(F27,"’","'"))),'Référentiel films'!$B$15,""),IF(ISNUMBER(SEARCH(SUBSTITUTE('Référentiel films'!$A$16,"’","'"),SUBSTITUTE(F27,"’","'"))),'Référentiel films'!$B$16,""),IF(ISNUMBER(SEARCH(SUBSTITUTE('Référentiel films'!$A$17,"’","'"),SUBSTITUTE(F27,"’","'"))),'Référentiel films'!$B$17,""),IF(ISNUMBER(SEARCH(SUBSTITUTE('Référentiel films'!$A$18,"’","'"),SUBSTITUTE(F27,"’","'"))),'Référentiel films'!$B$18,""),IF(ISNUMBER(SEARCH(SUBSTITUTE('Référentiel films'!$A$19,"’","'"),SUBSTITUTE(F27,"’","'"))),'Référentiel films'!$B$19,""),IF(ISNUMBER(SEARCH(SUBSTITUTE('Référentiel films'!$A$20,"’","'"),SUBSTITUTE(F27,"’","'"))),'Référentiel films'!$B$20,""),IF(ISNUMBER(SEARCH(SUBSTITUTE('Référentiel films'!$A$21,"’","'"),SUBSTITUTE(F27,"’","'"))),'Référentiel films'!$B$21,""),IF(ISNUMBER(SEARCH(SUBSTITUTE('Référentiel films'!$A$22,"’","'"),SUBSTITUTE(F27,"’","'"))),'Référentiel films'!$B$22,""),IF(ISNUMBER(SEARCH(SUBSTITUTE('Référentiel films'!$A$23,"’","'"),SUBSTITUTE(F27,"’","'"))),'Référentiel films'!$B$23,""),IF(ISNUMBER(SEARCH(SUBSTITUTE('Référentiel films'!$A$24,"’","'"),SUBSTITUTE(F27,"’","'"))),'Référentiel films'!$B$24,""),IF(ISNUMBER(SEARCH(SUBSTITUTE('Référentiel films'!$A$25,"’","'"),SUBSTITUTE(F27,"’","'"))),'Référentiel films'!$B$25,""),IF(ISNUMBER(SEARCH(SUBSTITUTE('Référentiel films'!$A$26,"’","'"),SUBSTITUTE(F27,"’","'"))),'Référentiel films'!$B$26,""),IF(ISNUMBER(SEARCH(SUBSTITUTE('Référentiel films'!$A$27,"’","'"),SUBSTITUTE(F27,"’","'"))),'Référentiel films'!$B$27,""),IF(ISNUMBER(SEARCH(SUBSTITUTE('Référentiel films'!$A$28,"’","'"),SUBSTITUTE(F27,"’","'"))),'Référentiel films'!$B$28,""),IF(ISNUMBER(SEARCH(SUBSTITUTE('Référentiel films'!$A$29,"’","'"),SUBSTITUTE(F27,"’","'"))),'Référentiel films'!$B$29,""),IF(ISNUMBER(SEARCH(SUBSTITUTE('Référentiel films'!$A$30,"’","'"),SUBSTITUTE(F27,"’","'"))),'Référentiel films'!$B$30,""),IF(ISNUMBER(SEARCH(SUBSTITUTE('Référentiel films'!$A$31,"’","'"),SUBSTITUTE(F27,"’","'"))),'Référentiel films'!$B$31,""),IF(ISNUMBER(SEARCH(SUBSTITUTE('Référentiel films'!$A$32,"’","'"),SUBSTITUTE(F27,"’","'"))),'Référentiel films'!$B$32,""),IF(ISNUMBER(SEARCH(SUBSTITUTE('Référentiel films'!$A$33,"’","'"),SUBSTITUTE(F27,"’","'"))),'Référentiel films'!$B$33,""),IF(ISNUMBER(SEARCH(SUBSTITUTE('Référentiel films'!$A$34,"’","'"),SUBSTITUTE(F27,"’","'"))),'Référentiel films'!$B$34,""),IF(ISNUMBER(SEARCH(SUBSTITUTE('Référentiel films'!$A$35,"’","'"),SUBSTITUTE(F27,"’","'"))),'Référentiel films'!$B$35,""),IF(ISNUMBER(SEARCH(SUBSTITUTE('Référentiel films'!$A$36,"’","'"),SUBSTITUTE(F27,"’","'"))),'Référentiel films'!$B$36,""),IF(ISNUMBER(SEARCH(SUBSTITUTE('Référentiel films'!$A$37,"’","'"),SUBSTITUTE(F27,"’","'"))),'Référentiel films'!$B$37,""),IF(ISNUMBER(SEARCH(SUBSTITUTE('Référentiel films'!$A$38,"’","'"),SUBSTITUTE(F27,"’","'"))),'Référentiel films'!$B$38,""),IF(ISNUMBER(SEARCH(SUBSTITUTE('Référentiel films'!$A$39,"’","'"),SUBSTITUTE(F27,"’","'"))),'Référentiel films'!$B$39,""),IF(ISNUMBER(SEARCH(SUBSTITUTE('Référentiel films'!$A$40,"’","'"),SUBSTITUTE(F27,"’","'"))),'Référentiel films'!$B$40,""),IF(ISNUMBER(SEARCH(SUBSTITUTE('Référentiel films'!$A$41,"’","'"),SUBSTITUTE(F27,"’","'"))),'Référentiel films'!$B$41,"")))</f>
        <v>film-1972-le-marchand-des-quatre-saisons; film-1972-les-larmes-ameres-de-petra-von-kant; film-1972-liberte-a-breme; film-1972-huit-heures-ne-font-pas-un-jour</v>
      </c>
    </row>
    <row r="28" spans="1:21" ht="96" customHeight="1" x14ac:dyDescent="0.2">
      <c r="A28" s="1">
        <v>1973</v>
      </c>
      <c r="B28" s="1" t="s">
        <v>261</v>
      </c>
      <c r="C28" s="1" t="s">
        <v>319</v>
      </c>
      <c r="D28" s="18" t="s">
        <v>220</v>
      </c>
      <c r="E28" s="1"/>
      <c r="F28" s="17" t="s">
        <v>221</v>
      </c>
      <c r="G28" s="1"/>
      <c r="H28" s="28"/>
      <c r="I28" s="12"/>
      <c r="J28" s="12"/>
      <c r="K28" s="12"/>
      <c r="L28" s="12"/>
      <c r="M28" s="12" t="s">
        <v>241</v>
      </c>
      <c r="N28" s="12" t="s">
        <v>242</v>
      </c>
      <c r="O28" s="1"/>
      <c r="P28" s="1"/>
      <c r="Q28" s="1"/>
      <c r="R28" s="1"/>
      <c r="S28" s="1"/>
      <c r="T28" s="12"/>
      <c r="U28" s="2" t="str">
        <f>IF(F28="","",_xlfn.TEXTJOIN("; ",TRUE(),IF(ISNUMBER(SEARCH(SUBSTITUTE('Référentiel films'!$A$2,"’","'"),SUBSTITUTE(F28,"’","'"))),'Référentiel films'!$B$2,""),IF(ISNUMBER(SEARCH(SUBSTITUTE('Référentiel films'!$A$3,"’","'"),SUBSTITUTE(F28,"’","'"))),'Référentiel films'!$B$3,""),IF(ISNUMBER(SEARCH(SUBSTITUTE('Référentiel films'!$A$4,"’","'"),SUBSTITUTE(F28,"’","'"))),'Référentiel films'!$B$4,""),IF(ISNUMBER(SEARCH(SUBSTITUTE('Référentiel films'!$A$5,"’","'"),SUBSTITUTE(F28,"’","'"))),'Référentiel films'!$B$5,""),IF(ISNUMBER(SEARCH(SUBSTITUTE('Référentiel films'!$A$6,"’","'"),SUBSTITUTE(F28,"’","'"))),'Référentiel films'!$B$6,""),IF(ISNUMBER(SEARCH(SUBSTITUTE('Référentiel films'!$A$7,"’","'"),SUBSTITUTE(F28,"’","'"))),'Référentiel films'!$B$7,""),IF(ISNUMBER(SEARCH(SUBSTITUTE('Référentiel films'!$A$8,"’","'"),SUBSTITUTE(F28,"’","'"))),'Référentiel films'!$B$8,""),IF(ISNUMBER(SEARCH(SUBSTITUTE('Référentiel films'!$A$9,"’","'"),SUBSTITUTE(F28,"’","'"))),'Référentiel films'!$B$9,""),IF(ISNUMBER(SEARCH(SUBSTITUTE('Référentiel films'!$A$10,"’","'"),SUBSTITUTE(F28,"’","'"))),'Référentiel films'!$B$10,""),IF(ISNUMBER(SEARCH(SUBSTITUTE('Référentiel films'!$A$11,"’","'"),SUBSTITUTE(F28,"’","'"))),'Référentiel films'!$B$11,""),IF(ISNUMBER(SEARCH(SUBSTITUTE('Référentiel films'!$A$12,"’","'"),SUBSTITUTE(F28,"’","'"))),'Référentiel films'!$B$12,""),IF(ISNUMBER(SEARCH(SUBSTITUTE('Référentiel films'!$A$13,"’","'"),SUBSTITUTE(F28,"’","'"))),'Référentiel films'!$B$13,""),IF(ISNUMBER(SEARCH(SUBSTITUTE('Référentiel films'!$A$14,"’","'"),SUBSTITUTE(F28,"’","'"))),'Référentiel films'!$B$14,""),IF(ISNUMBER(SEARCH(SUBSTITUTE('Référentiel films'!$A$15,"’","'"),SUBSTITUTE(F28,"’","'"))),'Référentiel films'!$B$15,""),IF(ISNUMBER(SEARCH(SUBSTITUTE('Référentiel films'!$A$16,"’","'"),SUBSTITUTE(F28,"’","'"))),'Référentiel films'!$B$16,""),IF(ISNUMBER(SEARCH(SUBSTITUTE('Référentiel films'!$A$17,"’","'"),SUBSTITUTE(F28,"’","'"))),'Référentiel films'!$B$17,""),IF(ISNUMBER(SEARCH(SUBSTITUTE('Référentiel films'!$A$18,"’","'"),SUBSTITUTE(F28,"’","'"))),'Référentiel films'!$B$18,""),IF(ISNUMBER(SEARCH(SUBSTITUTE('Référentiel films'!$A$19,"’","'"),SUBSTITUTE(F28,"’","'"))),'Référentiel films'!$B$19,""),IF(ISNUMBER(SEARCH(SUBSTITUTE('Référentiel films'!$A$20,"’","'"),SUBSTITUTE(F28,"’","'"))),'Référentiel films'!$B$20,""),IF(ISNUMBER(SEARCH(SUBSTITUTE('Référentiel films'!$A$21,"’","'"),SUBSTITUTE(F28,"’","'"))),'Référentiel films'!$B$21,""),IF(ISNUMBER(SEARCH(SUBSTITUTE('Référentiel films'!$A$22,"’","'"),SUBSTITUTE(F28,"’","'"))),'Référentiel films'!$B$22,""),IF(ISNUMBER(SEARCH(SUBSTITUTE('Référentiel films'!$A$23,"’","'"),SUBSTITUTE(F28,"’","'"))),'Référentiel films'!$B$23,""),IF(ISNUMBER(SEARCH(SUBSTITUTE('Référentiel films'!$A$24,"’","'"),SUBSTITUTE(F28,"’","'"))),'Référentiel films'!$B$24,""),IF(ISNUMBER(SEARCH(SUBSTITUTE('Référentiel films'!$A$25,"’","'"),SUBSTITUTE(F28,"’","'"))),'Référentiel films'!$B$25,""),IF(ISNUMBER(SEARCH(SUBSTITUTE('Référentiel films'!$A$26,"’","'"),SUBSTITUTE(F28,"’","'"))),'Référentiel films'!$B$26,""),IF(ISNUMBER(SEARCH(SUBSTITUTE('Référentiel films'!$A$27,"’","'"),SUBSTITUTE(F28,"’","'"))),'Référentiel films'!$B$27,""),IF(ISNUMBER(SEARCH(SUBSTITUTE('Référentiel films'!$A$28,"’","'"),SUBSTITUTE(F28,"’","'"))),'Référentiel films'!$B$28,""),IF(ISNUMBER(SEARCH(SUBSTITUTE('Référentiel films'!$A$29,"’","'"),SUBSTITUTE(F28,"’","'"))),'Référentiel films'!$B$29,""),IF(ISNUMBER(SEARCH(SUBSTITUTE('Référentiel films'!$A$30,"’","'"),SUBSTITUTE(F28,"’","'"))),'Référentiel films'!$B$30,""),IF(ISNUMBER(SEARCH(SUBSTITUTE('Référentiel films'!$A$31,"’","'"),SUBSTITUTE(F28,"’","'"))),'Référentiel films'!$B$31,""),IF(ISNUMBER(SEARCH(SUBSTITUTE('Référentiel films'!$A$32,"’","'"),SUBSTITUTE(F28,"’","'"))),'Référentiel films'!$B$32,""),IF(ISNUMBER(SEARCH(SUBSTITUTE('Référentiel films'!$A$33,"’","'"),SUBSTITUTE(F28,"’","'"))),'Référentiel films'!$B$33,""),IF(ISNUMBER(SEARCH(SUBSTITUTE('Référentiel films'!$A$34,"’","'"),SUBSTITUTE(F28,"’","'"))),'Référentiel films'!$B$34,""),IF(ISNUMBER(SEARCH(SUBSTITUTE('Référentiel films'!$A$35,"’","'"),SUBSTITUTE(F28,"’","'"))),'Référentiel films'!$B$35,""),IF(ISNUMBER(SEARCH(SUBSTITUTE('Référentiel films'!$A$36,"’","'"),SUBSTITUTE(F28,"’","'"))),'Référentiel films'!$B$36,""),IF(ISNUMBER(SEARCH(SUBSTITUTE('Référentiel films'!$A$37,"’","'"),SUBSTITUTE(F28,"’","'"))),'Référentiel films'!$B$37,""),IF(ISNUMBER(SEARCH(SUBSTITUTE('Référentiel films'!$A$38,"’","'"),SUBSTITUTE(F28,"’","'"))),'Référentiel films'!$B$38,""),IF(ISNUMBER(SEARCH(SUBSTITUTE('Référentiel films'!$A$39,"’","'"),SUBSTITUTE(F28,"’","'"))),'Référentiel films'!$B$39,""),IF(ISNUMBER(SEARCH(SUBSTITUTE('Référentiel films'!$A$40,"’","'"),SUBSTITUTE(F28,"’","'"))),'Référentiel films'!$B$40,""),IF(ISNUMBER(SEARCH(SUBSTITUTE('Référentiel films'!$A$41,"’","'"),SUBSTITUTE(F28,"’","'"))),'Référentiel films'!$B$41,"")))</f>
        <v>film-1973-gibier-de-passage; film-1973-le-monde-sur-un-fil</v>
      </c>
    </row>
    <row r="29" spans="1:21" ht="224" customHeight="1" x14ac:dyDescent="0.2">
      <c r="A29" s="1">
        <v>1974</v>
      </c>
      <c r="B29" s="1" t="s">
        <v>253</v>
      </c>
      <c r="C29" s="1" t="s">
        <v>252</v>
      </c>
      <c r="D29" s="1"/>
      <c r="E29" s="1"/>
      <c r="F29" s="15" t="s">
        <v>320</v>
      </c>
      <c r="G29" s="1" t="s">
        <v>76</v>
      </c>
      <c r="H29" s="12"/>
      <c r="I29" s="12"/>
      <c r="J29" s="12"/>
      <c r="K29" s="12"/>
      <c r="L29" s="12"/>
      <c r="M29" s="12" t="s">
        <v>241</v>
      </c>
      <c r="N29" s="12" t="s">
        <v>242</v>
      </c>
      <c r="O29" s="1" t="s">
        <v>245</v>
      </c>
      <c r="P29" s="1" t="s">
        <v>246</v>
      </c>
      <c r="Q29" s="1"/>
      <c r="R29" s="1"/>
      <c r="S29" s="1"/>
      <c r="T29" s="12"/>
      <c r="U29" s="2" t="str">
        <f>IF(F29="","",_xlfn.TEXTJOIN("; ",TRUE(),IF(ISNUMBER(SEARCH(SUBSTITUTE('Référentiel films'!$A$2,"’","'"),SUBSTITUTE(F29,"’","'"))),'Référentiel films'!$B$2,""),IF(ISNUMBER(SEARCH(SUBSTITUTE('Référentiel films'!$A$3,"’","'"),SUBSTITUTE(F29,"’","'"))),'Référentiel films'!$B$3,""),IF(ISNUMBER(SEARCH(SUBSTITUTE('Référentiel films'!$A$4,"’","'"),SUBSTITUTE(F29,"’","'"))),'Référentiel films'!$B$4,""),IF(ISNUMBER(SEARCH(SUBSTITUTE('Référentiel films'!$A$5,"’","'"),SUBSTITUTE(F29,"’","'"))),'Référentiel films'!$B$5,""),IF(ISNUMBER(SEARCH(SUBSTITUTE('Référentiel films'!$A$6,"’","'"),SUBSTITUTE(F29,"’","'"))),'Référentiel films'!$B$6,""),IF(ISNUMBER(SEARCH(SUBSTITUTE('Référentiel films'!$A$7,"’","'"),SUBSTITUTE(F29,"’","'"))),'Référentiel films'!$B$7,""),IF(ISNUMBER(SEARCH(SUBSTITUTE('Référentiel films'!$A$8,"’","'"),SUBSTITUTE(F29,"’","'"))),'Référentiel films'!$B$8,""),IF(ISNUMBER(SEARCH(SUBSTITUTE('Référentiel films'!$A$9,"’","'"),SUBSTITUTE(F29,"’","'"))),'Référentiel films'!$B$9,""),IF(ISNUMBER(SEARCH(SUBSTITUTE('Référentiel films'!$A$10,"’","'"),SUBSTITUTE(F29,"’","'"))),'Référentiel films'!$B$10,""),IF(ISNUMBER(SEARCH(SUBSTITUTE('Référentiel films'!$A$11,"’","'"),SUBSTITUTE(F29,"’","'"))),'Référentiel films'!$B$11,""),IF(ISNUMBER(SEARCH(SUBSTITUTE('Référentiel films'!$A$12,"’","'"),SUBSTITUTE(F29,"’","'"))),'Référentiel films'!$B$12,""),IF(ISNUMBER(SEARCH(SUBSTITUTE('Référentiel films'!$A$13,"’","'"),SUBSTITUTE(F29,"’","'"))),'Référentiel films'!$B$13,""),IF(ISNUMBER(SEARCH(SUBSTITUTE('Référentiel films'!$A$14,"’","'"),SUBSTITUTE(F29,"’","'"))),'Référentiel films'!$B$14,""),IF(ISNUMBER(SEARCH(SUBSTITUTE('Référentiel films'!$A$15,"’","'"),SUBSTITUTE(F29,"’","'"))),'Référentiel films'!$B$15,""),IF(ISNUMBER(SEARCH(SUBSTITUTE('Référentiel films'!$A$16,"’","'"),SUBSTITUTE(F29,"’","'"))),'Référentiel films'!$B$16,""),IF(ISNUMBER(SEARCH(SUBSTITUTE('Référentiel films'!$A$17,"’","'"),SUBSTITUTE(F29,"’","'"))),'Référentiel films'!$B$17,""),IF(ISNUMBER(SEARCH(SUBSTITUTE('Référentiel films'!$A$18,"’","'"),SUBSTITUTE(F29,"’","'"))),'Référentiel films'!$B$18,""),IF(ISNUMBER(SEARCH(SUBSTITUTE('Référentiel films'!$A$19,"’","'"),SUBSTITUTE(F29,"’","'"))),'Référentiel films'!$B$19,""),IF(ISNUMBER(SEARCH(SUBSTITUTE('Référentiel films'!$A$20,"’","'"),SUBSTITUTE(F29,"’","'"))),'Référentiel films'!$B$20,""),IF(ISNUMBER(SEARCH(SUBSTITUTE('Référentiel films'!$A$21,"’","'"),SUBSTITUTE(F29,"’","'"))),'Référentiel films'!$B$21,""),IF(ISNUMBER(SEARCH(SUBSTITUTE('Référentiel films'!$A$22,"’","'"),SUBSTITUTE(F29,"’","'"))),'Référentiel films'!$B$22,""),IF(ISNUMBER(SEARCH(SUBSTITUTE('Référentiel films'!$A$23,"’","'"),SUBSTITUTE(F29,"’","'"))),'Référentiel films'!$B$23,""),IF(ISNUMBER(SEARCH(SUBSTITUTE('Référentiel films'!$A$24,"’","'"),SUBSTITUTE(F29,"’","'"))),'Référentiel films'!$B$24,""),IF(ISNUMBER(SEARCH(SUBSTITUTE('Référentiel films'!$A$25,"’","'"),SUBSTITUTE(F29,"’","'"))),'Référentiel films'!$B$25,""),IF(ISNUMBER(SEARCH(SUBSTITUTE('Référentiel films'!$A$26,"’","'"),SUBSTITUTE(F29,"’","'"))),'Référentiel films'!$B$26,""),IF(ISNUMBER(SEARCH(SUBSTITUTE('Référentiel films'!$A$27,"’","'"),SUBSTITUTE(F29,"’","'"))),'Référentiel films'!$B$27,""),IF(ISNUMBER(SEARCH(SUBSTITUTE('Référentiel films'!$A$28,"’","'"),SUBSTITUTE(F29,"’","'"))),'Référentiel films'!$B$28,""),IF(ISNUMBER(SEARCH(SUBSTITUTE('Référentiel films'!$A$29,"’","'"),SUBSTITUTE(F29,"’","'"))),'Référentiel films'!$B$29,""),IF(ISNUMBER(SEARCH(SUBSTITUTE('Référentiel films'!$A$30,"’","'"),SUBSTITUTE(F29,"’","'"))),'Référentiel films'!$B$30,""),IF(ISNUMBER(SEARCH(SUBSTITUTE('Référentiel films'!$A$31,"’","'"),SUBSTITUTE(F29,"’","'"))),'Référentiel films'!$B$31,""),IF(ISNUMBER(SEARCH(SUBSTITUTE('Référentiel films'!$A$32,"’","'"),SUBSTITUTE(F29,"’","'"))),'Référentiel films'!$B$32,""),IF(ISNUMBER(SEARCH(SUBSTITUTE('Référentiel films'!$A$33,"’","'"),SUBSTITUTE(F29,"’","'"))),'Référentiel films'!$B$33,""),IF(ISNUMBER(SEARCH(SUBSTITUTE('Référentiel films'!$A$34,"’","'"),SUBSTITUTE(F29,"’","'"))),'Référentiel films'!$B$34,""),IF(ISNUMBER(SEARCH(SUBSTITUTE('Référentiel films'!$A$35,"’","'"),SUBSTITUTE(F29,"’","'"))),'Référentiel films'!$B$35,""),IF(ISNUMBER(SEARCH(SUBSTITUTE('Référentiel films'!$A$36,"’","'"),SUBSTITUTE(F29,"’","'"))),'Référentiel films'!$B$36,""),IF(ISNUMBER(SEARCH(SUBSTITUTE('Référentiel films'!$A$37,"’","'"),SUBSTITUTE(F29,"’","'"))),'Référentiel films'!$B$37,""),IF(ISNUMBER(SEARCH(SUBSTITUTE('Référentiel films'!$A$38,"’","'"),SUBSTITUTE(F29,"’","'"))),'Référentiel films'!$B$38,""),IF(ISNUMBER(SEARCH(SUBSTITUTE('Référentiel films'!$A$39,"’","'"),SUBSTITUTE(F29,"’","'"))),'Référentiel films'!$B$39,""),IF(ISNUMBER(SEARCH(SUBSTITUTE('Référentiel films'!$A$40,"’","'"),SUBSTITUTE(F29,"’","'"))),'Référentiel films'!$B$40,""),IF(ISNUMBER(SEARCH(SUBSTITUTE('Référentiel films'!$A$41,"’","'"),SUBSTITUTE(F29,"’","'"))),'Référentiel films'!$B$41,"")))</f>
        <v>film-1974-tous-les-autres-s-appellent-ali; film-1974-effi-briest; film-1974-nora-helmer; film-1974-martha</v>
      </c>
    </row>
    <row r="30" spans="1:21" ht="409.5" customHeight="1" x14ac:dyDescent="0.2">
      <c r="A30" s="1">
        <v>1975</v>
      </c>
      <c r="B30" s="1" t="s">
        <v>253</v>
      </c>
      <c r="C30" s="1" t="s">
        <v>321</v>
      </c>
      <c r="D30" s="1" t="s">
        <v>233</v>
      </c>
      <c r="E30" s="14" t="s">
        <v>322</v>
      </c>
      <c r="F30" s="14" t="s">
        <v>234</v>
      </c>
      <c r="G30" s="14" t="s">
        <v>323</v>
      </c>
      <c r="H30" s="12"/>
      <c r="I30" s="12"/>
      <c r="J30" s="12"/>
      <c r="K30" s="12"/>
      <c r="L30" s="12" t="s">
        <v>324</v>
      </c>
      <c r="M30" s="12" t="s">
        <v>77</v>
      </c>
      <c r="N30" s="12" t="s">
        <v>247</v>
      </c>
      <c r="O30" s="1" t="s">
        <v>245</v>
      </c>
      <c r="P30" s="1" t="s">
        <v>246</v>
      </c>
      <c r="Q30" s="12"/>
      <c r="R30" s="12"/>
      <c r="S30" s="12"/>
      <c r="T30" s="12"/>
      <c r="U30" s="2" t="str">
        <f>IF(F30="","",_xlfn.TEXTJOIN("; ",TRUE(),IF(ISNUMBER(SEARCH(SUBSTITUTE('Référentiel films'!$A$2,"’","'"),SUBSTITUTE(F30,"’","'"))),'Référentiel films'!$B$2,""),IF(ISNUMBER(SEARCH(SUBSTITUTE('Référentiel films'!$A$3,"’","'"),SUBSTITUTE(F30,"’","'"))),'Référentiel films'!$B$3,""),IF(ISNUMBER(SEARCH(SUBSTITUTE('Référentiel films'!$A$4,"’","'"),SUBSTITUTE(F30,"’","'"))),'Référentiel films'!$B$4,""),IF(ISNUMBER(SEARCH(SUBSTITUTE('Référentiel films'!$A$5,"’","'"),SUBSTITUTE(F30,"’","'"))),'Référentiel films'!$B$5,""),IF(ISNUMBER(SEARCH(SUBSTITUTE('Référentiel films'!$A$6,"’","'"),SUBSTITUTE(F30,"’","'"))),'Référentiel films'!$B$6,""),IF(ISNUMBER(SEARCH(SUBSTITUTE('Référentiel films'!$A$7,"’","'"),SUBSTITUTE(F30,"’","'"))),'Référentiel films'!$B$7,""),IF(ISNUMBER(SEARCH(SUBSTITUTE('Référentiel films'!$A$8,"’","'"),SUBSTITUTE(F30,"’","'"))),'Référentiel films'!$B$8,""),IF(ISNUMBER(SEARCH(SUBSTITUTE('Référentiel films'!$A$9,"’","'"),SUBSTITUTE(F30,"’","'"))),'Référentiel films'!$B$9,""),IF(ISNUMBER(SEARCH(SUBSTITUTE('Référentiel films'!$A$10,"’","'"),SUBSTITUTE(F30,"’","'"))),'Référentiel films'!$B$10,""),IF(ISNUMBER(SEARCH(SUBSTITUTE('Référentiel films'!$A$11,"’","'"),SUBSTITUTE(F30,"’","'"))),'Référentiel films'!$B$11,""),IF(ISNUMBER(SEARCH(SUBSTITUTE('Référentiel films'!$A$12,"’","'"),SUBSTITUTE(F30,"’","'"))),'Référentiel films'!$B$12,""),IF(ISNUMBER(SEARCH(SUBSTITUTE('Référentiel films'!$A$13,"’","'"),SUBSTITUTE(F30,"’","'"))),'Référentiel films'!$B$13,""),IF(ISNUMBER(SEARCH(SUBSTITUTE('Référentiel films'!$A$14,"’","'"),SUBSTITUTE(F30,"’","'"))),'Référentiel films'!$B$14,""),IF(ISNUMBER(SEARCH(SUBSTITUTE('Référentiel films'!$A$15,"’","'"),SUBSTITUTE(F30,"’","'"))),'Référentiel films'!$B$15,""),IF(ISNUMBER(SEARCH(SUBSTITUTE('Référentiel films'!$A$16,"’","'"),SUBSTITUTE(F30,"’","'"))),'Référentiel films'!$B$16,""),IF(ISNUMBER(SEARCH(SUBSTITUTE('Référentiel films'!$A$17,"’","'"),SUBSTITUTE(F30,"’","'"))),'Référentiel films'!$B$17,""),IF(ISNUMBER(SEARCH(SUBSTITUTE('Référentiel films'!$A$18,"’","'"),SUBSTITUTE(F30,"’","'"))),'Référentiel films'!$B$18,""),IF(ISNUMBER(SEARCH(SUBSTITUTE('Référentiel films'!$A$19,"’","'"),SUBSTITUTE(F30,"’","'"))),'Référentiel films'!$B$19,""),IF(ISNUMBER(SEARCH(SUBSTITUTE('Référentiel films'!$A$20,"’","'"),SUBSTITUTE(F30,"’","'"))),'Référentiel films'!$B$20,""),IF(ISNUMBER(SEARCH(SUBSTITUTE('Référentiel films'!$A$21,"’","'"),SUBSTITUTE(F30,"’","'"))),'Référentiel films'!$B$21,""),IF(ISNUMBER(SEARCH(SUBSTITUTE('Référentiel films'!$A$22,"’","'"),SUBSTITUTE(F30,"’","'"))),'Référentiel films'!$B$22,""),IF(ISNUMBER(SEARCH(SUBSTITUTE('Référentiel films'!$A$23,"’","'"),SUBSTITUTE(F30,"’","'"))),'Référentiel films'!$B$23,""),IF(ISNUMBER(SEARCH(SUBSTITUTE('Référentiel films'!$A$24,"’","'"),SUBSTITUTE(F30,"’","'"))),'Référentiel films'!$B$24,""),IF(ISNUMBER(SEARCH(SUBSTITUTE('Référentiel films'!$A$25,"’","'"),SUBSTITUTE(F30,"’","'"))),'Référentiel films'!$B$25,""),IF(ISNUMBER(SEARCH(SUBSTITUTE('Référentiel films'!$A$26,"’","'"),SUBSTITUTE(F30,"’","'"))),'Référentiel films'!$B$26,""),IF(ISNUMBER(SEARCH(SUBSTITUTE('Référentiel films'!$A$27,"’","'"),SUBSTITUTE(F30,"’","'"))),'Référentiel films'!$B$27,""),IF(ISNUMBER(SEARCH(SUBSTITUTE('Référentiel films'!$A$28,"’","'"),SUBSTITUTE(F30,"’","'"))),'Référentiel films'!$B$28,""),IF(ISNUMBER(SEARCH(SUBSTITUTE('Référentiel films'!$A$29,"’","'"),SUBSTITUTE(F30,"’","'"))),'Référentiel films'!$B$29,""),IF(ISNUMBER(SEARCH(SUBSTITUTE('Référentiel films'!$A$30,"’","'"),SUBSTITUTE(F30,"’","'"))),'Référentiel films'!$B$30,""),IF(ISNUMBER(SEARCH(SUBSTITUTE('Référentiel films'!$A$31,"’","'"),SUBSTITUTE(F30,"’","'"))),'Référentiel films'!$B$31,""),IF(ISNUMBER(SEARCH(SUBSTITUTE('Référentiel films'!$A$32,"’","'"),SUBSTITUTE(F30,"’","'"))),'Référentiel films'!$B$32,""),IF(ISNUMBER(SEARCH(SUBSTITUTE('Référentiel films'!$A$33,"’","'"),SUBSTITUTE(F30,"’","'"))),'Référentiel films'!$B$33,""),IF(ISNUMBER(SEARCH(SUBSTITUTE('Référentiel films'!$A$34,"’","'"),SUBSTITUTE(F30,"’","'"))),'Référentiel films'!$B$34,""),IF(ISNUMBER(SEARCH(SUBSTITUTE('Référentiel films'!$A$35,"’","'"),SUBSTITUTE(F30,"’","'"))),'Référentiel films'!$B$35,""),IF(ISNUMBER(SEARCH(SUBSTITUTE('Référentiel films'!$A$36,"’","'"),SUBSTITUTE(F30,"’","'"))),'Référentiel films'!$B$36,""),IF(ISNUMBER(SEARCH(SUBSTITUTE('Référentiel films'!$A$37,"’","'"),SUBSTITUTE(F30,"’","'"))),'Référentiel films'!$B$37,""),IF(ISNUMBER(SEARCH(SUBSTITUTE('Référentiel films'!$A$38,"’","'"),SUBSTITUTE(F30,"’","'"))),'Référentiel films'!$B$38,""),IF(ISNUMBER(SEARCH(SUBSTITUTE('Référentiel films'!$A$39,"’","'"),SUBSTITUTE(F30,"’","'"))),'Référentiel films'!$B$39,""),IF(ISNUMBER(SEARCH(SUBSTITUTE('Référentiel films'!$A$40,"’","'"),SUBSTITUTE(F30,"’","'"))),'Référentiel films'!$B$40,""),IF(ISNUMBER(SEARCH(SUBSTITUTE('Référentiel films'!$A$41,"’","'"),SUBSTITUTE(F30,"’","'"))),'Référentiel films'!$B$41,"")))</f>
        <v>film-1975-le-droit-du-plus-fort; film-1975-maman-kusters-s-en-va-au-ciel; film-1975-comme-un-oiseau-sur-le-fil; film-1975-peur-de-la-peur</v>
      </c>
    </row>
    <row r="31" spans="1:21" ht="176" customHeight="1" x14ac:dyDescent="0.2">
      <c r="A31" s="1">
        <v>1976</v>
      </c>
      <c r="B31" s="1" t="s">
        <v>253</v>
      </c>
      <c r="C31" s="1" t="s">
        <v>201</v>
      </c>
      <c r="D31" s="1" t="s">
        <v>78</v>
      </c>
      <c r="E31" s="1" t="s">
        <v>325</v>
      </c>
      <c r="F31" s="1" t="s">
        <v>222</v>
      </c>
      <c r="G31" s="1"/>
      <c r="H31" s="12"/>
      <c r="I31" s="12"/>
      <c r="J31" s="12"/>
      <c r="K31" s="12"/>
      <c r="L31" s="12"/>
      <c r="M31" s="1" t="s">
        <v>245</v>
      </c>
      <c r="N31" s="1" t="s">
        <v>246</v>
      </c>
      <c r="O31" s="12"/>
      <c r="P31" s="12"/>
      <c r="Q31" s="12"/>
      <c r="R31" s="12"/>
      <c r="S31" s="12"/>
      <c r="T31" s="12"/>
      <c r="U31" s="2" t="str">
        <f>IF(F31="","",_xlfn.TEXTJOIN("; ",TRUE(),IF(ISNUMBER(SEARCH(SUBSTITUTE('Référentiel films'!$A$2,"’","'"),SUBSTITUTE(F31,"’","'"))),'Référentiel films'!$B$2,""),IF(ISNUMBER(SEARCH(SUBSTITUTE('Référentiel films'!$A$3,"’","'"),SUBSTITUTE(F31,"’","'"))),'Référentiel films'!$B$3,""),IF(ISNUMBER(SEARCH(SUBSTITUTE('Référentiel films'!$A$4,"’","'"),SUBSTITUTE(F31,"’","'"))),'Référentiel films'!$B$4,""),IF(ISNUMBER(SEARCH(SUBSTITUTE('Référentiel films'!$A$5,"’","'"),SUBSTITUTE(F31,"’","'"))),'Référentiel films'!$B$5,""),IF(ISNUMBER(SEARCH(SUBSTITUTE('Référentiel films'!$A$6,"’","'"),SUBSTITUTE(F31,"’","'"))),'Référentiel films'!$B$6,""),IF(ISNUMBER(SEARCH(SUBSTITUTE('Référentiel films'!$A$7,"’","'"),SUBSTITUTE(F31,"’","'"))),'Référentiel films'!$B$7,""),IF(ISNUMBER(SEARCH(SUBSTITUTE('Référentiel films'!$A$8,"’","'"),SUBSTITUTE(F31,"’","'"))),'Référentiel films'!$B$8,""),IF(ISNUMBER(SEARCH(SUBSTITUTE('Référentiel films'!$A$9,"’","'"),SUBSTITUTE(F31,"’","'"))),'Référentiel films'!$B$9,""),IF(ISNUMBER(SEARCH(SUBSTITUTE('Référentiel films'!$A$10,"’","'"),SUBSTITUTE(F31,"’","'"))),'Référentiel films'!$B$10,""),IF(ISNUMBER(SEARCH(SUBSTITUTE('Référentiel films'!$A$11,"’","'"),SUBSTITUTE(F31,"’","'"))),'Référentiel films'!$B$11,""),IF(ISNUMBER(SEARCH(SUBSTITUTE('Référentiel films'!$A$12,"’","'"),SUBSTITUTE(F31,"’","'"))),'Référentiel films'!$B$12,""),IF(ISNUMBER(SEARCH(SUBSTITUTE('Référentiel films'!$A$13,"’","'"),SUBSTITUTE(F31,"’","'"))),'Référentiel films'!$B$13,""),IF(ISNUMBER(SEARCH(SUBSTITUTE('Référentiel films'!$A$14,"’","'"),SUBSTITUTE(F31,"’","'"))),'Référentiel films'!$B$14,""),IF(ISNUMBER(SEARCH(SUBSTITUTE('Référentiel films'!$A$15,"’","'"),SUBSTITUTE(F31,"’","'"))),'Référentiel films'!$B$15,""),IF(ISNUMBER(SEARCH(SUBSTITUTE('Référentiel films'!$A$16,"’","'"),SUBSTITUTE(F31,"’","'"))),'Référentiel films'!$B$16,""),IF(ISNUMBER(SEARCH(SUBSTITUTE('Référentiel films'!$A$17,"’","'"),SUBSTITUTE(F31,"’","'"))),'Référentiel films'!$B$17,""),IF(ISNUMBER(SEARCH(SUBSTITUTE('Référentiel films'!$A$18,"’","'"),SUBSTITUTE(F31,"’","'"))),'Référentiel films'!$B$18,""),IF(ISNUMBER(SEARCH(SUBSTITUTE('Référentiel films'!$A$19,"’","'"),SUBSTITUTE(F31,"’","'"))),'Référentiel films'!$B$19,""),IF(ISNUMBER(SEARCH(SUBSTITUTE('Référentiel films'!$A$20,"’","'"),SUBSTITUTE(F31,"’","'"))),'Référentiel films'!$B$20,""),IF(ISNUMBER(SEARCH(SUBSTITUTE('Référentiel films'!$A$21,"’","'"),SUBSTITUTE(F31,"’","'"))),'Référentiel films'!$B$21,""),IF(ISNUMBER(SEARCH(SUBSTITUTE('Référentiel films'!$A$22,"’","'"),SUBSTITUTE(F31,"’","'"))),'Référentiel films'!$B$22,""),IF(ISNUMBER(SEARCH(SUBSTITUTE('Référentiel films'!$A$23,"’","'"),SUBSTITUTE(F31,"’","'"))),'Référentiel films'!$B$23,""),IF(ISNUMBER(SEARCH(SUBSTITUTE('Référentiel films'!$A$24,"’","'"),SUBSTITUTE(F31,"’","'"))),'Référentiel films'!$B$24,""),IF(ISNUMBER(SEARCH(SUBSTITUTE('Référentiel films'!$A$25,"’","'"),SUBSTITUTE(F31,"’","'"))),'Référentiel films'!$B$25,""),IF(ISNUMBER(SEARCH(SUBSTITUTE('Référentiel films'!$A$26,"’","'"),SUBSTITUTE(F31,"’","'"))),'Référentiel films'!$B$26,""),IF(ISNUMBER(SEARCH(SUBSTITUTE('Référentiel films'!$A$27,"’","'"),SUBSTITUTE(F31,"’","'"))),'Référentiel films'!$B$27,""),IF(ISNUMBER(SEARCH(SUBSTITUTE('Référentiel films'!$A$28,"’","'"),SUBSTITUTE(F31,"’","'"))),'Référentiel films'!$B$28,""),IF(ISNUMBER(SEARCH(SUBSTITUTE('Référentiel films'!$A$29,"’","'"),SUBSTITUTE(F31,"’","'"))),'Référentiel films'!$B$29,""),IF(ISNUMBER(SEARCH(SUBSTITUTE('Référentiel films'!$A$30,"’","'"),SUBSTITUTE(F31,"’","'"))),'Référentiel films'!$B$30,""),IF(ISNUMBER(SEARCH(SUBSTITUTE('Référentiel films'!$A$31,"’","'"),SUBSTITUTE(F31,"’","'"))),'Référentiel films'!$B$31,""),IF(ISNUMBER(SEARCH(SUBSTITUTE('Référentiel films'!$A$32,"’","'"),SUBSTITUTE(F31,"’","'"))),'Référentiel films'!$B$32,""),IF(ISNUMBER(SEARCH(SUBSTITUTE('Référentiel films'!$A$33,"’","'"),SUBSTITUTE(F31,"’","'"))),'Référentiel films'!$B$33,""),IF(ISNUMBER(SEARCH(SUBSTITUTE('Référentiel films'!$A$34,"’","'"),SUBSTITUTE(F31,"’","'"))),'Référentiel films'!$B$34,""),IF(ISNUMBER(SEARCH(SUBSTITUTE('Référentiel films'!$A$35,"’","'"),SUBSTITUTE(F31,"’","'"))),'Référentiel films'!$B$35,""),IF(ISNUMBER(SEARCH(SUBSTITUTE('Référentiel films'!$A$36,"’","'"),SUBSTITUTE(F31,"’","'"))),'Référentiel films'!$B$36,""),IF(ISNUMBER(SEARCH(SUBSTITUTE('Référentiel films'!$A$37,"’","'"),SUBSTITUTE(F31,"’","'"))),'Référentiel films'!$B$37,""),IF(ISNUMBER(SEARCH(SUBSTITUTE('Référentiel films'!$A$38,"’","'"),SUBSTITUTE(F31,"’","'"))),'Référentiel films'!$B$38,""),IF(ISNUMBER(SEARCH(SUBSTITUTE('Référentiel films'!$A$39,"’","'"),SUBSTITUTE(F31,"’","'"))),'Référentiel films'!$B$39,""),IF(ISNUMBER(SEARCH(SUBSTITUTE('Référentiel films'!$A$40,"’","'"),SUBSTITUTE(F31,"’","'"))),'Référentiel films'!$B$40,""),IF(ISNUMBER(SEARCH(SUBSTITUTE('Référentiel films'!$A$41,"’","'"),SUBSTITUTE(F31,"’","'"))),'Référentiel films'!$B$41,"")))</f>
        <v>film-1976-l-ombre-des-anges; film-1976-le-roti-de-satan; film-1976-roulette-chinoise; film-1976-je-veux-seulement-que-vous-m-aimiez</v>
      </c>
    </row>
    <row r="32" spans="1:21" ht="409.5" customHeight="1" x14ac:dyDescent="0.2">
      <c r="A32" s="1">
        <v>1977</v>
      </c>
      <c r="B32" s="1" t="s">
        <v>253</v>
      </c>
      <c r="C32" s="1" t="s">
        <v>326</v>
      </c>
      <c r="D32" s="1" t="s">
        <v>327</v>
      </c>
      <c r="E32" s="1" t="s">
        <v>223</v>
      </c>
      <c r="F32" s="12" t="s">
        <v>79</v>
      </c>
      <c r="G32" s="12" t="s">
        <v>328</v>
      </c>
      <c r="H32" s="12"/>
      <c r="I32" s="12"/>
      <c r="J32" s="12"/>
      <c r="K32" s="12" t="s">
        <v>329</v>
      </c>
      <c r="L32" s="12" t="s">
        <v>330</v>
      </c>
      <c r="M32" s="1" t="s">
        <v>245</v>
      </c>
      <c r="N32" s="1" t="s">
        <v>246</v>
      </c>
      <c r="O32" s="12"/>
      <c r="P32" s="12"/>
      <c r="Q32" s="12"/>
      <c r="R32" s="12"/>
      <c r="S32" s="12"/>
      <c r="T32" s="12"/>
      <c r="U32" s="2" t="str">
        <f>IF(F32="","",_xlfn.TEXTJOIN("; ",TRUE(),IF(ISNUMBER(SEARCH(SUBSTITUTE('Référentiel films'!$A$2,"’","'"),SUBSTITUTE(F32,"’","'"))),'Référentiel films'!$B$2,""),IF(ISNUMBER(SEARCH(SUBSTITUTE('Référentiel films'!$A$3,"’","'"),SUBSTITUTE(F32,"’","'"))),'Référentiel films'!$B$3,""),IF(ISNUMBER(SEARCH(SUBSTITUTE('Référentiel films'!$A$4,"’","'"),SUBSTITUTE(F32,"’","'"))),'Référentiel films'!$B$4,""),IF(ISNUMBER(SEARCH(SUBSTITUTE('Référentiel films'!$A$5,"’","'"),SUBSTITUTE(F32,"’","'"))),'Référentiel films'!$B$5,""),IF(ISNUMBER(SEARCH(SUBSTITUTE('Référentiel films'!$A$6,"’","'"),SUBSTITUTE(F32,"’","'"))),'Référentiel films'!$B$6,""),IF(ISNUMBER(SEARCH(SUBSTITUTE('Référentiel films'!$A$7,"’","'"),SUBSTITUTE(F32,"’","'"))),'Référentiel films'!$B$7,""),IF(ISNUMBER(SEARCH(SUBSTITUTE('Référentiel films'!$A$8,"’","'"),SUBSTITUTE(F32,"’","'"))),'Référentiel films'!$B$8,""),IF(ISNUMBER(SEARCH(SUBSTITUTE('Référentiel films'!$A$9,"’","'"),SUBSTITUTE(F32,"’","'"))),'Référentiel films'!$B$9,""),IF(ISNUMBER(SEARCH(SUBSTITUTE('Référentiel films'!$A$10,"’","'"),SUBSTITUTE(F32,"’","'"))),'Référentiel films'!$B$10,""),IF(ISNUMBER(SEARCH(SUBSTITUTE('Référentiel films'!$A$11,"’","'"),SUBSTITUTE(F32,"’","'"))),'Référentiel films'!$B$11,""),IF(ISNUMBER(SEARCH(SUBSTITUTE('Référentiel films'!$A$12,"’","'"),SUBSTITUTE(F32,"’","'"))),'Référentiel films'!$B$12,""),IF(ISNUMBER(SEARCH(SUBSTITUTE('Référentiel films'!$A$13,"’","'"),SUBSTITUTE(F32,"’","'"))),'Référentiel films'!$B$13,""),IF(ISNUMBER(SEARCH(SUBSTITUTE('Référentiel films'!$A$14,"’","'"),SUBSTITUTE(F32,"’","'"))),'Référentiel films'!$B$14,""),IF(ISNUMBER(SEARCH(SUBSTITUTE('Référentiel films'!$A$15,"’","'"),SUBSTITUTE(F32,"’","'"))),'Référentiel films'!$B$15,""),IF(ISNUMBER(SEARCH(SUBSTITUTE('Référentiel films'!$A$16,"’","'"),SUBSTITUTE(F32,"’","'"))),'Référentiel films'!$B$16,""),IF(ISNUMBER(SEARCH(SUBSTITUTE('Référentiel films'!$A$17,"’","'"),SUBSTITUTE(F32,"’","'"))),'Référentiel films'!$B$17,""),IF(ISNUMBER(SEARCH(SUBSTITUTE('Référentiel films'!$A$18,"’","'"),SUBSTITUTE(F32,"’","'"))),'Référentiel films'!$B$18,""),IF(ISNUMBER(SEARCH(SUBSTITUTE('Référentiel films'!$A$19,"’","'"),SUBSTITUTE(F32,"’","'"))),'Référentiel films'!$B$19,""),IF(ISNUMBER(SEARCH(SUBSTITUTE('Référentiel films'!$A$20,"’","'"),SUBSTITUTE(F32,"’","'"))),'Référentiel films'!$B$20,""),IF(ISNUMBER(SEARCH(SUBSTITUTE('Référentiel films'!$A$21,"’","'"),SUBSTITUTE(F32,"’","'"))),'Référentiel films'!$B$21,""),IF(ISNUMBER(SEARCH(SUBSTITUTE('Référentiel films'!$A$22,"’","'"),SUBSTITUTE(F32,"’","'"))),'Référentiel films'!$B$22,""),IF(ISNUMBER(SEARCH(SUBSTITUTE('Référentiel films'!$A$23,"’","'"),SUBSTITUTE(F32,"’","'"))),'Référentiel films'!$B$23,""),IF(ISNUMBER(SEARCH(SUBSTITUTE('Référentiel films'!$A$24,"’","'"),SUBSTITUTE(F32,"’","'"))),'Référentiel films'!$B$24,""),IF(ISNUMBER(SEARCH(SUBSTITUTE('Référentiel films'!$A$25,"’","'"),SUBSTITUTE(F32,"’","'"))),'Référentiel films'!$B$25,""),IF(ISNUMBER(SEARCH(SUBSTITUTE('Référentiel films'!$A$26,"’","'"),SUBSTITUTE(F32,"’","'"))),'Référentiel films'!$B$26,""),IF(ISNUMBER(SEARCH(SUBSTITUTE('Référentiel films'!$A$27,"’","'"),SUBSTITUTE(F32,"’","'"))),'Référentiel films'!$B$27,""),IF(ISNUMBER(SEARCH(SUBSTITUTE('Référentiel films'!$A$28,"’","'"),SUBSTITUTE(F32,"’","'"))),'Référentiel films'!$B$28,""),IF(ISNUMBER(SEARCH(SUBSTITUTE('Référentiel films'!$A$29,"’","'"),SUBSTITUTE(F32,"’","'"))),'Référentiel films'!$B$29,""),IF(ISNUMBER(SEARCH(SUBSTITUTE('Référentiel films'!$A$30,"’","'"),SUBSTITUTE(F32,"’","'"))),'Référentiel films'!$B$30,""),IF(ISNUMBER(SEARCH(SUBSTITUTE('Référentiel films'!$A$31,"’","'"),SUBSTITUTE(F32,"’","'"))),'Référentiel films'!$B$31,""),IF(ISNUMBER(SEARCH(SUBSTITUTE('Référentiel films'!$A$32,"’","'"),SUBSTITUTE(F32,"’","'"))),'Référentiel films'!$B$32,""),IF(ISNUMBER(SEARCH(SUBSTITUTE('Référentiel films'!$A$33,"’","'"),SUBSTITUTE(F32,"’","'"))),'Référentiel films'!$B$33,""),IF(ISNUMBER(SEARCH(SUBSTITUTE('Référentiel films'!$A$34,"’","'"),SUBSTITUTE(F32,"’","'"))),'Référentiel films'!$B$34,""),IF(ISNUMBER(SEARCH(SUBSTITUTE('Référentiel films'!$A$35,"’","'"),SUBSTITUTE(F32,"’","'"))),'Référentiel films'!$B$35,""),IF(ISNUMBER(SEARCH(SUBSTITUTE('Référentiel films'!$A$36,"’","'"),SUBSTITUTE(F32,"’","'"))),'Référentiel films'!$B$36,""),IF(ISNUMBER(SEARCH(SUBSTITUTE('Référentiel films'!$A$37,"’","'"),SUBSTITUTE(F32,"’","'"))),'Référentiel films'!$B$37,""),IF(ISNUMBER(SEARCH(SUBSTITUTE('Référentiel films'!$A$38,"’","'"),SUBSTITUTE(F32,"’","'"))),'Référentiel films'!$B$38,""),IF(ISNUMBER(SEARCH(SUBSTITUTE('Référentiel films'!$A$39,"’","'"),SUBSTITUTE(F32,"’","'"))),'Référentiel films'!$B$39,""),IF(ISNUMBER(SEARCH(SUBSTITUTE('Référentiel films'!$A$40,"’","'"),SUBSTITUTE(F32,"’","'"))),'Référentiel films'!$B$40,""),IF(ISNUMBER(SEARCH(SUBSTITUTE('Référentiel films'!$A$41,"’","'"),SUBSTITUTE(F32,"’","'"))),'Référentiel films'!$B$41,"")))</f>
        <v>film-1977-femmes-a-new-york; film-1977-la-femme-du-chef-de-gare</v>
      </c>
    </row>
    <row r="33" spans="1:21" ht="336" customHeight="1" x14ac:dyDescent="0.2">
      <c r="A33" s="1">
        <v>1978</v>
      </c>
      <c r="B33" s="1" t="s">
        <v>253</v>
      </c>
      <c r="C33" s="1"/>
      <c r="D33" s="17"/>
      <c r="E33" s="14" t="s">
        <v>331</v>
      </c>
      <c r="F33" s="1" t="s">
        <v>224</v>
      </c>
      <c r="G33" s="12" t="s">
        <v>332</v>
      </c>
      <c r="H33" s="12"/>
      <c r="I33" s="12"/>
      <c r="J33" s="12"/>
      <c r="K33" s="12"/>
      <c r="L33" s="12" t="s">
        <v>333</v>
      </c>
      <c r="M33" s="1" t="s">
        <v>245</v>
      </c>
      <c r="N33" s="1" t="s">
        <v>246</v>
      </c>
      <c r="O33" s="12"/>
      <c r="P33" s="12"/>
      <c r="Q33" s="12"/>
      <c r="R33" s="12"/>
      <c r="S33" s="12"/>
      <c r="T33" s="12"/>
      <c r="U33" s="2" t="str">
        <f>IF(F33="","",_xlfn.TEXTJOIN("; ",TRUE(),IF(ISNUMBER(SEARCH(SUBSTITUTE('Référentiel films'!$A$2,"’","'"),SUBSTITUTE(F33,"’","'"))),'Référentiel films'!$B$2,""),IF(ISNUMBER(SEARCH(SUBSTITUTE('Référentiel films'!$A$3,"’","'"),SUBSTITUTE(F33,"’","'"))),'Référentiel films'!$B$3,""),IF(ISNUMBER(SEARCH(SUBSTITUTE('Référentiel films'!$A$4,"’","'"),SUBSTITUTE(F33,"’","'"))),'Référentiel films'!$B$4,""),IF(ISNUMBER(SEARCH(SUBSTITUTE('Référentiel films'!$A$5,"’","'"),SUBSTITUTE(F33,"’","'"))),'Référentiel films'!$B$5,""),IF(ISNUMBER(SEARCH(SUBSTITUTE('Référentiel films'!$A$6,"’","'"),SUBSTITUTE(F33,"’","'"))),'Référentiel films'!$B$6,""),IF(ISNUMBER(SEARCH(SUBSTITUTE('Référentiel films'!$A$7,"’","'"),SUBSTITUTE(F33,"’","'"))),'Référentiel films'!$B$7,""),IF(ISNUMBER(SEARCH(SUBSTITUTE('Référentiel films'!$A$8,"’","'"),SUBSTITUTE(F33,"’","'"))),'Référentiel films'!$B$8,""),IF(ISNUMBER(SEARCH(SUBSTITUTE('Référentiel films'!$A$9,"’","'"),SUBSTITUTE(F33,"’","'"))),'Référentiel films'!$B$9,""),IF(ISNUMBER(SEARCH(SUBSTITUTE('Référentiel films'!$A$10,"’","'"),SUBSTITUTE(F33,"’","'"))),'Référentiel films'!$B$10,""),IF(ISNUMBER(SEARCH(SUBSTITUTE('Référentiel films'!$A$11,"’","'"),SUBSTITUTE(F33,"’","'"))),'Référentiel films'!$B$11,""),IF(ISNUMBER(SEARCH(SUBSTITUTE('Référentiel films'!$A$12,"’","'"),SUBSTITUTE(F33,"’","'"))),'Référentiel films'!$B$12,""),IF(ISNUMBER(SEARCH(SUBSTITUTE('Référentiel films'!$A$13,"’","'"),SUBSTITUTE(F33,"’","'"))),'Référentiel films'!$B$13,""),IF(ISNUMBER(SEARCH(SUBSTITUTE('Référentiel films'!$A$14,"’","'"),SUBSTITUTE(F33,"’","'"))),'Référentiel films'!$B$14,""),IF(ISNUMBER(SEARCH(SUBSTITUTE('Référentiel films'!$A$15,"’","'"),SUBSTITUTE(F33,"’","'"))),'Référentiel films'!$B$15,""),IF(ISNUMBER(SEARCH(SUBSTITUTE('Référentiel films'!$A$16,"’","'"),SUBSTITUTE(F33,"’","'"))),'Référentiel films'!$B$16,""),IF(ISNUMBER(SEARCH(SUBSTITUTE('Référentiel films'!$A$17,"’","'"),SUBSTITUTE(F33,"’","'"))),'Référentiel films'!$B$17,""),IF(ISNUMBER(SEARCH(SUBSTITUTE('Référentiel films'!$A$18,"’","'"),SUBSTITUTE(F33,"’","'"))),'Référentiel films'!$B$18,""),IF(ISNUMBER(SEARCH(SUBSTITUTE('Référentiel films'!$A$19,"’","'"),SUBSTITUTE(F33,"’","'"))),'Référentiel films'!$B$19,""),IF(ISNUMBER(SEARCH(SUBSTITUTE('Référentiel films'!$A$20,"’","'"),SUBSTITUTE(F33,"’","'"))),'Référentiel films'!$B$20,""),IF(ISNUMBER(SEARCH(SUBSTITUTE('Référentiel films'!$A$21,"’","'"),SUBSTITUTE(F33,"’","'"))),'Référentiel films'!$B$21,""),IF(ISNUMBER(SEARCH(SUBSTITUTE('Référentiel films'!$A$22,"’","'"),SUBSTITUTE(F33,"’","'"))),'Référentiel films'!$B$22,""),IF(ISNUMBER(SEARCH(SUBSTITUTE('Référentiel films'!$A$23,"’","'"),SUBSTITUTE(F33,"’","'"))),'Référentiel films'!$B$23,""),IF(ISNUMBER(SEARCH(SUBSTITUTE('Référentiel films'!$A$24,"’","'"),SUBSTITUTE(F33,"’","'"))),'Référentiel films'!$B$24,""),IF(ISNUMBER(SEARCH(SUBSTITUTE('Référentiel films'!$A$25,"’","'"),SUBSTITUTE(F33,"’","'"))),'Référentiel films'!$B$25,""),IF(ISNUMBER(SEARCH(SUBSTITUTE('Référentiel films'!$A$26,"’","'"),SUBSTITUTE(F33,"’","'"))),'Référentiel films'!$B$26,""),IF(ISNUMBER(SEARCH(SUBSTITUTE('Référentiel films'!$A$27,"’","'"),SUBSTITUTE(F33,"’","'"))),'Référentiel films'!$B$27,""),IF(ISNUMBER(SEARCH(SUBSTITUTE('Référentiel films'!$A$28,"’","'"),SUBSTITUTE(F33,"’","'"))),'Référentiel films'!$B$28,""),IF(ISNUMBER(SEARCH(SUBSTITUTE('Référentiel films'!$A$29,"’","'"),SUBSTITUTE(F33,"’","'"))),'Référentiel films'!$B$29,""),IF(ISNUMBER(SEARCH(SUBSTITUTE('Référentiel films'!$A$30,"’","'"),SUBSTITUTE(F33,"’","'"))),'Référentiel films'!$B$30,""),IF(ISNUMBER(SEARCH(SUBSTITUTE('Référentiel films'!$A$31,"’","'"),SUBSTITUTE(F33,"’","'"))),'Référentiel films'!$B$31,""),IF(ISNUMBER(SEARCH(SUBSTITUTE('Référentiel films'!$A$32,"’","'"),SUBSTITUTE(F33,"’","'"))),'Référentiel films'!$B$32,""),IF(ISNUMBER(SEARCH(SUBSTITUTE('Référentiel films'!$A$33,"’","'"),SUBSTITUTE(F33,"’","'"))),'Référentiel films'!$B$33,""),IF(ISNUMBER(SEARCH(SUBSTITUTE('Référentiel films'!$A$34,"’","'"),SUBSTITUTE(F33,"’","'"))),'Référentiel films'!$B$34,""),IF(ISNUMBER(SEARCH(SUBSTITUTE('Référentiel films'!$A$35,"’","'"),SUBSTITUTE(F33,"’","'"))),'Référentiel films'!$B$35,""),IF(ISNUMBER(SEARCH(SUBSTITUTE('Référentiel films'!$A$36,"’","'"),SUBSTITUTE(F33,"’","'"))),'Référentiel films'!$B$36,""),IF(ISNUMBER(SEARCH(SUBSTITUTE('Référentiel films'!$A$37,"’","'"),SUBSTITUTE(F33,"’","'"))),'Référentiel films'!$B$37,""),IF(ISNUMBER(SEARCH(SUBSTITUTE('Référentiel films'!$A$38,"’","'"),SUBSTITUTE(F33,"’","'"))),'Référentiel films'!$B$38,""),IF(ISNUMBER(SEARCH(SUBSTITUTE('Référentiel films'!$A$39,"’","'"),SUBSTITUTE(F33,"’","'"))),'Référentiel films'!$B$39,""),IF(ISNUMBER(SEARCH(SUBSTITUTE('Référentiel films'!$A$40,"’","'"),SUBSTITUTE(F33,"’","'"))),'Référentiel films'!$B$40,""),IF(ISNUMBER(SEARCH(SUBSTITUTE('Référentiel films'!$A$41,"’","'"),SUBSTITUTE(F33,"’","'"))),'Référentiel films'!$B$41,"")))</f>
        <v>film-1978-l-allemagne-en-automne; film-1978-despair; film-1978-l-annee-des-treize-lunes; film-1978-le-mariage-de-maria-braun</v>
      </c>
    </row>
    <row r="34" spans="1:21" ht="256" customHeight="1" x14ac:dyDescent="0.2">
      <c r="A34" s="1">
        <v>1979</v>
      </c>
      <c r="B34" s="1" t="s">
        <v>253</v>
      </c>
      <c r="C34" s="1" t="s">
        <v>202</v>
      </c>
      <c r="D34" s="14" t="s">
        <v>334</v>
      </c>
      <c r="E34" s="14" t="s">
        <v>335</v>
      </c>
      <c r="F34" s="12" t="s">
        <v>225</v>
      </c>
      <c r="G34" s="12" t="s">
        <v>226</v>
      </c>
      <c r="H34" s="12" t="s">
        <v>336</v>
      </c>
      <c r="I34" s="12"/>
      <c r="J34" s="12"/>
      <c r="K34" s="12"/>
      <c r="L34" s="12"/>
      <c r="M34" s="1" t="s">
        <v>245</v>
      </c>
      <c r="N34" s="1" t="s">
        <v>246</v>
      </c>
      <c r="O34" s="12"/>
      <c r="P34" s="12"/>
      <c r="Q34" s="12"/>
      <c r="R34" s="12"/>
      <c r="S34" s="12"/>
      <c r="T34" s="12"/>
      <c r="U34" s="2" t="str">
        <f>IF(F34="","",_xlfn.TEXTJOIN("; ",TRUE(),IF(ISNUMBER(SEARCH(SUBSTITUTE('Référentiel films'!$A$2,"’","'"),SUBSTITUTE(F34,"’","'"))),'Référentiel films'!$B$2,""),IF(ISNUMBER(SEARCH(SUBSTITUTE('Référentiel films'!$A$3,"’","'"),SUBSTITUTE(F34,"’","'"))),'Référentiel films'!$B$3,""),IF(ISNUMBER(SEARCH(SUBSTITUTE('Référentiel films'!$A$4,"’","'"),SUBSTITUTE(F34,"’","'"))),'Référentiel films'!$B$4,""),IF(ISNUMBER(SEARCH(SUBSTITUTE('Référentiel films'!$A$5,"’","'"),SUBSTITUTE(F34,"’","'"))),'Référentiel films'!$B$5,""),IF(ISNUMBER(SEARCH(SUBSTITUTE('Référentiel films'!$A$6,"’","'"),SUBSTITUTE(F34,"’","'"))),'Référentiel films'!$B$6,""),IF(ISNUMBER(SEARCH(SUBSTITUTE('Référentiel films'!$A$7,"’","'"),SUBSTITUTE(F34,"’","'"))),'Référentiel films'!$B$7,""),IF(ISNUMBER(SEARCH(SUBSTITUTE('Référentiel films'!$A$8,"’","'"),SUBSTITUTE(F34,"’","'"))),'Référentiel films'!$B$8,""),IF(ISNUMBER(SEARCH(SUBSTITUTE('Référentiel films'!$A$9,"’","'"),SUBSTITUTE(F34,"’","'"))),'Référentiel films'!$B$9,""),IF(ISNUMBER(SEARCH(SUBSTITUTE('Référentiel films'!$A$10,"’","'"),SUBSTITUTE(F34,"’","'"))),'Référentiel films'!$B$10,""),IF(ISNUMBER(SEARCH(SUBSTITUTE('Référentiel films'!$A$11,"’","'"),SUBSTITUTE(F34,"’","'"))),'Référentiel films'!$B$11,""),IF(ISNUMBER(SEARCH(SUBSTITUTE('Référentiel films'!$A$12,"’","'"),SUBSTITUTE(F34,"’","'"))),'Référentiel films'!$B$12,""),IF(ISNUMBER(SEARCH(SUBSTITUTE('Référentiel films'!$A$13,"’","'"),SUBSTITUTE(F34,"’","'"))),'Référentiel films'!$B$13,""),IF(ISNUMBER(SEARCH(SUBSTITUTE('Référentiel films'!$A$14,"’","'"),SUBSTITUTE(F34,"’","'"))),'Référentiel films'!$B$14,""),IF(ISNUMBER(SEARCH(SUBSTITUTE('Référentiel films'!$A$15,"’","'"),SUBSTITUTE(F34,"’","'"))),'Référentiel films'!$B$15,""),IF(ISNUMBER(SEARCH(SUBSTITUTE('Référentiel films'!$A$16,"’","'"),SUBSTITUTE(F34,"’","'"))),'Référentiel films'!$B$16,""),IF(ISNUMBER(SEARCH(SUBSTITUTE('Référentiel films'!$A$17,"’","'"),SUBSTITUTE(F34,"’","'"))),'Référentiel films'!$B$17,""),IF(ISNUMBER(SEARCH(SUBSTITUTE('Référentiel films'!$A$18,"’","'"),SUBSTITUTE(F34,"’","'"))),'Référentiel films'!$B$18,""),IF(ISNUMBER(SEARCH(SUBSTITUTE('Référentiel films'!$A$19,"’","'"),SUBSTITUTE(F34,"’","'"))),'Référentiel films'!$B$19,""),IF(ISNUMBER(SEARCH(SUBSTITUTE('Référentiel films'!$A$20,"’","'"),SUBSTITUTE(F34,"’","'"))),'Référentiel films'!$B$20,""),IF(ISNUMBER(SEARCH(SUBSTITUTE('Référentiel films'!$A$21,"’","'"),SUBSTITUTE(F34,"’","'"))),'Référentiel films'!$B$21,""),IF(ISNUMBER(SEARCH(SUBSTITUTE('Référentiel films'!$A$22,"’","'"),SUBSTITUTE(F34,"’","'"))),'Référentiel films'!$B$22,""),IF(ISNUMBER(SEARCH(SUBSTITUTE('Référentiel films'!$A$23,"’","'"),SUBSTITUTE(F34,"’","'"))),'Référentiel films'!$B$23,""),IF(ISNUMBER(SEARCH(SUBSTITUTE('Référentiel films'!$A$24,"’","'"),SUBSTITUTE(F34,"’","'"))),'Référentiel films'!$B$24,""),IF(ISNUMBER(SEARCH(SUBSTITUTE('Référentiel films'!$A$25,"’","'"),SUBSTITUTE(F34,"’","'"))),'Référentiel films'!$B$25,""),IF(ISNUMBER(SEARCH(SUBSTITUTE('Référentiel films'!$A$26,"’","'"),SUBSTITUTE(F34,"’","'"))),'Référentiel films'!$B$26,""),IF(ISNUMBER(SEARCH(SUBSTITUTE('Référentiel films'!$A$27,"’","'"),SUBSTITUTE(F34,"’","'"))),'Référentiel films'!$B$27,""),IF(ISNUMBER(SEARCH(SUBSTITUTE('Référentiel films'!$A$28,"’","'"),SUBSTITUTE(F34,"’","'"))),'Référentiel films'!$B$28,""),IF(ISNUMBER(SEARCH(SUBSTITUTE('Référentiel films'!$A$29,"’","'"),SUBSTITUTE(F34,"’","'"))),'Référentiel films'!$B$29,""),IF(ISNUMBER(SEARCH(SUBSTITUTE('Référentiel films'!$A$30,"’","'"),SUBSTITUTE(F34,"’","'"))),'Référentiel films'!$B$30,""),IF(ISNUMBER(SEARCH(SUBSTITUTE('Référentiel films'!$A$31,"’","'"),SUBSTITUTE(F34,"’","'"))),'Référentiel films'!$B$31,""),IF(ISNUMBER(SEARCH(SUBSTITUTE('Référentiel films'!$A$32,"’","'"),SUBSTITUTE(F34,"’","'"))),'Référentiel films'!$B$32,""),IF(ISNUMBER(SEARCH(SUBSTITUTE('Référentiel films'!$A$33,"’","'"),SUBSTITUTE(F34,"’","'"))),'Référentiel films'!$B$33,""),IF(ISNUMBER(SEARCH(SUBSTITUTE('Référentiel films'!$A$34,"’","'"),SUBSTITUTE(F34,"’","'"))),'Référentiel films'!$B$34,""),IF(ISNUMBER(SEARCH(SUBSTITUTE('Référentiel films'!$A$35,"’","'"),SUBSTITUTE(F34,"’","'"))),'Référentiel films'!$B$35,""),IF(ISNUMBER(SEARCH(SUBSTITUTE('Référentiel films'!$A$36,"’","'"),SUBSTITUTE(F34,"’","'"))),'Référentiel films'!$B$36,""),IF(ISNUMBER(SEARCH(SUBSTITUTE('Référentiel films'!$A$37,"’","'"),SUBSTITUTE(F34,"’","'"))),'Référentiel films'!$B$37,""),IF(ISNUMBER(SEARCH(SUBSTITUTE('Référentiel films'!$A$38,"’","'"),SUBSTITUTE(F34,"’","'"))),'Référentiel films'!$B$38,""),IF(ISNUMBER(SEARCH(SUBSTITUTE('Référentiel films'!$A$39,"’","'"),SUBSTITUTE(F34,"’","'"))),'Référentiel films'!$B$39,""),IF(ISNUMBER(SEARCH(SUBSTITUTE('Référentiel films'!$A$40,"’","'"),SUBSTITUTE(F34,"’","'"))),'Référentiel films'!$B$40,""),IF(ISNUMBER(SEARCH(SUBSTITUTE('Référentiel films'!$A$41,"’","'"),SUBSTITUTE(F34,"’","'"))),'Référentiel films'!$B$41,"")))</f>
        <v>film-1978-le-mariage-de-maria-braun; film-1979-la-troisieme-generation</v>
      </c>
    </row>
    <row r="35" spans="1:21" ht="304" customHeight="1" x14ac:dyDescent="0.2">
      <c r="A35" s="1">
        <v>1980</v>
      </c>
      <c r="B35" s="1" t="s">
        <v>263</v>
      </c>
      <c r="C35" s="1" t="s">
        <v>203</v>
      </c>
      <c r="D35" s="15" t="s">
        <v>337</v>
      </c>
      <c r="E35" s="1" t="s">
        <v>29</v>
      </c>
      <c r="F35" s="14" t="s">
        <v>338</v>
      </c>
      <c r="G35" s="1" t="s">
        <v>339</v>
      </c>
      <c r="H35" s="12"/>
      <c r="I35" s="12"/>
      <c r="J35" s="12"/>
      <c r="K35" s="12"/>
      <c r="L35" s="12" t="s">
        <v>340</v>
      </c>
      <c r="M35" s="1" t="s">
        <v>245</v>
      </c>
      <c r="N35" s="1" t="s">
        <v>246</v>
      </c>
      <c r="O35" s="12"/>
      <c r="P35" s="12"/>
      <c r="Q35" s="12"/>
      <c r="R35" s="12"/>
      <c r="S35" s="12"/>
      <c r="T35" s="12"/>
      <c r="U35" s="2" t="str">
        <f>IF(F35="","",_xlfn.TEXTJOIN("; ",TRUE(),IF(ISNUMBER(SEARCH(SUBSTITUTE('Référentiel films'!$A$2,"’","'"),SUBSTITUTE(F35,"’","'"))),'Référentiel films'!$B$2,""),IF(ISNUMBER(SEARCH(SUBSTITUTE('Référentiel films'!$A$3,"’","'"),SUBSTITUTE(F35,"’","'"))),'Référentiel films'!$B$3,""),IF(ISNUMBER(SEARCH(SUBSTITUTE('Référentiel films'!$A$4,"’","'"),SUBSTITUTE(F35,"’","'"))),'Référentiel films'!$B$4,""),IF(ISNUMBER(SEARCH(SUBSTITUTE('Référentiel films'!$A$5,"’","'"),SUBSTITUTE(F35,"’","'"))),'Référentiel films'!$B$5,""),IF(ISNUMBER(SEARCH(SUBSTITUTE('Référentiel films'!$A$6,"’","'"),SUBSTITUTE(F35,"’","'"))),'Référentiel films'!$B$6,""),IF(ISNUMBER(SEARCH(SUBSTITUTE('Référentiel films'!$A$7,"’","'"),SUBSTITUTE(F35,"’","'"))),'Référentiel films'!$B$7,""),IF(ISNUMBER(SEARCH(SUBSTITUTE('Référentiel films'!$A$8,"’","'"),SUBSTITUTE(F35,"’","'"))),'Référentiel films'!$B$8,""),IF(ISNUMBER(SEARCH(SUBSTITUTE('Référentiel films'!$A$9,"’","'"),SUBSTITUTE(F35,"’","'"))),'Référentiel films'!$B$9,""),IF(ISNUMBER(SEARCH(SUBSTITUTE('Référentiel films'!$A$10,"’","'"),SUBSTITUTE(F35,"’","'"))),'Référentiel films'!$B$10,""),IF(ISNUMBER(SEARCH(SUBSTITUTE('Référentiel films'!$A$11,"’","'"),SUBSTITUTE(F35,"’","'"))),'Référentiel films'!$B$11,""),IF(ISNUMBER(SEARCH(SUBSTITUTE('Référentiel films'!$A$12,"’","'"),SUBSTITUTE(F35,"’","'"))),'Référentiel films'!$B$12,""),IF(ISNUMBER(SEARCH(SUBSTITUTE('Référentiel films'!$A$13,"’","'"),SUBSTITUTE(F35,"’","'"))),'Référentiel films'!$B$13,""),IF(ISNUMBER(SEARCH(SUBSTITUTE('Référentiel films'!$A$14,"’","'"),SUBSTITUTE(F35,"’","'"))),'Référentiel films'!$B$14,""),IF(ISNUMBER(SEARCH(SUBSTITUTE('Référentiel films'!$A$15,"’","'"),SUBSTITUTE(F35,"’","'"))),'Référentiel films'!$B$15,""),IF(ISNUMBER(SEARCH(SUBSTITUTE('Référentiel films'!$A$16,"’","'"),SUBSTITUTE(F35,"’","'"))),'Référentiel films'!$B$16,""),IF(ISNUMBER(SEARCH(SUBSTITUTE('Référentiel films'!$A$17,"’","'"),SUBSTITUTE(F35,"’","'"))),'Référentiel films'!$B$17,""),IF(ISNUMBER(SEARCH(SUBSTITUTE('Référentiel films'!$A$18,"’","'"),SUBSTITUTE(F35,"’","'"))),'Référentiel films'!$B$18,""),IF(ISNUMBER(SEARCH(SUBSTITUTE('Référentiel films'!$A$19,"’","'"),SUBSTITUTE(F35,"’","'"))),'Référentiel films'!$B$19,""),IF(ISNUMBER(SEARCH(SUBSTITUTE('Référentiel films'!$A$20,"’","'"),SUBSTITUTE(F35,"’","'"))),'Référentiel films'!$B$20,""),IF(ISNUMBER(SEARCH(SUBSTITUTE('Référentiel films'!$A$21,"’","'"),SUBSTITUTE(F35,"’","'"))),'Référentiel films'!$B$21,""),IF(ISNUMBER(SEARCH(SUBSTITUTE('Référentiel films'!$A$22,"’","'"),SUBSTITUTE(F35,"’","'"))),'Référentiel films'!$B$22,""),IF(ISNUMBER(SEARCH(SUBSTITUTE('Référentiel films'!$A$23,"’","'"),SUBSTITUTE(F35,"’","'"))),'Référentiel films'!$B$23,""),IF(ISNUMBER(SEARCH(SUBSTITUTE('Référentiel films'!$A$24,"’","'"),SUBSTITUTE(F35,"’","'"))),'Référentiel films'!$B$24,""),IF(ISNUMBER(SEARCH(SUBSTITUTE('Référentiel films'!$A$25,"’","'"),SUBSTITUTE(F35,"’","'"))),'Référentiel films'!$B$25,""),IF(ISNUMBER(SEARCH(SUBSTITUTE('Référentiel films'!$A$26,"’","'"),SUBSTITUTE(F35,"’","'"))),'Référentiel films'!$B$26,""),IF(ISNUMBER(SEARCH(SUBSTITUTE('Référentiel films'!$A$27,"’","'"),SUBSTITUTE(F35,"’","'"))),'Référentiel films'!$B$27,""),IF(ISNUMBER(SEARCH(SUBSTITUTE('Référentiel films'!$A$28,"’","'"),SUBSTITUTE(F35,"’","'"))),'Référentiel films'!$B$28,""),IF(ISNUMBER(SEARCH(SUBSTITUTE('Référentiel films'!$A$29,"’","'"),SUBSTITUTE(F35,"’","'"))),'Référentiel films'!$B$29,""),IF(ISNUMBER(SEARCH(SUBSTITUTE('Référentiel films'!$A$30,"’","'"),SUBSTITUTE(F35,"’","'"))),'Référentiel films'!$B$30,""),IF(ISNUMBER(SEARCH(SUBSTITUTE('Référentiel films'!$A$31,"’","'"),SUBSTITUTE(F35,"’","'"))),'Référentiel films'!$B$31,""),IF(ISNUMBER(SEARCH(SUBSTITUTE('Référentiel films'!$A$32,"’","'"),SUBSTITUTE(F35,"’","'"))),'Référentiel films'!$B$32,""),IF(ISNUMBER(SEARCH(SUBSTITUTE('Référentiel films'!$A$33,"’","'"),SUBSTITUTE(F35,"’","'"))),'Référentiel films'!$B$33,""),IF(ISNUMBER(SEARCH(SUBSTITUTE('Référentiel films'!$A$34,"’","'"),SUBSTITUTE(F35,"’","'"))),'Référentiel films'!$B$34,""),IF(ISNUMBER(SEARCH(SUBSTITUTE('Référentiel films'!$A$35,"’","'"),SUBSTITUTE(F35,"’","'"))),'Référentiel films'!$B$35,""),IF(ISNUMBER(SEARCH(SUBSTITUTE('Référentiel films'!$A$36,"’","'"),SUBSTITUTE(F35,"’","'"))),'Référentiel films'!$B$36,""),IF(ISNUMBER(SEARCH(SUBSTITUTE('Référentiel films'!$A$37,"’","'"),SUBSTITUTE(F35,"’","'"))),'Référentiel films'!$B$37,""),IF(ISNUMBER(SEARCH(SUBSTITUTE('Référentiel films'!$A$38,"’","'"),SUBSTITUTE(F35,"’","'"))),'Référentiel films'!$B$38,""),IF(ISNUMBER(SEARCH(SUBSTITUTE('Référentiel films'!$A$39,"’","'"),SUBSTITUTE(F35,"’","'"))),'Référentiel films'!$B$39,""),IF(ISNUMBER(SEARCH(SUBSTITUTE('Référentiel films'!$A$40,"’","'"),SUBSTITUTE(F35,"’","'"))),'Référentiel films'!$B$40,""),IF(ISNUMBER(SEARCH(SUBSTITUTE('Référentiel films'!$A$41,"’","'"),SUBSTITUTE(F35,"’","'"))),'Référentiel films'!$B$41,"")))</f>
        <v>film-1980-berlin-alexanderplatz</v>
      </c>
    </row>
    <row r="36" spans="1:21" ht="176" customHeight="1" x14ac:dyDescent="0.2">
      <c r="A36" s="1">
        <v>1981</v>
      </c>
      <c r="B36" s="1" t="s">
        <v>263</v>
      </c>
      <c r="C36" s="1" t="s">
        <v>204</v>
      </c>
      <c r="D36" s="12" t="s">
        <v>227</v>
      </c>
      <c r="E36" s="1"/>
      <c r="F36" s="1" t="s">
        <v>228</v>
      </c>
      <c r="G36" s="14" t="s">
        <v>341</v>
      </c>
      <c r="H36" s="12"/>
      <c r="I36" s="12"/>
      <c r="J36" s="12"/>
      <c r="K36" s="12"/>
      <c r="L36" s="12" t="s">
        <v>342</v>
      </c>
      <c r="M36" s="1" t="s">
        <v>245</v>
      </c>
      <c r="N36" s="1" t="s">
        <v>246</v>
      </c>
      <c r="O36" s="12"/>
      <c r="P36" s="12"/>
      <c r="Q36" s="12"/>
      <c r="R36" s="12"/>
      <c r="S36" s="12"/>
      <c r="T36" s="12"/>
      <c r="U36" s="2" t="str">
        <f>IF(F36="","",_xlfn.TEXTJOIN("; ",TRUE(),IF(ISNUMBER(SEARCH(SUBSTITUTE('Référentiel films'!$A$2,"’","'"),SUBSTITUTE(F36,"’","'"))),'Référentiel films'!$B$2,""),IF(ISNUMBER(SEARCH(SUBSTITUTE('Référentiel films'!$A$3,"’","'"),SUBSTITUTE(F36,"’","'"))),'Référentiel films'!$B$3,""),IF(ISNUMBER(SEARCH(SUBSTITUTE('Référentiel films'!$A$4,"’","'"),SUBSTITUTE(F36,"’","'"))),'Référentiel films'!$B$4,""),IF(ISNUMBER(SEARCH(SUBSTITUTE('Référentiel films'!$A$5,"’","'"),SUBSTITUTE(F36,"’","'"))),'Référentiel films'!$B$5,""),IF(ISNUMBER(SEARCH(SUBSTITUTE('Référentiel films'!$A$6,"’","'"),SUBSTITUTE(F36,"’","'"))),'Référentiel films'!$B$6,""),IF(ISNUMBER(SEARCH(SUBSTITUTE('Référentiel films'!$A$7,"’","'"),SUBSTITUTE(F36,"’","'"))),'Référentiel films'!$B$7,""),IF(ISNUMBER(SEARCH(SUBSTITUTE('Référentiel films'!$A$8,"’","'"),SUBSTITUTE(F36,"’","'"))),'Référentiel films'!$B$8,""),IF(ISNUMBER(SEARCH(SUBSTITUTE('Référentiel films'!$A$9,"’","'"),SUBSTITUTE(F36,"’","'"))),'Référentiel films'!$B$9,""),IF(ISNUMBER(SEARCH(SUBSTITUTE('Référentiel films'!$A$10,"’","'"),SUBSTITUTE(F36,"’","'"))),'Référentiel films'!$B$10,""),IF(ISNUMBER(SEARCH(SUBSTITUTE('Référentiel films'!$A$11,"’","'"),SUBSTITUTE(F36,"’","'"))),'Référentiel films'!$B$11,""),IF(ISNUMBER(SEARCH(SUBSTITUTE('Référentiel films'!$A$12,"’","'"),SUBSTITUTE(F36,"’","'"))),'Référentiel films'!$B$12,""),IF(ISNUMBER(SEARCH(SUBSTITUTE('Référentiel films'!$A$13,"’","'"),SUBSTITUTE(F36,"’","'"))),'Référentiel films'!$B$13,""),IF(ISNUMBER(SEARCH(SUBSTITUTE('Référentiel films'!$A$14,"’","'"),SUBSTITUTE(F36,"’","'"))),'Référentiel films'!$B$14,""),IF(ISNUMBER(SEARCH(SUBSTITUTE('Référentiel films'!$A$15,"’","'"),SUBSTITUTE(F36,"’","'"))),'Référentiel films'!$B$15,""),IF(ISNUMBER(SEARCH(SUBSTITUTE('Référentiel films'!$A$16,"’","'"),SUBSTITUTE(F36,"’","'"))),'Référentiel films'!$B$16,""),IF(ISNUMBER(SEARCH(SUBSTITUTE('Référentiel films'!$A$17,"’","'"),SUBSTITUTE(F36,"’","'"))),'Référentiel films'!$B$17,""),IF(ISNUMBER(SEARCH(SUBSTITUTE('Référentiel films'!$A$18,"’","'"),SUBSTITUTE(F36,"’","'"))),'Référentiel films'!$B$18,""),IF(ISNUMBER(SEARCH(SUBSTITUTE('Référentiel films'!$A$19,"’","'"),SUBSTITUTE(F36,"’","'"))),'Référentiel films'!$B$19,""),IF(ISNUMBER(SEARCH(SUBSTITUTE('Référentiel films'!$A$20,"’","'"),SUBSTITUTE(F36,"’","'"))),'Référentiel films'!$B$20,""),IF(ISNUMBER(SEARCH(SUBSTITUTE('Référentiel films'!$A$21,"’","'"),SUBSTITUTE(F36,"’","'"))),'Référentiel films'!$B$21,""),IF(ISNUMBER(SEARCH(SUBSTITUTE('Référentiel films'!$A$22,"’","'"),SUBSTITUTE(F36,"’","'"))),'Référentiel films'!$B$22,""),IF(ISNUMBER(SEARCH(SUBSTITUTE('Référentiel films'!$A$23,"’","'"),SUBSTITUTE(F36,"’","'"))),'Référentiel films'!$B$23,""),IF(ISNUMBER(SEARCH(SUBSTITUTE('Référentiel films'!$A$24,"’","'"),SUBSTITUTE(F36,"’","'"))),'Référentiel films'!$B$24,""),IF(ISNUMBER(SEARCH(SUBSTITUTE('Référentiel films'!$A$25,"’","'"),SUBSTITUTE(F36,"’","'"))),'Référentiel films'!$B$25,""),IF(ISNUMBER(SEARCH(SUBSTITUTE('Référentiel films'!$A$26,"’","'"),SUBSTITUTE(F36,"’","'"))),'Référentiel films'!$B$26,""),IF(ISNUMBER(SEARCH(SUBSTITUTE('Référentiel films'!$A$27,"’","'"),SUBSTITUTE(F36,"’","'"))),'Référentiel films'!$B$27,""),IF(ISNUMBER(SEARCH(SUBSTITUTE('Référentiel films'!$A$28,"’","'"),SUBSTITUTE(F36,"’","'"))),'Référentiel films'!$B$28,""),IF(ISNUMBER(SEARCH(SUBSTITUTE('Référentiel films'!$A$29,"’","'"),SUBSTITUTE(F36,"’","'"))),'Référentiel films'!$B$29,""),IF(ISNUMBER(SEARCH(SUBSTITUTE('Référentiel films'!$A$30,"’","'"),SUBSTITUTE(F36,"’","'"))),'Référentiel films'!$B$30,""),IF(ISNUMBER(SEARCH(SUBSTITUTE('Référentiel films'!$A$31,"’","'"),SUBSTITUTE(F36,"’","'"))),'Référentiel films'!$B$31,""),IF(ISNUMBER(SEARCH(SUBSTITUTE('Référentiel films'!$A$32,"’","'"),SUBSTITUTE(F36,"’","'"))),'Référentiel films'!$B$32,""),IF(ISNUMBER(SEARCH(SUBSTITUTE('Référentiel films'!$A$33,"’","'"),SUBSTITUTE(F36,"’","'"))),'Référentiel films'!$B$33,""),IF(ISNUMBER(SEARCH(SUBSTITUTE('Référentiel films'!$A$34,"’","'"),SUBSTITUTE(F36,"’","'"))),'Référentiel films'!$B$34,""),IF(ISNUMBER(SEARCH(SUBSTITUTE('Référentiel films'!$A$35,"’","'"),SUBSTITUTE(F36,"’","'"))),'Référentiel films'!$B$35,""),IF(ISNUMBER(SEARCH(SUBSTITUTE('Référentiel films'!$A$36,"’","'"),SUBSTITUTE(F36,"’","'"))),'Référentiel films'!$B$36,""),IF(ISNUMBER(SEARCH(SUBSTITUTE('Référentiel films'!$A$37,"’","'"),SUBSTITUTE(F36,"’","'"))),'Référentiel films'!$B$37,""),IF(ISNUMBER(SEARCH(SUBSTITUTE('Référentiel films'!$A$38,"’","'"),SUBSTITUTE(F36,"’","'"))),'Référentiel films'!$B$38,""),IF(ISNUMBER(SEARCH(SUBSTITUTE('Référentiel films'!$A$39,"’","'"),SUBSTITUTE(F36,"’","'"))),'Référentiel films'!$B$39,""),IF(ISNUMBER(SEARCH(SUBSTITUTE('Référentiel films'!$A$40,"’","'"),SUBSTITUTE(F36,"’","'"))),'Référentiel films'!$B$40,""),IF(ISNUMBER(SEARCH(SUBSTITUTE('Référentiel films'!$A$41,"’","'"),SUBSTITUTE(F36,"’","'"))),'Référentiel films'!$B$41,"")))</f>
        <v>film-1981-lili-marleen; film-1981-theatre-en-transe; film-1981-lola-une-femme-allemande</v>
      </c>
    </row>
    <row r="37" spans="1:21" ht="176" customHeight="1" x14ac:dyDescent="0.2">
      <c r="A37" s="1">
        <v>1982</v>
      </c>
      <c r="B37" s="1" t="s">
        <v>263</v>
      </c>
      <c r="C37" s="1" t="s">
        <v>205</v>
      </c>
      <c r="D37" s="1" t="s">
        <v>80</v>
      </c>
      <c r="E37" s="1" t="s">
        <v>30</v>
      </c>
      <c r="F37" s="17" t="s">
        <v>229</v>
      </c>
      <c r="G37" s="12"/>
      <c r="H37" s="12"/>
      <c r="I37" s="12"/>
      <c r="J37" s="12"/>
      <c r="K37" s="12"/>
      <c r="L37" s="12" t="s">
        <v>343</v>
      </c>
      <c r="M37" s="12" t="s">
        <v>248</v>
      </c>
      <c r="N37" s="12" t="s">
        <v>344</v>
      </c>
      <c r="O37" s="12"/>
      <c r="P37" s="12"/>
      <c r="Q37" s="12"/>
      <c r="R37" s="12"/>
      <c r="S37" s="12"/>
      <c r="T37" s="12"/>
      <c r="U37" s="2" t="str">
        <f>IF(F37="","",_xlfn.TEXTJOIN("; ",TRUE(),IF(ISNUMBER(SEARCH(SUBSTITUTE('Référentiel films'!$A$2,"’","'"),SUBSTITUTE(F37,"’","'"))),'Référentiel films'!$B$2,""),IF(ISNUMBER(SEARCH(SUBSTITUTE('Référentiel films'!$A$3,"’","'"),SUBSTITUTE(F37,"’","'"))),'Référentiel films'!$B$3,""),IF(ISNUMBER(SEARCH(SUBSTITUTE('Référentiel films'!$A$4,"’","'"),SUBSTITUTE(F37,"’","'"))),'Référentiel films'!$B$4,""),IF(ISNUMBER(SEARCH(SUBSTITUTE('Référentiel films'!$A$5,"’","'"),SUBSTITUTE(F37,"’","'"))),'Référentiel films'!$B$5,""),IF(ISNUMBER(SEARCH(SUBSTITUTE('Référentiel films'!$A$6,"’","'"),SUBSTITUTE(F37,"’","'"))),'Référentiel films'!$B$6,""),IF(ISNUMBER(SEARCH(SUBSTITUTE('Référentiel films'!$A$7,"’","'"),SUBSTITUTE(F37,"’","'"))),'Référentiel films'!$B$7,""),IF(ISNUMBER(SEARCH(SUBSTITUTE('Référentiel films'!$A$8,"’","'"),SUBSTITUTE(F37,"’","'"))),'Référentiel films'!$B$8,""),IF(ISNUMBER(SEARCH(SUBSTITUTE('Référentiel films'!$A$9,"’","'"),SUBSTITUTE(F37,"’","'"))),'Référentiel films'!$B$9,""),IF(ISNUMBER(SEARCH(SUBSTITUTE('Référentiel films'!$A$10,"’","'"),SUBSTITUTE(F37,"’","'"))),'Référentiel films'!$B$10,""),IF(ISNUMBER(SEARCH(SUBSTITUTE('Référentiel films'!$A$11,"’","'"),SUBSTITUTE(F37,"’","'"))),'Référentiel films'!$B$11,""),IF(ISNUMBER(SEARCH(SUBSTITUTE('Référentiel films'!$A$12,"’","'"),SUBSTITUTE(F37,"’","'"))),'Référentiel films'!$B$12,""),IF(ISNUMBER(SEARCH(SUBSTITUTE('Référentiel films'!$A$13,"’","'"),SUBSTITUTE(F37,"’","'"))),'Référentiel films'!$B$13,""),IF(ISNUMBER(SEARCH(SUBSTITUTE('Référentiel films'!$A$14,"’","'"),SUBSTITUTE(F37,"’","'"))),'Référentiel films'!$B$14,""),IF(ISNUMBER(SEARCH(SUBSTITUTE('Référentiel films'!$A$15,"’","'"),SUBSTITUTE(F37,"’","'"))),'Référentiel films'!$B$15,""),IF(ISNUMBER(SEARCH(SUBSTITUTE('Référentiel films'!$A$16,"’","'"),SUBSTITUTE(F37,"’","'"))),'Référentiel films'!$B$16,""),IF(ISNUMBER(SEARCH(SUBSTITUTE('Référentiel films'!$A$17,"’","'"),SUBSTITUTE(F37,"’","'"))),'Référentiel films'!$B$17,""),IF(ISNUMBER(SEARCH(SUBSTITUTE('Référentiel films'!$A$18,"’","'"),SUBSTITUTE(F37,"’","'"))),'Référentiel films'!$B$18,""),IF(ISNUMBER(SEARCH(SUBSTITUTE('Référentiel films'!$A$19,"’","'"),SUBSTITUTE(F37,"’","'"))),'Référentiel films'!$B$19,""),IF(ISNUMBER(SEARCH(SUBSTITUTE('Référentiel films'!$A$20,"’","'"),SUBSTITUTE(F37,"’","'"))),'Référentiel films'!$B$20,""),IF(ISNUMBER(SEARCH(SUBSTITUTE('Référentiel films'!$A$21,"’","'"),SUBSTITUTE(F37,"’","'"))),'Référentiel films'!$B$21,""),IF(ISNUMBER(SEARCH(SUBSTITUTE('Référentiel films'!$A$22,"’","'"),SUBSTITUTE(F37,"’","'"))),'Référentiel films'!$B$22,""),IF(ISNUMBER(SEARCH(SUBSTITUTE('Référentiel films'!$A$23,"’","'"),SUBSTITUTE(F37,"’","'"))),'Référentiel films'!$B$23,""),IF(ISNUMBER(SEARCH(SUBSTITUTE('Référentiel films'!$A$24,"’","'"),SUBSTITUTE(F37,"’","'"))),'Référentiel films'!$B$24,""),IF(ISNUMBER(SEARCH(SUBSTITUTE('Référentiel films'!$A$25,"’","'"),SUBSTITUTE(F37,"’","'"))),'Référentiel films'!$B$25,""),IF(ISNUMBER(SEARCH(SUBSTITUTE('Référentiel films'!$A$26,"’","'"),SUBSTITUTE(F37,"’","'"))),'Référentiel films'!$B$26,""),IF(ISNUMBER(SEARCH(SUBSTITUTE('Référentiel films'!$A$27,"’","'"),SUBSTITUTE(F37,"’","'"))),'Référentiel films'!$B$27,""),IF(ISNUMBER(SEARCH(SUBSTITUTE('Référentiel films'!$A$28,"’","'"),SUBSTITUTE(F37,"’","'"))),'Référentiel films'!$B$28,""),IF(ISNUMBER(SEARCH(SUBSTITUTE('Référentiel films'!$A$29,"’","'"),SUBSTITUTE(F37,"’","'"))),'Référentiel films'!$B$29,""),IF(ISNUMBER(SEARCH(SUBSTITUTE('Référentiel films'!$A$30,"’","'"),SUBSTITUTE(F37,"’","'"))),'Référentiel films'!$B$30,""),IF(ISNUMBER(SEARCH(SUBSTITUTE('Référentiel films'!$A$31,"’","'"),SUBSTITUTE(F37,"’","'"))),'Référentiel films'!$B$31,""),IF(ISNUMBER(SEARCH(SUBSTITUTE('Référentiel films'!$A$32,"’","'"),SUBSTITUTE(F37,"’","'"))),'Référentiel films'!$B$32,""),IF(ISNUMBER(SEARCH(SUBSTITUTE('Référentiel films'!$A$33,"’","'"),SUBSTITUTE(F37,"’","'"))),'Référentiel films'!$B$33,""),IF(ISNUMBER(SEARCH(SUBSTITUTE('Référentiel films'!$A$34,"’","'"),SUBSTITUTE(F37,"’","'"))),'Référentiel films'!$B$34,""),IF(ISNUMBER(SEARCH(SUBSTITUTE('Référentiel films'!$A$35,"’","'"),SUBSTITUTE(F37,"’","'"))),'Référentiel films'!$B$35,""),IF(ISNUMBER(SEARCH(SUBSTITUTE('Référentiel films'!$A$36,"’","'"),SUBSTITUTE(F37,"’","'"))),'Référentiel films'!$B$36,""),IF(ISNUMBER(SEARCH(SUBSTITUTE('Référentiel films'!$A$37,"’","'"),SUBSTITUTE(F37,"’","'"))),'Référentiel films'!$B$37,""),IF(ISNUMBER(SEARCH(SUBSTITUTE('Référentiel films'!$A$38,"’","'"),SUBSTITUTE(F37,"’","'"))),'Référentiel films'!$B$38,""),IF(ISNUMBER(SEARCH(SUBSTITUTE('Référentiel films'!$A$39,"’","'"),SUBSTITUTE(F37,"’","'"))),'Référentiel films'!$B$39,""),IF(ISNUMBER(SEARCH(SUBSTITUTE('Référentiel films'!$A$40,"’","'"),SUBSTITUTE(F37,"’","'"))),'Référentiel films'!$B$40,""),IF(ISNUMBER(SEARCH(SUBSTITUTE('Référentiel films'!$A$41,"’","'"),SUBSTITUTE(F37,"’","'"))),'Référentiel films'!$B$41,"")))</f>
        <v>film-1981-le-secret-de-veronika-voss; film-1982-querelle</v>
      </c>
    </row>
  </sheetData>
  <hyperlinks>
    <hyperlink ref="H2" r:id="rId1" xr:uid="{00000000-0004-0000-0100-000000000000}"/>
    <hyperlink ref="H3" r:id="rId2" xr:uid="{00000000-0004-0000-0100-000001000000}"/>
    <hyperlink ref="H5" r:id="rId3" xr:uid="{00000000-0004-0000-0100-000002000000}"/>
    <hyperlink ref="H6" r:id="rId4" xr:uid="{00000000-0004-0000-0100-000003000000}"/>
    <hyperlink ref="H10" r:id="rId5" xr:uid="{00000000-0004-0000-0100-000004000000}"/>
    <hyperlink ref="H11" r:id="rId6" xr:uid="{00000000-0004-0000-0100-000005000000}"/>
    <hyperlink ref="H13" r:id="rId7" xr:uid="{00000000-0004-0000-0100-000006000000}"/>
    <hyperlink ref="H19" r:id="rId8" xr:uid="{00000000-0004-0000-0100-000007000000}"/>
    <hyperlink ref="I19" r:id="rId9" xr:uid="{00000000-0004-0000-0100-000008000000}"/>
  </hyperlinks>
  <pageMargins left="0.7" right="0.7" top="0.75" bottom="0.75" header="0.3" footer="0.3"/>
  <tableParts count="1">
    <tablePart r:id="rId10"/>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5:D19"/>
  <sheetViews>
    <sheetView workbookViewId="0">
      <selection activeCell="C24" sqref="C24"/>
    </sheetView>
  </sheetViews>
  <sheetFormatPr baseColWidth="10" defaultColWidth="11.5" defaultRowHeight="13" x14ac:dyDescent="0.15"/>
  <cols>
    <col min="1" max="1" width="11.5" style="28"/>
    <col min="2" max="2" width="37.5" style="28" customWidth="1"/>
    <col min="3" max="3" width="37" style="28" customWidth="1"/>
    <col min="4" max="4" width="30.83203125" style="28" customWidth="1"/>
    <col min="5" max="16384" width="11.5" style="28"/>
  </cols>
  <sheetData>
    <row r="15" spans="1:4" x14ac:dyDescent="0.15">
      <c r="A15" s="10" t="s">
        <v>81</v>
      </c>
      <c r="B15" s="10" t="s">
        <v>82</v>
      </c>
      <c r="C15" s="10" t="s">
        <v>83</v>
      </c>
      <c r="D15" s="10" t="s">
        <v>84</v>
      </c>
    </row>
    <row r="16" spans="1:4" ht="42" x14ac:dyDescent="0.15">
      <c r="A16" s="11" t="s">
        <v>85</v>
      </c>
      <c r="B16" s="33" t="s">
        <v>264</v>
      </c>
      <c r="C16" s="11" t="s">
        <v>86</v>
      </c>
      <c r="D16" s="11"/>
    </row>
    <row r="17" spans="1:4" ht="28" x14ac:dyDescent="0.15">
      <c r="A17" s="11" t="s">
        <v>87</v>
      </c>
      <c r="B17" s="33" t="s">
        <v>265</v>
      </c>
      <c r="C17" s="11" t="s">
        <v>88</v>
      </c>
      <c r="D17" s="11" t="s">
        <v>89</v>
      </c>
    </row>
    <row r="18" spans="1:4" ht="28" x14ac:dyDescent="0.15">
      <c r="A18" s="11" t="s">
        <v>90</v>
      </c>
      <c r="B18" s="11" t="s">
        <v>91</v>
      </c>
      <c r="C18" s="11" t="s">
        <v>92</v>
      </c>
      <c r="D18" s="11" t="s">
        <v>89</v>
      </c>
    </row>
    <row r="19" spans="1:4" ht="28" x14ac:dyDescent="0.15">
      <c r="A19" s="11" t="s">
        <v>93</v>
      </c>
      <c r="B19" s="11" t="s">
        <v>94</v>
      </c>
      <c r="C19" s="11" t="s">
        <v>95</v>
      </c>
      <c r="D19" s="11" t="s">
        <v>96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41"/>
  <sheetViews>
    <sheetView workbookViewId="0">
      <selection activeCell="A2" sqref="A2:XFD2"/>
    </sheetView>
  </sheetViews>
  <sheetFormatPr baseColWidth="10" defaultColWidth="10.5" defaultRowHeight="13" x14ac:dyDescent="0.15"/>
  <cols>
    <col min="1" max="1" width="46.83203125" customWidth="1"/>
    <col min="2" max="2" width="59.1640625" customWidth="1"/>
  </cols>
  <sheetData>
    <row r="1" spans="1:2" ht="17" x14ac:dyDescent="0.2">
      <c r="A1" s="3" t="s">
        <v>97</v>
      </c>
      <c r="B1" s="3" t="s">
        <v>98</v>
      </c>
    </row>
    <row r="2" spans="1:2" ht="17" x14ac:dyDescent="0.2">
      <c r="A2" s="5" t="s">
        <v>99</v>
      </c>
      <c r="B2" s="5" t="s">
        <v>100</v>
      </c>
    </row>
    <row r="3" spans="1:2" ht="17" x14ac:dyDescent="0.2">
      <c r="A3" s="5" t="s">
        <v>101</v>
      </c>
      <c r="B3" s="5" t="s">
        <v>102</v>
      </c>
    </row>
    <row r="4" spans="1:2" ht="17" x14ac:dyDescent="0.2">
      <c r="A4" s="5" t="s">
        <v>103</v>
      </c>
      <c r="B4" s="5" t="s">
        <v>104</v>
      </c>
    </row>
    <row r="5" spans="1:2" ht="17" x14ac:dyDescent="0.2">
      <c r="A5" s="5" t="s">
        <v>105</v>
      </c>
      <c r="B5" s="5" t="s">
        <v>106</v>
      </c>
    </row>
    <row r="6" spans="1:2" ht="17" x14ac:dyDescent="0.2">
      <c r="A6" s="5" t="s">
        <v>107</v>
      </c>
      <c r="B6" s="5" t="s">
        <v>108</v>
      </c>
    </row>
    <row r="7" spans="1:2" ht="17" x14ac:dyDescent="0.2">
      <c r="A7" s="5" t="s">
        <v>109</v>
      </c>
      <c r="B7" s="5" t="s">
        <v>110</v>
      </c>
    </row>
    <row r="8" spans="1:2" ht="17" x14ac:dyDescent="0.2">
      <c r="A8" s="5" t="s">
        <v>111</v>
      </c>
      <c r="B8" s="5" t="s">
        <v>112</v>
      </c>
    </row>
    <row r="9" spans="1:2" ht="17" x14ac:dyDescent="0.2">
      <c r="A9" s="5" t="s">
        <v>113</v>
      </c>
      <c r="B9" s="5" t="s">
        <v>114</v>
      </c>
    </row>
    <row r="10" spans="1:2" ht="17" x14ac:dyDescent="0.2">
      <c r="A10" s="5" t="s">
        <v>115</v>
      </c>
      <c r="B10" s="5" t="s">
        <v>116</v>
      </c>
    </row>
    <row r="11" spans="1:2" ht="17" x14ac:dyDescent="0.2">
      <c r="A11" s="5" t="s">
        <v>117</v>
      </c>
      <c r="B11" s="5" t="s">
        <v>118</v>
      </c>
    </row>
    <row r="12" spans="1:2" ht="17" x14ac:dyDescent="0.2">
      <c r="A12" s="5" t="s">
        <v>119</v>
      </c>
      <c r="B12" s="5" t="s">
        <v>120</v>
      </c>
    </row>
    <row r="13" spans="1:2" ht="17" x14ac:dyDescent="0.2">
      <c r="A13" s="5" t="s">
        <v>121</v>
      </c>
      <c r="B13" s="5" t="s">
        <v>122</v>
      </c>
    </row>
    <row r="14" spans="1:2" ht="17" x14ac:dyDescent="0.2">
      <c r="A14" s="5" t="s">
        <v>123</v>
      </c>
      <c r="B14" s="5" t="s">
        <v>124</v>
      </c>
    </row>
    <row r="15" spans="1:2" ht="17" x14ac:dyDescent="0.2">
      <c r="A15" s="5" t="s">
        <v>125</v>
      </c>
      <c r="B15" s="5" t="s">
        <v>126</v>
      </c>
    </row>
    <row r="16" spans="1:2" ht="17" x14ac:dyDescent="0.2">
      <c r="A16" s="5" t="s">
        <v>127</v>
      </c>
      <c r="B16" s="5" t="s">
        <v>128</v>
      </c>
    </row>
    <row r="17" spans="1:2" ht="17" x14ac:dyDescent="0.2">
      <c r="A17" s="5" t="s">
        <v>129</v>
      </c>
      <c r="B17" s="5" t="s">
        <v>130</v>
      </c>
    </row>
    <row r="18" spans="1:2" ht="17" x14ac:dyDescent="0.2">
      <c r="A18" s="5" t="s">
        <v>131</v>
      </c>
      <c r="B18" s="5" t="s">
        <v>132</v>
      </c>
    </row>
    <row r="19" spans="1:2" ht="17" x14ac:dyDescent="0.2">
      <c r="A19" s="5" t="s">
        <v>133</v>
      </c>
      <c r="B19" s="5" t="s">
        <v>134</v>
      </c>
    </row>
    <row r="20" spans="1:2" ht="17" x14ac:dyDescent="0.2">
      <c r="A20" s="5" t="s">
        <v>135</v>
      </c>
      <c r="B20" s="5" t="s">
        <v>136</v>
      </c>
    </row>
    <row r="21" spans="1:2" ht="17" x14ac:dyDescent="0.2">
      <c r="A21" s="5" t="s">
        <v>137</v>
      </c>
      <c r="B21" s="5" t="s">
        <v>138</v>
      </c>
    </row>
    <row r="22" spans="1:2" ht="17" x14ac:dyDescent="0.2">
      <c r="A22" s="5" t="s">
        <v>139</v>
      </c>
      <c r="B22" s="5" t="s">
        <v>140</v>
      </c>
    </row>
    <row r="23" spans="1:2" ht="17" x14ac:dyDescent="0.2">
      <c r="A23" s="5" t="s">
        <v>141</v>
      </c>
      <c r="B23" s="5" t="s">
        <v>142</v>
      </c>
    </row>
    <row r="24" spans="1:2" ht="17" x14ac:dyDescent="0.2">
      <c r="A24" s="5" t="s">
        <v>143</v>
      </c>
      <c r="B24" s="5" t="s">
        <v>144</v>
      </c>
    </row>
    <row r="25" spans="1:2" ht="17" x14ac:dyDescent="0.2">
      <c r="A25" s="5" t="s">
        <v>145</v>
      </c>
      <c r="B25" s="5" t="s">
        <v>146</v>
      </c>
    </row>
    <row r="26" spans="1:2" ht="17" x14ac:dyDescent="0.2">
      <c r="A26" s="5" t="s">
        <v>147</v>
      </c>
      <c r="B26" s="5" t="s">
        <v>148</v>
      </c>
    </row>
    <row r="27" spans="1:2" ht="17" x14ac:dyDescent="0.2">
      <c r="A27" s="5" t="s">
        <v>149</v>
      </c>
      <c r="B27" s="5" t="s">
        <v>150</v>
      </c>
    </row>
    <row r="28" spans="1:2" ht="17" x14ac:dyDescent="0.2">
      <c r="A28" s="5" t="s">
        <v>151</v>
      </c>
      <c r="B28" s="5" t="s">
        <v>152</v>
      </c>
    </row>
    <row r="29" spans="1:2" ht="17" x14ac:dyDescent="0.2">
      <c r="A29" s="5" t="s">
        <v>153</v>
      </c>
      <c r="B29" s="5" t="s">
        <v>154</v>
      </c>
    </row>
    <row r="30" spans="1:2" ht="17" x14ac:dyDescent="0.2">
      <c r="A30" s="5" t="s">
        <v>155</v>
      </c>
      <c r="B30" s="5" t="s">
        <v>156</v>
      </c>
    </row>
    <row r="31" spans="1:2" ht="17" x14ac:dyDescent="0.2">
      <c r="A31" s="5" t="s">
        <v>157</v>
      </c>
      <c r="B31" s="5" t="s">
        <v>158</v>
      </c>
    </row>
    <row r="32" spans="1:2" ht="17" x14ac:dyDescent="0.2">
      <c r="A32" s="5" t="s">
        <v>159</v>
      </c>
      <c r="B32" s="5" t="s">
        <v>160</v>
      </c>
    </row>
    <row r="33" spans="1:2" ht="17" x14ac:dyDescent="0.2">
      <c r="A33" s="5" t="s">
        <v>161</v>
      </c>
      <c r="B33" s="5" t="s">
        <v>162</v>
      </c>
    </row>
    <row r="34" spans="1:2" ht="17" x14ac:dyDescent="0.2">
      <c r="A34" s="5" t="s">
        <v>163</v>
      </c>
      <c r="B34" s="5" t="s">
        <v>164</v>
      </c>
    </row>
    <row r="35" spans="1:2" ht="17" x14ac:dyDescent="0.2">
      <c r="A35" s="5" t="s">
        <v>165</v>
      </c>
      <c r="B35" s="5" t="s">
        <v>166</v>
      </c>
    </row>
    <row r="36" spans="1:2" ht="17" x14ac:dyDescent="0.2">
      <c r="A36" s="5" t="s">
        <v>167</v>
      </c>
      <c r="B36" s="5" t="s">
        <v>168</v>
      </c>
    </row>
    <row r="37" spans="1:2" ht="17" x14ac:dyDescent="0.2">
      <c r="A37" s="5" t="s">
        <v>169</v>
      </c>
      <c r="B37" s="5" t="s">
        <v>170</v>
      </c>
    </row>
    <row r="38" spans="1:2" ht="17" x14ac:dyDescent="0.2">
      <c r="A38" s="5" t="s">
        <v>171</v>
      </c>
      <c r="B38" s="5" t="s">
        <v>172</v>
      </c>
    </row>
    <row r="39" spans="1:2" ht="17" x14ac:dyDescent="0.2">
      <c r="A39" s="5" t="s">
        <v>173</v>
      </c>
      <c r="B39" s="5" t="s">
        <v>174</v>
      </c>
    </row>
    <row r="40" spans="1:2" ht="17" x14ac:dyDescent="0.2">
      <c r="A40" s="5" t="s">
        <v>175</v>
      </c>
      <c r="B40" s="5" t="s">
        <v>176</v>
      </c>
    </row>
    <row r="41" spans="1:2" ht="17" x14ac:dyDescent="0.2">
      <c r="A41" s="5" t="s">
        <v>177</v>
      </c>
      <c r="B41" s="5" t="s">
        <v>178</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5"/>
  <sheetViews>
    <sheetView workbookViewId="0"/>
  </sheetViews>
  <sheetFormatPr baseColWidth="10" defaultColWidth="10.5" defaultRowHeight="13" x14ac:dyDescent="0.15"/>
  <cols>
    <col min="1" max="1" width="29.6640625" customWidth="1"/>
    <col min="2" max="2" width="101.1640625" customWidth="1"/>
  </cols>
  <sheetData>
    <row r="1" spans="1:2" ht="40" customHeight="1" x14ac:dyDescent="0.25">
      <c r="A1" s="6" t="s">
        <v>179</v>
      </c>
      <c r="B1" s="6"/>
    </row>
    <row r="2" spans="1:2" ht="45.25" customHeight="1" x14ac:dyDescent="0.2">
      <c r="A2" s="7" t="s">
        <v>180</v>
      </c>
      <c r="B2" s="3" t="s">
        <v>181</v>
      </c>
    </row>
    <row r="3" spans="1:2" ht="45.25" customHeight="1" x14ac:dyDescent="0.2">
      <c r="A3" s="7" t="s">
        <v>182</v>
      </c>
      <c r="B3" s="3" t="s">
        <v>183</v>
      </c>
    </row>
    <row r="4" spans="1:2" ht="45.25" customHeight="1" x14ac:dyDescent="0.2">
      <c r="A4" s="7" t="s">
        <v>184</v>
      </c>
      <c r="B4" s="3" t="s">
        <v>185</v>
      </c>
    </row>
    <row r="5" spans="1:2" ht="45.25" customHeight="1" x14ac:dyDescent="0.2">
      <c r="A5" s="7" t="s">
        <v>186</v>
      </c>
      <c r="B5" s="3" t="s">
        <v>187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Feuilles de calcul</vt:lpstr>
      </vt:variant>
      <vt:variant>
        <vt:i4>5</vt:i4>
      </vt:variant>
    </vt:vector>
  </HeadingPairs>
  <TitlesOfParts>
    <vt:vector size="5" baseType="lpstr">
      <vt:lpstr>Périodes</vt:lpstr>
      <vt:lpstr>Années</vt:lpstr>
      <vt:lpstr>Sources générales</vt:lpstr>
      <vt:lpstr>Référentiel films</vt:lpstr>
      <vt:lpstr>Mode_emploi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Frédérique Hammerli</cp:lastModifiedBy>
  <dcterms:modified xsi:type="dcterms:W3CDTF">2026-08-01T11:52:19Z</dcterms:modified>
</cp:coreProperties>
</file>